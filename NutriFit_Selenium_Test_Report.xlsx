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ed Test Cases" sheetId="2" state="visible" r:id="rId2"/>
    <sheet name="Execution Evidence" sheetId="3" state="visible" r:id="rId3"/>
  </sheets>
  <definedNames>
    <definedName name="_xlnm._FilterDatabase" localSheetId="1" hidden="1">'Detailed Test Cases'!$A$1:$O$351</definedName>
    <definedName name="_xlnm._FilterDatabase" localSheetId="2" hidden="1">'Execution Evidence'!$A$1:$G$21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0A5C36"/>
      <sz val="15"/>
    </font>
    <font>
      <name val="Segoe UI"/>
      <i val="1"/>
      <color rgb="00555555"/>
      <sz val="10"/>
    </font>
    <font>
      <name val="Segoe UI"/>
      <b val="1"/>
      <color rgb="00555555"/>
      <sz val="9"/>
    </font>
    <font>
      <name val="Segoe UI"/>
      <b val="1"/>
      <color rgb="000A5C36"/>
      <sz val="14"/>
    </font>
    <font>
      <name val="Segoe UI"/>
      <b val="1"/>
      <color rgb="000A5C36"/>
      <sz val="12"/>
    </font>
    <font>
      <name val="Segoe UI"/>
      <b val="1"/>
      <color rgb="00FFFFFF"/>
      <sz val="11"/>
    </font>
    <font>
      <name val="Segoe UI"/>
      <sz val="9"/>
    </font>
    <font>
      <name val="Segoe UI"/>
      <b val="1"/>
      <sz val="10"/>
    </font>
    <font>
      <name val="Segoe UI"/>
      <b val="1"/>
      <color rgb="005F6368"/>
    </font>
  </fonts>
  <fills count="6">
    <fill>
      <patternFill/>
    </fill>
    <fill>
      <patternFill patternType="gray125"/>
    </fill>
    <fill>
      <patternFill patternType="solid">
        <fgColor rgb="00F5F7FA"/>
        <bgColor rgb="00F5F7FA"/>
      </patternFill>
    </fill>
    <fill>
      <patternFill patternType="solid">
        <fgColor rgb="0010A866"/>
        <bgColor rgb="0010A866"/>
      </patternFill>
    </fill>
    <fill>
      <patternFill patternType="solid">
        <fgColor rgb="00F0F9F4"/>
        <bgColor rgb="00F0F9F4"/>
      </patternFill>
    </fill>
    <fill>
      <patternFill patternType="solid">
        <fgColor rgb="00F1F3F4"/>
        <bgColor rgb="00F1F3F4"/>
      </patternFill>
    </fill>
  </fills>
  <borders count="3">
    <border>
      <left/>
      <right/>
      <top/>
      <bottom/>
      <diagonal/>
    </border>
    <border>
      <left style="medium">
        <color rgb="0010A866"/>
      </left>
      <right style="medium">
        <color rgb="0010A866"/>
      </right>
      <top style="medium">
        <color rgb="0010A866"/>
      </top>
      <bottom style="medium">
        <color rgb="0010A866"/>
      </bottom>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5" fillId="0" borderId="0" pivotButton="0" quotePrefix="0" xfId="0"/>
    <xf numFmtId="0" fontId="6" fillId="3" borderId="0" applyAlignment="1" pivotButton="0" quotePrefix="0" xfId="0">
      <alignment horizontal="center" vertical="center"/>
    </xf>
    <xf numFmtId="0" fontId="7" fillId="0" borderId="2" pivotButton="0" quotePrefix="0" xfId="0"/>
    <xf numFmtId="0" fontId="7" fillId="0" borderId="2" applyAlignment="1" pivotButton="0" quotePrefix="0" xfId="0">
      <alignment horizontal="center" vertical="center"/>
    </xf>
    <xf numFmtId="0" fontId="8" fillId="0" borderId="0" pivotButton="0" quotePrefix="0" xfId="0"/>
    <xf numFmtId="0" fontId="8" fillId="4" borderId="2" applyAlignment="1" pivotButton="0" quotePrefix="0" xfId="0">
      <alignment horizontal="center" vertical="center"/>
    </xf>
    <xf numFmtId="0" fontId="7" fillId="0" borderId="2" applyAlignment="1" pivotButton="0" quotePrefix="0" xfId="0">
      <alignment horizontal="center" vertical="top" wrapText="1"/>
    </xf>
    <xf numFmtId="0" fontId="7" fillId="0" borderId="2" applyAlignment="1" pivotButton="0" quotePrefix="0" xfId="0">
      <alignment vertical="top" wrapText="1"/>
    </xf>
    <xf numFmtId="0" fontId="9" fillId="5"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1" workbookViewId="0">
      <selection activeCell="A1" sqref="A1"/>
    </sheetView>
  </sheetViews>
  <sheetFormatPr baseColWidth="8" defaultRowHeight="15"/>
  <cols>
    <col width="32" customWidth="1" min="1" max="1"/>
    <col width="16" customWidth="1" min="2" max="2"/>
    <col width="16" customWidth="1" min="3" max="3"/>
    <col width="16" customWidth="1" min="4" max="4"/>
    <col width="16" customWidth="1" min="5" max="5"/>
    <col width="16" customWidth="1" min="6" max="6"/>
    <col width="16" customWidth="1" min="7" max="7"/>
  </cols>
  <sheetData>
    <row r="1" ht="24" customHeight="1">
      <c r="A1" s="1" t="inlineStr">
        <is>
          <t>NutriFit QA Report - Selenium Web UI Testing</t>
        </is>
      </c>
    </row>
    <row r="2" ht="18" customHeight="1">
      <c r="A2" s="2" t="inlineStr">
        <is>
          <t>Report File: NutriFit_Selenium_Test_Report.xlsx | Total Screens/Modules: 35 | 10 Cases Per Screen | Total: 350 Cases</t>
        </is>
      </c>
    </row>
    <row r="4">
      <c r="A4" s="3" t="inlineStr">
        <is>
          <t>Total Test Cases</t>
        </is>
      </c>
      <c r="B4" s="3" t="inlineStr">
        <is>
          <t>Passed</t>
        </is>
      </c>
      <c r="C4" s="3" t="inlineStr">
        <is>
          <t>Failed</t>
        </is>
      </c>
      <c r="D4" s="3" t="inlineStr">
        <is>
          <t>Skipped</t>
        </is>
      </c>
      <c r="E4" s="3" t="inlineStr">
        <is>
          <t>Blocked</t>
        </is>
      </c>
      <c r="F4" s="3" t="inlineStr">
        <is>
          <t>Not Executed</t>
        </is>
      </c>
      <c r="G4" s="3" t="inlineStr">
        <is>
          <t>Pass Rate %</t>
        </is>
      </c>
    </row>
    <row r="5">
      <c r="A5" s="4">
        <f>COUNT('Detailed Test Cases'!A:A)</f>
        <v/>
      </c>
      <c r="B5" s="4">
        <f>COUNTIF('Detailed Test Cases'!I:I, "Passed")</f>
        <v/>
      </c>
      <c r="C5" s="4">
        <f>COUNTIF('Detailed Test Cases'!I:I, "Failed")</f>
        <v/>
      </c>
      <c r="D5" s="4">
        <f>COUNTIF('Detailed Test Cases'!I:I, "Skipped")</f>
        <v/>
      </c>
      <c r="E5" s="4">
        <f>COUNTIF('Detailed Test Cases'!I:I, "Blocked")</f>
        <v/>
      </c>
      <c r="F5" s="4">
        <f>COUNTIF('Detailed Test Cases'!I:I, "Not Executed")</f>
        <v/>
      </c>
      <c r="G5" s="4">
        <f>IF(B4=0, "0%", TEXT(B5/B4, "0.0%"))</f>
        <v/>
      </c>
    </row>
    <row r="7">
      <c r="A7" s="5" t="inlineStr">
        <is>
          <t>Screen/Module-Wise Test Coverage Breakdown (All 35 Screens)</t>
        </is>
      </c>
    </row>
    <row r="8" ht="24" customHeight="1">
      <c r="A8" s="6" t="inlineStr">
        <is>
          <t>Module/Screen</t>
        </is>
      </c>
      <c r="B8" s="6" t="inlineStr">
        <is>
          <t>Total Cases</t>
        </is>
      </c>
      <c r="C8" s="6" t="inlineStr">
        <is>
          <t>Passed</t>
        </is>
      </c>
      <c r="D8" s="6" t="inlineStr">
        <is>
          <t>Failed</t>
        </is>
      </c>
      <c r="E8" s="6" t="inlineStr">
        <is>
          <t>Skipped</t>
        </is>
      </c>
      <c r="F8" s="6" t="inlineStr">
        <is>
          <t>Blocked</t>
        </is>
      </c>
      <c r="G8" s="6" t="inlineStr">
        <is>
          <t>Not Executed</t>
        </is>
      </c>
    </row>
    <row r="9">
      <c r="A9" s="7" t="inlineStr">
        <is>
          <t>SplashScreen</t>
        </is>
      </c>
      <c r="B9" s="8">
        <f>COUNTIF('Detailed Test Cases'!B:B, A9)</f>
        <v/>
      </c>
      <c r="C9" s="8">
        <f>COUNTIFS('Detailed Test Cases'!B:B, A9, 'Detailed Test Cases'!I:I, "Passed")</f>
        <v/>
      </c>
      <c r="D9" s="8">
        <f>COUNTIFS('Detailed Test Cases'!B:B, A9, 'Detailed Test Cases'!I:I, "Failed")</f>
        <v/>
      </c>
      <c r="E9" s="8">
        <f>COUNTIFS('Detailed Test Cases'!B:B, A9, 'Detailed Test Cases'!I:I, "Skipped")</f>
        <v/>
      </c>
      <c r="F9" s="8">
        <f>COUNTIFS('Detailed Test Cases'!B:B, A9, 'Detailed Test Cases'!I:I, "Blocked")</f>
        <v/>
      </c>
      <c r="G9" s="8">
        <f>COUNTIFS('Detailed Test Cases'!B:B, A9, 'Detailed Test Cases'!I:I, "Not Executed")</f>
        <v/>
      </c>
    </row>
    <row r="10">
      <c r="A10" s="7" t="inlineStr">
        <is>
          <t>LoginScreen</t>
        </is>
      </c>
      <c r="B10" s="8">
        <f>COUNTIF('Detailed Test Cases'!B:B, A10)</f>
        <v/>
      </c>
      <c r="C10" s="8">
        <f>COUNTIFS('Detailed Test Cases'!B:B, A10, 'Detailed Test Cases'!I:I, "Passed")</f>
        <v/>
      </c>
      <c r="D10" s="8">
        <f>COUNTIFS('Detailed Test Cases'!B:B, A10, 'Detailed Test Cases'!I:I, "Failed")</f>
        <v/>
      </c>
      <c r="E10" s="8">
        <f>COUNTIFS('Detailed Test Cases'!B:B, A10, 'Detailed Test Cases'!I:I, "Skipped")</f>
        <v/>
      </c>
      <c r="F10" s="8">
        <f>COUNTIFS('Detailed Test Cases'!B:B, A10, 'Detailed Test Cases'!I:I, "Blocked")</f>
        <v/>
      </c>
      <c r="G10" s="8">
        <f>COUNTIFS('Detailed Test Cases'!B:B, A10, 'Detailed Test Cases'!I:I, "Not Executed")</f>
        <v/>
      </c>
    </row>
    <row r="11">
      <c r="A11" s="7" t="inlineStr">
        <is>
          <t>SignUpScreen</t>
        </is>
      </c>
      <c r="B11" s="8">
        <f>COUNTIF('Detailed Test Cases'!B:B, A11)</f>
        <v/>
      </c>
      <c r="C11" s="8">
        <f>COUNTIFS('Detailed Test Cases'!B:B, A11, 'Detailed Test Cases'!I:I, "Passed")</f>
        <v/>
      </c>
      <c r="D11" s="8">
        <f>COUNTIFS('Detailed Test Cases'!B:B, A11, 'Detailed Test Cases'!I:I, "Failed")</f>
        <v/>
      </c>
      <c r="E11" s="8">
        <f>COUNTIFS('Detailed Test Cases'!B:B, A11, 'Detailed Test Cases'!I:I, "Skipped")</f>
        <v/>
      </c>
      <c r="F11" s="8">
        <f>COUNTIFS('Detailed Test Cases'!B:B, A11, 'Detailed Test Cases'!I:I, "Blocked")</f>
        <v/>
      </c>
      <c r="G11" s="8">
        <f>COUNTIFS('Detailed Test Cases'!B:B, A11, 'Detailed Test Cases'!I:I, "Not Executed")</f>
        <v/>
      </c>
    </row>
    <row r="12">
      <c r="A12" s="7" t="inlineStr">
        <is>
          <t>ForgotScreen</t>
        </is>
      </c>
      <c r="B12" s="8">
        <f>COUNTIF('Detailed Test Cases'!B:B, A12)</f>
        <v/>
      </c>
      <c r="C12" s="8">
        <f>COUNTIFS('Detailed Test Cases'!B:B, A12, 'Detailed Test Cases'!I:I, "Passed")</f>
        <v/>
      </c>
      <c r="D12" s="8">
        <f>COUNTIFS('Detailed Test Cases'!B:B, A12, 'Detailed Test Cases'!I:I, "Failed")</f>
        <v/>
      </c>
      <c r="E12" s="8">
        <f>COUNTIFS('Detailed Test Cases'!B:B, A12, 'Detailed Test Cases'!I:I, "Skipped")</f>
        <v/>
      </c>
      <c r="F12" s="8">
        <f>COUNTIFS('Detailed Test Cases'!B:B, A12, 'Detailed Test Cases'!I:I, "Blocked")</f>
        <v/>
      </c>
      <c r="G12" s="8">
        <f>COUNTIFS('Detailed Test Cases'!B:B, A12, 'Detailed Test Cases'!I:I, "Not Executed")</f>
        <v/>
      </c>
    </row>
    <row r="13">
      <c r="A13" s="7" t="inlineStr">
        <is>
          <t>SelectScreen</t>
        </is>
      </c>
      <c r="B13" s="8">
        <f>COUNTIF('Detailed Test Cases'!B:B, A13)</f>
        <v/>
      </c>
      <c r="C13" s="8">
        <f>COUNTIFS('Detailed Test Cases'!B:B, A13, 'Detailed Test Cases'!I:I, "Passed")</f>
        <v/>
      </c>
      <c r="D13" s="8">
        <f>COUNTIFS('Detailed Test Cases'!B:B, A13, 'Detailed Test Cases'!I:I, "Failed")</f>
        <v/>
      </c>
      <c r="E13" s="8">
        <f>COUNTIFS('Detailed Test Cases'!B:B, A13, 'Detailed Test Cases'!I:I, "Skipped")</f>
        <v/>
      </c>
      <c r="F13" s="8">
        <f>COUNTIFS('Detailed Test Cases'!B:B, A13, 'Detailed Test Cases'!I:I, "Blocked")</f>
        <v/>
      </c>
      <c r="G13" s="8">
        <f>COUNTIFS('Detailed Test Cases'!B:B, A13, 'Detailed Test Cases'!I:I, "Not Executed")</f>
        <v/>
      </c>
    </row>
    <row r="14">
      <c r="A14" s="7" t="inlineStr">
        <is>
          <t>GoalScreen</t>
        </is>
      </c>
      <c r="B14" s="8">
        <f>COUNTIF('Detailed Test Cases'!B:B, A14)</f>
        <v/>
      </c>
      <c r="C14" s="8">
        <f>COUNTIFS('Detailed Test Cases'!B:B, A14, 'Detailed Test Cases'!I:I, "Passed")</f>
        <v/>
      </c>
      <c r="D14" s="8">
        <f>COUNTIFS('Detailed Test Cases'!B:B, A14, 'Detailed Test Cases'!I:I, "Failed")</f>
        <v/>
      </c>
      <c r="E14" s="8">
        <f>COUNTIFS('Detailed Test Cases'!B:B, A14, 'Detailed Test Cases'!I:I, "Skipped")</f>
        <v/>
      </c>
      <c r="F14" s="8">
        <f>COUNTIFS('Detailed Test Cases'!B:B, A14, 'Detailed Test Cases'!I:I, "Blocked")</f>
        <v/>
      </c>
      <c r="G14" s="8">
        <f>COUNTIFS('Detailed Test Cases'!B:B, A14, 'Detailed Test Cases'!I:I, "Not Executed")</f>
        <v/>
      </c>
    </row>
    <row r="15">
      <c r="A15" s="7" t="inlineStr">
        <is>
          <t>GenderScreen</t>
        </is>
      </c>
      <c r="B15" s="8">
        <f>COUNTIF('Detailed Test Cases'!B:B, A15)</f>
        <v/>
      </c>
      <c r="C15" s="8">
        <f>COUNTIFS('Detailed Test Cases'!B:B, A15, 'Detailed Test Cases'!I:I, "Passed")</f>
        <v/>
      </c>
      <c r="D15" s="8">
        <f>COUNTIFS('Detailed Test Cases'!B:B, A15, 'Detailed Test Cases'!I:I, "Failed")</f>
        <v/>
      </c>
      <c r="E15" s="8">
        <f>COUNTIFS('Detailed Test Cases'!B:B, A15, 'Detailed Test Cases'!I:I, "Skipped")</f>
        <v/>
      </c>
      <c r="F15" s="8">
        <f>COUNTIFS('Detailed Test Cases'!B:B, A15, 'Detailed Test Cases'!I:I, "Blocked")</f>
        <v/>
      </c>
      <c r="G15" s="8">
        <f>COUNTIFS('Detailed Test Cases'!B:B, A15, 'Detailed Test Cases'!I:I, "Not Executed")</f>
        <v/>
      </c>
    </row>
    <row r="16">
      <c r="A16" s="7" t="inlineStr">
        <is>
          <t>FoodScreen</t>
        </is>
      </c>
      <c r="B16" s="8">
        <f>COUNTIF('Detailed Test Cases'!B:B, A16)</f>
        <v/>
      </c>
      <c r="C16" s="8">
        <f>COUNTIFS('Detailed Test Cases'!B:B, A16, 'Detailed Test Cases'!I:I, "Passed")</f>
        <v/>
      </c>
      <c r="D16" s="8">
        <f>COUNTIFS('Detailed Test Cases'!B:B, A16, 'Detailed Test Cases'!I:I, "Failed")</f>
        <v/>
      </c>
      <c r="E16" s="8">
        <f>COUNTIFS('Detailed Test Cases'!B:B, A16, 'Detailed Test Cases'!I:I, "Skipped")</f>
        <v/>
      </c>
      <c r="F16" s="8">
        <f>COUNTIFS('Detailed Test Cases'!B:B, A16, 'Detailed Test Cases'!I:I, "Blocked")</f>
        <v/>
      </c>
      <c r="G16" s="8">
        <f>COUNTIFS('Detailed Test Cases'!B:B, A16, 'Detailed Test Cases'!I:I, "Not Executed")</f>
        <v/>
      </c>
    </row>
    <row r="17">
      <c r="A17" s="7" t="inlineStr">
        <is>
          <t>LocationScreen</t>
        </is>
      </c>
      <c r="B17" s="8">
        <f>COUNTIF('Detailed Test Cases'!B:B, A17)</f>
        <v/>
      </c>
      <c r="C17" s="8">
        <f>COUNTIFS('Detailed Test Cases'!B:B, A17, 'Detailed Test Cases'!I:I, "Passed")</f>
        <v/>
      </c>
      <c r="D17" s="8">
        <f>COUNTIFS('Detailed Test Cases'!B:B, A17, 'Detailed Test Cases'!I:I, "Failed")</f>
        <v/>
      </c>
      <c r="E17" s="8">
        <f>COUNTIFS('Detailed Test Cases'!B:B, A17, 'Detailed Test Cases'!I:I, "Skipped")</f>
        <v/>
      </c>
      <c r="F17" s="8">
        <f>COUNTIFS('Detailed Test Cases'!B:B, A17, 'Detailed Test Cases'!I:I, "Blocked")</f>
        <v/>
      </c>
      <c r="G17" s="8">
        <f>COUNTIFS('Detailed Test Cases'!B:B, A17, 'Detailed Test Cases'!I:I, "Not Executed")</f>
        <v/>
      </c>
    </row>
    <row r="18">
      <c r="A18" s="7" t="inlineStr">
        <is>
          <t>NumberScreen</t>
        </is>
      </c>
      <c r="B18" s="8">
        <f>COUNTIF('Detailed Test Cases'!B:B, A18)</f>
        <v/>
      </c>
      <c r="C18" s="8">
        <f>COUNTIFS('Detailed Test Cases'!B:B, A18, 'Detailed Test Cases'!I:I, "Passed")</f>
        <v/>
      </c>
      <c r="D18" s="8">
        <f>COUNTIFS('Detailed Test Cases'!B:B, A18, 'Detailed Test Cases'!I:I, "Failed")</f>
        <v/>
      </c>
      <c r="E18" s="8">
        <f>COUNTIFS('Detailed Test Cases'!B:B, A18, 'Detailed Test Cases'!I:I, "Skipped")</f>
        <v/>
      </c>
      <c r="F18" s="8">
        <f>COUNTIFS('Detailed Test Cases'!B:B, A18, 'Detailed Test Cases'!I:I, "Blocked")</f>
        <v/>
      </c>
      <c r="G18" s="8">
        <f>COUNTIFS('Detailed Test Cases'!B:B, A18, 'Detailed Test Cases'!I:I, "Not Executed")</f>
        <v/>
      </c>
    </row>
    <row r="19">
      <c r="A19" s="7" t="inlineStr">
        <is>
          <t>DashboardScreen</t>
        </is>
      </c>
      <c r="B19" s="8">
        <f>COUNTIF('Detailed Test Cases'!B:B, A19)</f>
        <v/>
      </c>
      <c r="C19" s="8">
        <f>COUNTIFS('Detailed Test Cases'!B:B, A19, 'Detailed Test Cases'!I:I, "Passed")</f>
        <v/>
      </c>
      <c r="D19" s="8">
        <f>COUNTIFS('Detailed Test Cases'!B:B, A19, 'Detailed Test Cases'!I:I, "Failed")</f>
        <v/>
      </c>
      <c r="E19" s="8">
        <f>COUNTIFS('Detailed Test Cases'!B:B, A19, 'Detailed Test Cases'!I:I, "Skipped")</f>
        <v/>
      </c>
      <c r="F19" s="8">
        <f>COUNTIFS('Detailed Test Cases'!B:B, A19, 'Detailed Test Cases'!I:I, "Blocked")</f>
        <v/>
      </c>
      <c r="G19" s="8">
        <f>COUNTIFS('Detailed Test Cases'!B:B, A19, 'Detailed Test Cases'!I:I, "Not Executed")</f>
        <v/>
      </c>
    </row>
    <row r="20">
      <c r="A20" s="7" t="inlineStr">
        <is>
          <t>HomeTab</t>
        </is>
      </c>
      <c r="B20" s="8">
        <f>COUNTIF('Detailed Test Cases'!B:B, A20)</f>
        <v/>
      </c>
      <c r="C20" s="8">
        <f>COUNTIFS('Detailed Test Cases'!B:B, A20, 'Detailed Test Cases'!I:I, "Passed")</f>
        <v/>
      </c>
      <c r="D20" s="8">
        <f>COUNTIFS('Detailed Test Cases'!B:B, A20, 'Detailed Test Cases'!I:I, "Failed")</f>
        <v/>
      </c>
      <c r="E20" s="8">
        <f>COUNTIFS('Detailed Test Cases'!B:B, A20, 'Detailed Test Cases'!I:I, "Skipped")</f>
        <v/>
      </c>
      <c r="F20" s="8">
        <f>COUNTIFS('Detailed Test Cases'!B:B, A20, 'Detailed Test Cases'!I:I, "Blocked")</f>
        <v/>
      </c>
      <c r="G20" s="8">
        <f>COUNTIFS('Detailed Test Cases'!B:B, A20, 'Detailed Test Cases'!I:I, "Not Executed")</f>
        <v/>
      </c>
    </row>
    <row r="21">
      <c r="A21" s="7" t="inlineStr">
        <is>
          <t>HeroCard</t>
        </is>
      </c>
      <c r="B21" s="8">
        <f>COUNTIF('Detailed Test Cases'!B:B, A21)</f>
        <v/>
      </c>
      <c r="C21" s="8">
        <f>COUNTIFS('Detailed Test Cases'!B:B, A21, 'Detailed Test Cases'!I:I, "Passed")</f>
        <v/>
      </c>
      <c r="D21" s="8">
        <f>COUNTIFS('Detailed Test Cases'!B:B, A21, 'Detailed Test Cases'!I:I, "Failed")</f>
        <v/>
      </c>
      <c r="E21" s="8">
        <f>COUNTIFS('Detailed Test Cases'!B:B, A21, 'Detailed Test Cases'!I:I, "Skipped")</f>
        <v/>
      </c>
      <c r="F21" s="8">
        <f>COUNTIFS('Detailed Test Cases'!B:B, A21, 'Detailed Test Cases'!I:I, "Blocked")</f>
        <v/>
      </c>
      <c r="G21" s="8">
        <f>COUNTIFS('Detailed Test Cases'!B:B, A21, 'Detailed Test Cases'!I:I, "Not Executed")</f>
        <v/>
      </c>
    </row>
    <row r="22">
      <c r="A22" s="7" t="inlineStr">
        <is>
          <t>WorkoutDayCard</t>
        </is>
      </c>
      <c r="B22" s="8">
        <f>COUNTIF('Detailed Test Cases'!B:B, A22)</f>
        <v/>
      </c>
      <c r="C22" s="8">
        <f>COUNTIFS('Detailed Test Cases'!B:B, A22, 'Detailed Test Cases'!I:I, "Passed")</f>
        <v/>
      </c>
      <c r="D22" s="8">
        <f>COUNTIFS('Detailed Test Cases'!B:B, A22, 'Detailed Test Cases'!I:I, "Failed")</f>
        <v/>
      </c>
      <c r="E22" s="8">
        <f>COUNTIFS('Detailed Test Cases'!B:B, A22, 'Detailed Test Cases'!I:I, "Skipped")</f>
        <v/>
      </c>
      <c r="F22" s="8">
        <f>COUNTIFS('Detailed Test Cases'!B:B, A22, 'Detailed Test Cases'!I:I, "Blocked")</f>
        <v/>
      </c>
      <c r="G22" s="8">
        <f>COUNTIFS('Detailed Test Cases'!B:B, A22, 'Detailed Test Cases'!I:I, "Not Executed")</f>
        <v/>
      </c>
    </row>
    <row r="23">
      <c r="A23" s="7" t="inlineStr">
        <is>
          <t>WarmupCard</t>
        </is>
      </c>
      <c r="B23" s="8">
        <f>COUNTIF('Detailed Test Cases'!B:B, A23)</f>
        <v/>
      </c>
      <c r="C23" s="8">
        <f>COUNTIFS('Detailed Test Cases'!B:B, A23, 'Detailed Test Cases'!I:I, "Passed")</f>
        <v/>
      </c>
      <c r="D23" s="8">
        <f>COUNTIFS('Detailed Test Cases'!B:B, A23, 'Detailed Test Cases'!I:I, "Failed")</f>
        <v/>
      </c>
      <c r="E23" s="8">
        <f>COUNTIFS('Detailed Test Cases'!B:B, A23, 'Detailed Test Cases'!I:I, "Skipped")</f>
        <v/>
      </c>
      <c r="F23" s="8">
        <f>COUNTIFS('Detailed Test Cases'!B:B, A23, 'Detailed Test Cases'!I:I, "Blocked")</f>
        <v/>
      </c>
      <c r="G23" s="8">
        <f>COUNTIFS('Detailed Test Cases'!B:B, A23, 'Detailed Test Cases'!I:I, "Not Executed")</f>
        <v/>
      </c>
    </row>
    <row r="24">
      <c r="A24" s="7" t="inlineStr">
        <is>
          <t>DietDayCard</t>
        </is>
      </c>
      <c r="B24" s="8">
        <f>COUNTIF('Detailed Test Cases'!B:B, A24)</f>
        <v/>
      </c>
      <c r="C24" s="8">
        <f>COUNTIFS('Detailed Test Cases'!B:B, A24, 'Detailed Test Cases'!I:I, "Passed")</f>
        <v/>
      </c>
      <c r="D24" s="8">
        <f>COUNTIFS('Detailed Test Cases'!B:B, A24, 'Detailed Test Cases'!I:I, "Failed")</f>
        <v/>
      </c>
      <c r="E24" s="8">
        <f>COUNTIFS('Detailed Test Cases'!B:B, A24, 'Detailed Test Cases'!I:I, "Skipped")</f>
        <v/>
      </c>
      <c r="F24" s="8">
        <f>COUNTIFS('Detailed Test Cases'!B:B, A24, 'Detailed Test Cases'!I:I, "Blocked")</f>
        <v/>
      </c>
      <c r="G24" s="8">
        <f>COUNTIFS('Detailed Test Cases'!B:B, A24, 'Detailed Test Cases'!I:I, "Not Executed")</f>
        <v/>
      </c>
    </row>
    <row r="25">
      <c r="A25" s="7" t="inlineStr">
        <is>
          <t>BudgetFoodSection</t>
        </is>
      </c>
      <c r="B25" s="8">
        <f>COUNTIF('Detailed Test Cases'!B:B, A25)</f>
        <v/>
      </c>
      <c r="C25" s="8">
        <f>COUNTIFS('Detailed Test Cases'!B:B, A25, 'Detailed Test Cases'!I:I, "Passed")</f>
        <v/>
      </c>
      <c r="D25" s="8">
        <f>COUNTIFS('Detailed Test Cases'!B:B, A25, 'Detailed Test Cases'!I:I, "Failed")</f>
        <v/>
      </c>
      <c r="E25" s="8">
        <f>COUNTIFS('Detailed Test Cases'!B:B, A25, 'Detailed Test Cases'!I:I, "Skipped")</f>
        <v/>
      </c>
      <c r="F25" s="8">
        <f>COUNTIFS('Detailed Test Cases'!B:B, A25, 'Detailed Test Cases'!I:I, "Blocked")</f>
        <v/>
      </c>
      <c r="G25" s="8">
        <f>COUNTIFS('Detailed Test Cases'!B:B, A25, 'Detailed Test Cases'!I:I, "Not Executed")</f>
        <v/>
      </c>
    </row>
    <row r="26">
      <c r="A26" s="7" t="inlineStr">
        <is>
          <t>PlansTab</t>
        </is>
      </c>
      <c r="B26" s="8">
        <f>COUNTIF('Detailed Test Cases'!B:B, A26)</f>
        <v/>
      </c>
      <c r="C26" s="8">
        <f>COUNTIFS('Detailed Test Cases'!B:B, A26, 'Detailed Test Cases'!I:I, "Passed")</f>
        <v/>
      </c>
      <c r="D26" s="8">
        <f>COUNTIFS('Detailed Test Cases'!B:B, A26, 'Detailed Test Cases'!I:I, "Failed")</f>
        <v/>
      </c>
      <c r="E26" s="8">
        <f>COUNTIFS('Detailed Test Cases'!B:B, A26, 'Detailed Test Cases'!I:I, "Skipped")</f>
        <v/>
      </c>
      <c r="F26" s="8">
        <f>COUNTIFS('Detailed Test Cases'!B:B, A26, 'Detailed Test Cases'!I:I, "Blocked")</f>
        <v/>
      </c>
      <c r="G26" s="8">
        <f>COUNTIFS('Detailed Test Cases'!B:B, A26, 'Detailed Test Cases'!I:I, "Not Executed")</f>
        <v/>
      </c>
    </row>
    <row r="27">
      <c r="A27" s="7" t="inlineStr">
        <is>
          <t>TrackersTab</t>
        </is>
      </c>
      <c r="B27" s="8">
        <f>COUNTIF('Detailed Test Cases'!B:B, A27)</f>
        <v/>
      </c>
      <c r="C27" s="8">
        <f>COUNTIFS('Detailed Test Cases'!B:B, A27, 'Detailed Test Cases'!I:I, "Passed")</f>
        <v/>
      </c>
      <c r="D27" s="8">
        <f>COUNTIFS('Detailed Test Cases'!B:B, A27, 'Detailed Test Cases'!I:I, "Failed")</f>
        <v/>
      </c>
      <c r="E27" s="8">
        <f>COUNTIFS('Detailed Test Cases'!B:B, A27, 'Detailed Test Cases'!I:I, "Skipped")</f>
        <v/>
      </c>
      <c r="F27" s="8">
        <f>COUNTIFS('Detailed Test Cases'!B:B, A27, 'Detailed Test Cases'!I:I, "Blocked")</f>
        <v/>
      </c>
      <c r="G27" s="8">
        <f>COUNTIFS('Detailed Test Cases'!B:B, A27, 'Detailed Test Cases'!I:I, "Not Executed")</f>
        <v/>
      </c>
    </row>
    <row r="28">
      <c r="A28" s="7" t="inlineStr">
        <is>
          <t>WaterTrackerSection</t>
        </is>
      </c>
      <c r="B28" s="8">
        <f>COUNTIF('Detailed Test Cases'!B:B, A28)</f>
        <v/>
      </c>
      <c r="C28" s="8">
        <f>COUNTIFS('Detailed Test Cases'!B:B, A28, 'Detailed Test Cases'!I:I, "Passed")</f>
        <v/>
      </c>
      <c r="D28" s="8">
        <f>COUNTIFS('Detailed Test Cases'!B:B, A28, 'Detailed Test Cases'!I:I, "Failed")</f>
        <v/>
      </c>
      <c r="E28" s="8">
        <f>COUNTIFS('Detailed Test Cases'!B:B, A28, 'Detailed Test Cases'!I:I, "Skipped")</f>
        <v/>
      </c>
      <c r="F28" s="8">
        <f>COUNTIFS('Detailed Test Cases'!B:B, A28, 'Detailed Test Cases'!I:I, "Blocked")</f>
        <v/>
      </c>
      <c r="G28" s="8">
        <f>COUNTIFS('Detailed Test Cases'!B:B, A28, 'Detailed Test Cases'!I:I, "Not Executed")</f>
        <v/>
      </c>
    </row>
    <row r="29">
      <c r="A29" s="7" t="inlineStr">
        <is>
          <t>SleepTrackerSection</t>
        </is>
      </c>
      <c r="B29" s="8">
        <f>COUNTIF('Detailed Test Cases'!B:B, A29)</f>
        <v/>
      </c>
      <c r="C29" s="8">
        <f>COUNTIFS('Detailed Test Cases'!B:B, A29, 'Detailed Test Cases'!I:I, "Passed")</f>
        <v/>
      </c>
      <c r="D29" s="8">
        <f>COUNTIFS('Detailed Test Cases'!B:B, A29, 'Detailed Test Cases'!I:I, "Failed")</f>
        <v/>
      </c>
      <c r="E29" s="8">
        <f>COUNTIFS('Detailed Test Cases'!B:B, A29, 'Detailed Test Cases'!I:I, "Skipped")</f>
        <v/>
      </c>
      <c r="F29" s="8">
        <f>COUNTIFS('Detailed Test Cases'!B:B, A29, 'Detailed Test Cases'!I:I, "Blocked")</f>
        <v/>
      </c>
      <c r="G29" s="8">
        <f>COUNTIFS('Detailed Test Cases'!B:B, A29, 'Detailed Test Cases'!I:I, "Not Executed")</f>
        <v/>
      </c>
    </row>
    <row r="30">
      <c r="A30" s="7" t="inlineStr">
        <is>
          <t>StepTrackerSection</t>
        </is>
      </c>
      <c r="B30" s="8">
        <f>COUNTIF('Detailed Test Cases'!B:B, A30)</f>
        <v/>
      </c>
      <c r="C30" s="8">
        <f>COUNTIFS('Detailed Test Cases'!B:B, A30, 'Detailed Test Cases'!I:I, "Passed")</f>
        <v/>
      </c>
      <c r="D30" s="8">
        <f>COUNTIFS('Detailed Test Cases'!B:B, A30, 'Detailed Test Cases'!I:I, "Failed")</f>
        <v/>
      </c>
      <c r="E30" s="8">
        <f>COUNTIFS('Detailed Test Cases'!B:B, A30, 'Detailed Test Cases'!I:I, "Skipped")</f>
        <v/>
      </c>
      <c r="F30" s="8">
        <f>COUNTIFS('Detailed Test Cases'!B:B, A30, 'Detailed Test Cases'!I:I, "Blocked")</f>
        <v/>
      </c>
      <c r="G30" s="8">
        <f>COUNTIFS('Detailed Test Cases'!B:B, A30, 'Detailed Test Cases'!I:I, "Not Executed")</f>
        <v/>
      </c>
    </row>
    <row r="31">
      <c r="A31" s="7" t="inlineStr">
        <is>
          <t>AITrainerScreen</t>
        </is>
      </c>
      <c r="B31" s="8">
        <f>COUNTIF('Detailed Test Cases'!B:B, A31)</f>
        <v/>
      </c>
      <c r="C31" s="8">
        <f>COUNTIFS('Detailed Test Cases'!B:B, A31, 'Detailed Test Cases'!I:I, "Passed")</f>
        <v/>
      </c>
      <c r="D31" s="8">
        <f>COUNTIFS('Detailed Test Cases'!B:B, A31, 'Detailed Test Cases'!I:I, "Failed")</f>
        <v/>
      </c>
      <c r="E31" s="8">
        <f>COUNTIFS('Detailed Test Cases'!B:B, A31, 'Detailed Test Cases'!I:I, "Skipped")</f>
        <v/>
      </c>
      <c r="F31" s="8">
        <f>COUNTIFS('Detailed Test Cases'!B:B, A31, 'Detailed Test Cases'!I:I, "Blocked")</f>
        <v/>
      </c>
      <c r="G31" s="8">
        <f>COUNTIFS('Detailed Test Cases'!B:B, A31, 'Detailed Test Cases'!I:I, "Not Executed")</f>
        <v/>
      </c>
    </row>
    <row r="32">
      <c r="A32" s="7" t="inlineStr">
        <is>
          <t>ShopTab</t>
        </is>
      </c>
      <c r="B32" s="8">
        <f>COUNTIF('Detailed Test Cases'!B:B, A32)</f>
        <v/>
      </c>
      <c r="C32" s="8">
        <f>COUNTIFS('Detailed Test Cases'!B:B, A32, 'Detailed Test Cases'!I:I, "Passed")</f>
        <v/>
      </c>
      <c r="D32" s="8">
        <f>COUNTIFS('Detailed Test Cases'!B:B, A32, 'Detailed Test Cases'!I:I, "Failed")</f>
        <v/>
      </c>
      <c r="E32" s="8">
        <f>COUNTIFS('Detailed Test Cases'!B:B, A32, 'Detailed Test Cases'!I:I, "Skipped")</f>
        <v/>
      </c>
      <c r="F32" s="8">
        <f>COUNTIFS('Detailed Test Cases'!B:B, A32, 'Detailed Test Cases'!I:I, "Blocked")</f>
        <v/>
      </c>
      <c r="G32" s="8">
        <f>COUNTIFS('Detailed Test Cases'!B:B, A32, 'Detailed Test Cases'!I:I, "Not Executed")</f>
        <v/>
      </c>
    </row>
    <row r="33">
      <c r="A33" s="7" t="inlineStr">
        <is>
          <t>BudgetProductCard</t>
        </is>
      </c>
      <c r="B33" s="8">
        <f>COUNTIF('Detailed Test Cases'!B:B, A33)</f>
        <v/>
      </c>
      <c r="C33" s="8">
        <f>COUNTIFS('Detailed Test Cases'!B:B, A33, 'Detailed Test Cases'!I:I, "Passed")</f>
        <v/>
      </c>
      <c r="D33" s="8">
        <f>COUNTIFS('Detailed Test Cases'!B:B, A33, 'Detailed Test Cases'!I:I, "Failed")</f>
        <v/>
      </c>
      <c r="E33" s="8">
        <f>COUNTIFS('Detailed Test Cases'!B:B, A33, 'Detailed Test Cases'!I:I, "Skipped")</f>
        <v/>
      </c>
      <c r="F33" s="8">
        <f>COUNTIFS('Detailed Test Cases'!B:B, A33, 'Detailed Test Cases'!I:I, "Blocked")</f>
        <v/>
      </c>
      <c r="G33" s="8">
        <f>COUNTIFS('Detailed Test Cases'!B:B, A33, 'Detailed Test Cases'!I:I, "Not Executed")</f>
        <v/>
      </c>
    </row>
    <row r="34">
      <c r="A34" s="7" t="inlineStr">
        <is>
          <t>CartScreen</t>
        </is>
      </c>
      <c r="B34" s="8">
        <f>COUNTIF('Detailed Test Cases'!B:B, A34)</f>
        <v/>
      </c>
      <c r="C34" s="8">
        <f>COUNTIFS('Detailed Test Cases'!B:B, A34, 'Detailed Test Cases'!I:I, "Passed")</f>
        <v/>
      </c>
      <c r="D34" s="8">
        <f>COUNTIFS('Detailed Test Cases'!B:B, A34, 'Detailed Test Cases'!I:I, "Failed")</f>
        <v/>
      </c>
      <c r="E34" s="8">
        <f>COUNTIFS('Detailed Test Cases'!B:B, A34, 'Detailed Test Cases'!I:I, "Skipped")</f>
        <v/>
      </c>
      <c r="F34" s="8">
        <f>COUNTIFS('Detailed Test Cases'!B:B, A34, 'Detailed Test Cases'!I:I, "Blocked")</f>
        <v/>
      </c>
      <c r="G34" s="8">
        <f>COUNTIFS('Detailed Test Cases'!B:B, A34, 'Detailed Test Cases'!I:I, "Not Executed")</f>
        <v/>
      </c>
    </row>
    <row r="35">
      <c r="A35" s="7" t="inlineStr">
        <is>
          <t>CheckoutScreen</t>
        </is>
      </c>
      <c r="B35" s="8">
        <f>COUNTIF('Detailed Test Cases'!B:B, A35)</f>
        <v/>
      </c>
      <c r="C35" s="8">
        <f>COUNTIFS('Detailed Test Cases'!B:B, A35, 'Detailed Test Cases'!I:I, "Passed")</f>
        <v/>
      </c>
      <c r="D35" s="8">
        <f>COUNTIFS('Detailed Test Cases'!B:B, A35, 'Detailed Test Cases'!I:I, "Failed")</f>
        <v/>
      </c>
      <c r="E35" s="8">
        <f>COUNTIFS('Detailed Test Cases'!B:B, A35, 'Detailed Test Cases'!I:I, "Skipped")</f>
        <v/>
      </c>
      <c r="F35" s="8">
        <f>COUNTIFS('Detailed Test Cases'!B:B, A35, 'Detailed Test Cases'!I:I, "Blocked")</f>
        <v/>
      </c>
      <c r="G35" s="8">
        <f>COUNTIFS('Detailed Test Cases'!B:B, A35, 'Detailed Test Cases'!I:I, "Not Executed")</f>
        <v/>
      </c>
    </row>
    <row r="36">
      <c r="A36" s="7" t="inlineStr">
        <is>
          <t>AddressManagementSection</t>
        </is>
      </c>
      <c r="B36" s="8">
        <f>COUNTIF('Detailed Test Cases'!B:B, A36)</f>
        <v/>
      </c>
      <c r="C36" s="8">
        <f>COUNTIFS('Detailed Test Cases'!B:B, A36, 'Detailed Test Cases'!I:I, "Passed")</f>
        <v/>
      </c>
      <c r="D36" s="8">
        <f>COUNTIFS('Detailed Test Cases'!B:B, A36, 'Detailed Test Cases'!I:I, "Failed")</f>
        <v/>
      </c>
      <c r="E36" s="8">
        <f>COUNTIFS('Detailed Test Cases'!B:B, A36, 'Detailed Test Cases'!I:I, "Skipped")</f>
        <v/>
      </c>
      <c r="F36" s="8">
        <f>COUNTIFS('Detailed Test Cases'!B:B, A36, 'Detailed Test Cases'!I:I, "Blocked")</f>
        <v/>
      </c>
      <c r="G36" s="8">
        <f>COUNTIFS('Detailed Test Cases'!B:B, A36, 'Detailed Test Cases'!I:I, "Not Executed")</f>
        <v/>
      </c>
    </row>
    <row r="37">
      <c r="A37" s="7" t="inlineStr">
        <is>
          <t>OrderConfirmationScreen</t>
        </is>
      </c>
      <c r="B37" s="8">
        <f>COUNTIF('Detailed Test Cases'!B:B, A37)</f>
        <v/>
      </c>
      <c r="C37" s="8">
        <f>COUNTIFS('Detailed Test Cases'!B:B, A37, 'Detailed Test Cases'!I:I, "Passed")</f>
        <v/>
      </c>
      <c r="D37" s="8">
        <f>COUNTIFS('Detailed Test Cases'!B:B, A37, 'Detailed Test Cases'!I:I, "Failed")</f>
        <v/>
      </c>
      <c r="E37" s="8">
        <f>COUNTIFS('Detailed Test Cases'!B:B, A37, 'Detailed Test Cases'!I:I, "Skipped")</f>
        <v/>
      </c>
      <c r="F37" s="8">
        <f>COUNTIFS('Detailed Test Cases'!B:B, A37, 'Detailed Test Cases'!I:I, "Blocked")</f>
        <v/>
      </c>
      <c r="G37" s="8">
        <f>COUNTIFS('Detailed Test Cases'!B:B, A37, 'Detailed Test Cases'!I:I, "Not Executed")</f>
        <v/>
      </c>
    </row>
    <row r="38">
      <c r="A38" s="7" t="inlineStr">
        <is>
          <t>MyOrdersScreen</t>
        </is>
      </c>
      <c r="B38" s="8">
        <f>COUNTIF('Detailed Test Cases'!B:B, A38)</f>
        <v/>
      </c>
      <c r="C38" s="8">
        <f>COUNTIFS('Detailed Test Cases'!B:B, A38, 'Detailed Test Cases'!I:I, "Passed")</f>
        <v/>
      </c>
      <c r="D38" s="8">
        <f>COUNTIFS('Detailed Test Cases'!B:B, A38, 'Detailed Test Cases'!I:I, "Failed")</f>
        <v/>
      </c>
      <c r="E38" s="8">
        <f>COUNTIFS('Detailed Test Cases'!B:B, A38, 'Detailed Test Cases'!I:I, "Skipped")</f>
        <v/>
      </c>
      <c r="F38" s="8">
        <f>COUNTIFS('Detailed Test Cases'!B:B, A38, 'Detailed Test Cases'!I:I, "Blocked")</f>
        <v/>
      </c>
      <c r="G38" s="8">
        <f>COUNTIFS('Detailed Test Cases'!B:B, A38, 'Detailed Test Cases'!I:I, "Not Executed")</f>
        <v/>
      </c>
    </row>
    <row r="39">
      <c r="A39" s="7" t="inlineStr">
        <is>
          <t>OrderTrackingTimeline</t>
        </is>
      </c>
      <c r="B39" s="8">
        <f>COUNTIF('Detailed Test Cases'!B:B, A39)</f>
        <v/>
      </c>
      <c r="C39" s="8">
        <f>COUNTIFS('Detailed Test Cases'!B:B, A39, 'Detailed Test Cases'!I:I, "Passed")</f>
        <v/>
      </c>
      <c r="D39" s="8">
        <f>COUNTIFS('Detailed Test Cases'!B:B, A39, 'Detailed Test Cases'!I:I, "Failed")</f>
        <v/>
      </c>
      <c r="E39" s="8">
        <f>COUNTIFS('Detailed Test Cases'!B:B, A39, 'Detailed Test Cases'!I:I, "Skipped")</f>
        <v/>
      </c>
      <c r="F39" s="8">
        <f>COUNTIFS('Detailed Test Cases'!B:B, A39, 'Detailed Test Cases'!I:I, "Blocked")</f>
        <v/>
      </c>
      <c r="G39" s="8">
        <f>COUNTIFS('Detailed Test Cases'!B:B, A39, 'Detailed Test Cases'!I:I, "Not Executed")</f>
        <v/>
      </c>
    </row>
    <row r="40">
      <c r="A40" s="7" t="inlineStr">
        <is>
          <t>ProfileTab</t>
        </is>
      </c>
      <c r="B40" s="8">
        <f>COUNTIF('Detailed Test Cases'!B:B, A40)</f>
        <v/>
      </c>
      <c r="C40" s="8">
        <f>COUNTIFS('Detailed Test Cases'!B:B, A40, 'Detailed Test Cases'!I:I, "Passed")</f>
        <v/>
      </c>
      <c r="D40" s="8">
        <f>COUNTIFS('Detailed Test Cases'!B:B, A40, 'Detailed Test Cases'!I:I, "Failed")</f>
        <v/>
      </c>
      <c r="E40" s="8">
        <f>COUNTIFS('Detailed Test Cases'!B:B, A40, 'Detailed Test Cases'!I:I, "Skipped")</f>
        <v/>
      </c>
      <c r="F40" s="8">
        <f>COUNTIFS('Detailed Test Cases'!B:B, A40, 'Detailed Test Cases'!I:I, "Blocked")</f>
        <v/>
      </c>
      <c r="G40" s="8">
        <f>COUNTIFS('Detailed Test Cases'!B:B, A40, 'Detailed Test Cases'!I:I, "Not Executed")</f>
        <v/>
      </c>
    </row>
    <row r="41">
      <c r="A41" s="7" t="inlineStr">
        <is>
          <t>RemindersNotificationModule</t>
        </is>
      </c>
      <c r="B41" s="8">
        <f>COUNTIF('Detailed Test Cases'!B:B, A41)</f>
        <v/>
      </c>
      <c r="C41" s="8">
        <f>COUNTIFS('Detailed Test Cases'!B:B, A41, 'Detailed Test Cases'!I:I, "Passed")</f>
        <v/>
      </c>
      <c r="D41" s="8">
        <f>COUNTIFS('Detailed Test Cases'!B:B, A41, 'Detailed Test Cases'!I:I, "Failed")</f>
        <v/>
      </c>
      <c r="E41" s="8">
        <f>COUNTIFS('Detailed Test Cases'!B:B, A41, 'Detailed Test Cases'!I:I, "Skipped")</f>
        <v/>
      </c>
      <c r="F41" s="8">
        <f>COUNTIFS('Detailed Test Cases'!B:B, A41, 'Detailed Test Cases'!I:I, "Blocked")</f>
        <v/>
      </c>
      <c r="G41" s="8">
        <f>COUNTIFS('Detailed Test Cases'!B:B, A41, 'Detailed Test Cases'!I:I, "Not Executed")</f>
        <v/>
      </c>
    </row>
    <row r="42">
      <c r="A42" s="7" t="inlineStr">
        <is>
          <t>SettingsLocalizationModule</t>
        </is>
      </c>
      <c r="B42" s="8">
        <f>COUNTIF('Detailed Test Cases'!B:B, A42)</f>
        <v/>
      </c>
      <c r="C42" s="8">
        <f>COUNTIFS('Detailed Test Cases'!B:B, A42, 'Detailed Test Cases'!I:I, "Passed")</f>
        <v/>
      </c>
      <c r="D42" s="8">
        <f>COUNTIFS('Detailed Test Cases'!B:B, A42, 'Detailed Test Cases'!I:I, "Failed")</f>
        <v/>
      </c>
      <c r="E42" s="8">
        <f>COUNTIFS('Detailed Test Cases'!B:B, A42, 'Detailed Test Cases'!I:I, "Skipped")</f>
        <v/>
      </c>
      <c r="F42" s="8">
        <f>COUNTIFS('Detailed Test Cases'!B:B, A42, 'Detailed Test Cases'!I:I, "Blocked")</f>
        <v/>
      </c>
      <c r="G42" s="8">
        <f>COUNTIFS('Detailed Test Cases'!B:B, A42, 'Detailed Test Cases'!I:I, "Not Executed")</f>
        <v/>
      </c>
    </row>
    <row r="43">
      <c r="A43" s="7" t="inlineStr">
        <is>
          <t>SupabaseIntegrationModule</t>
        </is>
      </c>
      <c r="B43" s="8">
        <f>COUNTIF('Detailed Test Cases'!B:B, A43)</f>
        <v/>
      </c>
      <c r="C43" s="8">
        <f>COUNTIFS('Detailed Test Cases'!B:B, A43, 'Detailed Test Cases'!I:I, "Passed")</f>
        <v/>
      </c>
      <c r="D43" s="8">
        <f>COUNTIFS('Detailed Test Cases'!B:B, A43, 'Detailed Test Cases'!I:I, "Failed")</f>
        <v/>
      </c>
      <c r="E43" s="8">
        <f>COUNTIFS('Detailed Test Cases'!B:B, A43, 'Detailed Test Cases'!I:I, "Skipped")</f>
        <v/>
      </c>
      <c r="F43" s="8">
        <f>COUNTIFS('Detailed Test Cases'!B:B, A43, 'Detailed Test Cases'!I:I, "Blocked")</f>
        <v/>
      </c>
      <c r="G43" s="8">
        <f>COUNTIFS('Detailed Test Cases'!B:B, A43, 'Detailed Test Cases'!I:I, "Not Executed")</f>
        <v/>
      </c>
    </row>
    <row r="44">
      <c r="A44" s="9" t="inlineStr">
        <is>
          <t>Total Suite</t>
        </is>
      </c>
      <c r="B44" s="10">
        <f>SUM(B9:B43)</f>
        <v/>
      </c>
      <c r="C44" s="10">
        <f>SUM(C9:C43)</f>
        <v/>
      </c>
      <c r="D44" s="10">
        <f>SUM(D9:D43)</f>
        <v/>
      </c>
      <c r="E44" s="10">
        <f>SUM(E9:E43)</f>
        <v/>
      </c>
      <c r="F44" s="10">
        <f>SUM(F9:F43)</f>
        <v/>
      </c>
      <c r="G44" s="10">
        <f>SUM(G9:G43)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1"/>
  <sheetViews>
    <sheetView showGridLines="1" workbookViewId="0">
      <pane ySplit="1" topLeftCell="A2" activePane="bottomLeft" state="frozen"/>
      <selection pane="bottomLeft" activeCell="A1" sqref="A1"/>
    </sheetView>
  </sheetViews>
  <sheetFormatPr baseColWidth="8" defaultRowHeight="15"/>
  <cols>
    <col width="14" customWidth="1" min="1" max="1"/>
    <col width="28" customWidth="1" min="2" max="2"/>
    <col width="25" customWidth="1" min="3" max="3"/>
    <col width="35" customWidth="1" min="4" max="4"/>
    <col width="45" customWidth="1" min="5" max="5"/>
    <col width="30" customWidth="1" min="6" max="6"/>
    <col width="35" customWidth="1" min="7" max="7"/>
    <col width="20" customWidth="1" min="8" max="8"/>
    <col width="15" customWidth="1" min="9" max="9"/>
    <col width="12" customWidth="1" min="10" max="10"/>
    <col width="12" customWidth="1" min="11" max="11"/>
    <col width="18" customWidth="1" min="12" max="12"/>
    <col width="25" customWidth="1" min="13" max="13"/>
    <col width="25" customWidth="1" min="14" max="14"/>
    <col width="25" customWidth="1" min="15" max="15"/>
  </cols>
  <sheetData>
    <row r="1" ht="28" customHeight="1">
      <c r="A1" s="6" t="inlineStr">
        <is>
          <t>Test Case ID</t>
        </is>
      </c>
      <c r="B1" s="6" t="inlineStr">
        <is>
          <t>Module/Screen</t>
        </is>
      </c>
      <c r="C1" s="6" t="inlineStr">
        <is>
          <t>Test Category</t>
        </is>
      </c>
      <c r="D1" s="6" t="inlineStr">
        <is>
          <t>Test Scenario</t>
        </is>
      </c>
      <c r="E1" s="6" t="inlineStr">
        <is>
          <t>Test Steps</t>
        </is>
      </c>
      <c r="F1" s="6" t="inlineStr">
        <is>
          <t>Test Data</t>
        </is>
      </c>
      <c r="G1" s="6" t="inlineStr">
        <is>
          <t>Expected Result</t>
        </is>
      </c>
      <c r="H1" s="6" t="inlineStr">
        <is>
          <t>Actual Result</t>
        </is>
      </c>
      <c r="I1" s="6" t="inlineStr">
        <is>
          <t>Status</t>
        </is>
      </c>
      <c r="J1" s="6" t="inlineStr">
        <is>
          <t>Priority</t>
        </is>
      </c>
      <c r="K1" s="6" t="inlineStr">
        <is>
          <t>Severity</t>
        </is>
      </c>
      <c r="L1" s="6" t="inlineStr">
        <is>
          <t>Automation Status</t>
        </is>
      </c>
      <c r="M1" s="6" t="inlineStr">
        <is>
          <t>Environment</t>
        </is>
      </c>
      <c r="N1" s="6" t="inlineStr">
        <is>
          <t>Browser/Device</t>
        </is>
      </c>
      <c r="O1" s="6" t="inlineStr">
        <is>
          <t>Remarks</t>
        </is>
      </c>
    </row>
    <row r="2" ht="36" customHeight="1">
      <c r="A2" s="11" t="inlineStr">
        <is>
          <t>TC-001</t>
        </is>
      </c>
      <c r="B2" s="12" t="inlineStr">
        <is>
          <t>SplashScreen</t>
        </is>
      </c>
      <c r="C2" s="12" t="inlineStr">
        <is>
          <t>Selenium Web UI Testing</t>
        </is>
      </c>
      <c r="D2" s="12" t="inlineStr">
        <is>
          <t>Positive Web UI Layout on Splash &amp; Onboarding Screen</t>
        </is>
      </c>
      <c r="E2" s="12" t="inlineStr">
        <is>
          <t>1. Launch test runner in Staging / Web Chrome.
2. Navigate to Splash &amp; Onboarding Screen (SplashScreen).
3. Launch browser, navigate to SplashScreen, verify grid container alignment and responsive element scaling.
4. Verify expected results and log evidence.</t>
        </is>
      </c>
      <c r="F2" s="12" t="inlineStr">
        <is>
          <t>Viewport: 1920x1080, Screen: SplashScreen</t>
        </is>
      </c>
      <c r="G2" s="12" t="inlineStr">
        <is>
          <t>UI components align cleanly without scrollbar clipping or overflow.</t>
        </is>
      </c>
      <c r="H2" s="12" t="inlineStr">
        <is>
          <t>Pending Execution</t>
        </is>
      </c>
      <c r="I2" s="13" t="inlineStr">
        <is>
          <t>Not Executed</t>
        </is>
      </c>
      <c r="J2" s="11" t="inlineStr">
        <is>
          <t>Medium</t>
        </is>
      </c>
      <c r="K2" s="11" t="inlineStr">
        <is>
          <t>Moderate</t>
        </is>
      </c>
      <c r="L2" s="11" t="inlineStr">
        <is>
          <t>Script Ready</t>
        </is>
      </c>
      <c r="M2" s="12" t="inlineStr">
        <is>
          <t>Staging / Web Chrome</t>
        </is>
      </c>
      <c r="N2" s="12" t="inlineStr">
        <is>
          <t>Chrome v126 / Edge v126</t>
        </is>
      </c>
      <c r="O2" s="12" t="inlineStr">
        <is>
          <t>Screen-specific baseline case for Splash &amp; Onboarding Screen</t>
        </is>
      </c>
    </row>
    <row r="3" ht="36" customHeight="1">
      <c r="A3" s="11" t="inlineStr">
        <is>
          <t>TC-002</t>
        </is>
      </c>
      <c r="B3" s="12" t="inlineStr">
        <is>
          <t>SplashScreen</t>
        </is>
      </c>
      <c r="C3" s="12" t="inlineStr">
        <is>
          <t>Selenium Web UI Testing</t>
        </is>
      </c>
      <c r="D3" s="12" t="inlineStr">
        <is>
          <t>Negative Input Form Validation on Splash &amp; Onboarding Screen</t>
        </is>
      </c>
      <c r="E3" s="12" t="inlineStr">
        <is>
          <t>1. Launch test runner in Staging / Web Chrome.
2. Navigate to Splash &amp; Onboarding Screen (SplashScreen).
3. Focus input controls on SplashScreen, enter out-of-bound strings, trigger blur event.
4. Verify expected results and log evidence.</t>
        </is>
      </c>
      <c r="F3" s="12" t="inlineStr">
        <is>
          <t>Input: invalid_string, Screen: SplashScreen</t>
        </is>
      </c>
      <c r="G3" s="12" t="inlineStr">
        <is>
          <t>Validation badge displays accessible aria error message.</t>
        </is>
      </c>
      <c r="H3" s="12" t="inlineStr">
        <is>
          <t>Pending Execution</t>
        </is>
      </c>
      <c r="I3" s="13" t="inlineStr">
        <is>
          <t>Not Executed</t>
        </is>
      </c>
      <c r="J3" s="11" t="inlineStr">
        <is>
          <t>Medium</t>
        </is>
      </c>
      <c r="K3" s="11" t="inlineStr">
        <is>
          <t>Major</t>
        </is>
      </c>
      <c r="L3" s="11" t="inlineStr">
        <is>
          <t>Script Ready</t>
        </is>
      </c>
      <c r="M3" s="12" t="inlineStr">
        <is>
          <t>Staging / Web Chrome</t>
        </is>
      </c>
      <c r="N3" s="12" t="inlineStr">
        <is>
          <t>Chrome v126 / Edge v126</t>
        </is>
      </c>
      <c r="O3" s="12" t="inlineStr">
        <is>
          <t>Screen-specific baseline case for Splash &amp; Onboarding Screen</t>
        </is>
      </c>
    </row>
    <row r="4" ht="36" customHeight="1">
      <c r="A4" s="11" t="inlineStr">
        <is>
          <t>TC-003</t>
        </is>
      </c>
      <c r="B4" s="12" t="inlineStr">
        <is>
          <t>SplashScreen</t>
        </is>
      </c>
      <c r="C4" s="12" t="inlineStr">
        <is>
          <t>Selenium Web UI Testing</t>
        </is>
      </c>
      <c r="D4" s="12" t="inlineStr">
        <is>
          <t>Boundary Viewport Responsiveness on Splash &amp; Onboarding Screen</t>
        </is>
      </c>
      <c r="E4" s="12" t="inlineStr">
        <is>
          <t>1. Launch test runner in Staging / Web Chrome.
2. Navigate to Splash &amp; Onboarding Screen (SplashScreen).
3. Resize web browser window from 320px mobile breakpoint up to 4K desktop width.
4. Verify expected results and log evidence.</t>
        </is>
      </c>
      <c r="F4" s="12" t="inlineStr">
        <is>
          <t>Breakpoint Widths: [320, 768, 1024, 1440, 3840]</t>
        </is>
      </c>
      <c r="G4" s="12" t="inlineStr">
        <is>
          <t>Layout adapts responsively without overlapping UI text nodes.</t>
        </is>
      </c>
      <c r="H4" s="12" t="inlineStr">
        <is>
          <t>Pending Execution</t>
        </is>
      </c>
      <c r="I4" s="13" t="inlineStr">
        <is>
          <t>Not Executed</t>
        </is>
      </c>
      <c r="J4" s="11" t="inlineStr">
        <is>
          <t>High</t>
        </is>
      </c>
      <c r="K4" s="11" t="inlineStr">
        <is>
          <t>Moderate</t>
        </is>
      </c>
      <c r="L4" s="11" t="inlineStr">
        <is>
          <t>Script Ready</t>
        </is>
      </c>
      <c r="M4" s="12" t="inlineStr">
        <is>
          <t>Staging / Web Chrome</t>
        </is>
      </c>
      <c r="N4" s="12" t="inlineStr">
        <is>
          <t>Chrome v126 / Edge v126</t>
        </is>
      </c>
      <c r="O4" s="12" t="inlineStr">
        <is>
          <t>Screen-specific baseline case for Splash &amp; Onboarding Screen</t>
        </is>
      </c>
    </row>
    <row r="5" ht="36" customHeight="1">
      <c r="A5" s="11" t="inlineStr">
        <is>
          <t>TC-004</t>
        </is>
      </c>
      <c r="B5" s="12" t="inlineStr">
        <is>
          <t>SplashScreen</t>
        </is>
      </c>
      <c r="C5" s="12" t="inlineStr">
        <is>
          <t>Selenium Web UI Testing</t>
        </is>
      </c>
      <c r="D5" s="12" t="inlineStr">
        <is>
          <t>Interactive Hover &amp; Focus Traversal on Splash &amp; Onboarding Screen</t>
        </is>
      </c>
      <c r="E5" s="12" t="inlineStr">
        <is>
          <t>1. Launch test runner in Staging / Web Chrome.
2. Navigate to Splash &amp; Onboarding Screen (SplashScreen).
3. Tab through interactive focusable nodes on SplashScreen, hover cursor over CTA buttons.
4. Verify expected results and log evidence.</t>
        </is>
      </c>
      <c r="F5" s="12" t="inlineStr">
        <is>
          <t>Key Navigation: TAB, Hover target: SplashScreen</t>
        </is>
      </c>
      <c r="G5" s="12" t="inlineStr">
        <is>
          <t>Focus ring highlights elements in logical DOM tab order.</t>
        </is>
      </c>
      <c r="H5" s="12" t="inlineStr">
        <is>
          <t>Pending Execution</t>
        </is>
      </c>
      <c r="I5" s="13" t="inlineStr">
        <is>
          <t>Not Executed</t>
        </is>
      </c>
      <c r="J5" s="11" t="inlineStr">
        <is>
          <t>Medium</t>
        </is>
      </c>
      <c r="K5" s="11" t="inlineStr">
        <is>
          <t>Major</t>
        </is>
      </c>
      <c r="L5" s="11" t="inlineStr">
        <is>
          <t>Script Ready</t>
        </is>
      </c>
      <c r="M5" s="12" t="inlineStr">
        <is>
          <t>Staging / Web Chrome</t>
        </is>
      </c>
      <c r="N5" s="12" t="inlineStr">
        <is>
          <t>Chrome v126 / Edge v126</t>
        </is>
      </c>
      <c r="O5" s="12" t="inlineStr">
        <is>
          <t>Screen-specific baseline case for Splash &amp; Onboarding Screen</t>
        </is>
      </c>
    </row>
    <row r="6" ht="36" customHeight="1">
      <c r="A6" s="11" t="inlineStr">
        <is>
          <t>TC-005</t>
        </is>
      </c>
      <c r="B6" s="12" t="inlineStr">
        <is>
          <t>SplashScreen</t>
        </is>
      </c>
      <c r="C6" s="12" t="inlineStr">
        <is>
          <t>Selenium Web UI Testing</t>
        </is>
      </c>
      <c r="D6" s="12" t="inlineStr">
        <is>
          <t>Cross-Browser Rendering Parity on Splash &amp; Onboarding Screen</t>
        </is>
      </c>
      <c r="E6" s="12" t="inlineStr">
        <is>
          <t>1. Launch test runner in Staging / Web Chrome.
2. Navigate to Splash &amp; Onboarding Screen (SplashScreen).
3. Execute UI test suite for SplashScreen across Chrome, Firefox, Safari, and Edge.
4. Verify expected results and log evidence.</t>
        </is>
      </c>
      <c r="F6" s="12" t="inlineStr">
        <is>
          <t>Browsers: Chrome, Firefox, Safari, Edge</t>
        </is>
      </c>
      <c r="G6" s="12" t="inlineStr">
        <is>
          <t>DOM element styles render identically with zero CSS misalignment.</t>
        </is>
      </c>
      <c r="H6" s="12" t="inlineStr">
        <is>
          <t>Pending Execution</t>
        </is>
      </c>
      <c r="I6" s="13" t="inlineStr">
        <is>
          <t>Not Executed</t>
        </is>
      </c>
      <c r="J6" s="11" t="inlineStr">
        <is>
          <t>Low</t>
        </is>
      </c>
      <c r="K6" s="11" t="inlineStr">
        <is>
          <t>Moderate</t>
        </is>
      </c>
      <c r="L6" s="11" t="inlineStr">
        <is>
          <t>Script Ready</t>
        </is>
      </c>
      <c r="M6" s="12" t="inlineStr">
        <is>
          <t>Staging / Web Chrome</t>
        </is>
      </c>
      <c r="N6" s="12" t="inlineStr">
        <is>
          <t>Chrome v126 / Edge v126</t>
        </is>
      </c>
      <c r="O6" s="12" t="inlineStr">
        <is>
          <t>Screen-specific baseline case for Splash &amp; Onboarding Screen</t>
        </is>
      </c>
    </row>
    <row r="7" ht="36" customHeight="1">
      <c r="A7" s="11" t="inlineStr">
        <is>
          <t>TC-006</t>
        </is>
      </c>
      <c r="B7" s="12" t="inlineStr">
        <is>
          <t>SplashScreen</t>
        </is>
      </c>
      <c r="C7" s="12" t="inlineStr">
        <is>
          <t>Selenium Web UI Testing</t>
        </is>
      </c>
      <c r="D7" s="12" t="inlineStr">
        <is>
          <t>Arabic Right-to-Left (RTL) Layout on Splash &amp; Onboarding Screen</t>
        </is>
      </c>
      <c r="E7" s="12" t="inlineStr">
        <is>
          <t>1. Launch test runner in Staging / Web Chrome.
2. Navigate to Splash &amp; Onboarding Screen (SplashScreen).
3. Switch locale to Arabic (ar_SA) on SplashScreen, inspect text direction and icon mirroring.
4. Verify expected results and log evidence.</t>
        </is>
      </c>
      <c r="F7" s="12" t="inlineStr">
        <is>
          <t>Locale: ar_SA, Target: SplashScreen</t>
        </is>
      </c>
      <c r="G7" s="12" t="inlineStr">
        <is>
          <t>UI flips to right-to-left layout with mirrored icons and aligned text.</t>
        </is>
      </c>
      <c r="H7" s="12" t="inlineStr">
        <is>
          <t>Pending Execution</t>
        </is>
      </c>
      <c r="I7" s="13" t="inlineStr">
        <is>
          <t>Not Executed</t>
        </is>
      </c>
      <c r="J7" s="11" t="inlineStr">
        <is>
          <t>High</t>
        </is>
      </c>
      <c r="K7" s="11" t="inlineStr">
        <is>
          <t>Major</t>
        </is>
      </c>
      <c r="L7" s="11" t="inlineStr">
        <is>
          <t>Script Ready</t>
        </is>
      </c>
      <c r="M7" s="12" t="inlineStr">
        <is>
          <t>Staging / Web Chrome</t>
        </is>
      </c>
      <c r="N7" s="12" t="inlineStr">
        <is>
          <t>Chrome v126 / Edge v126</t>
        </is>
      </c>
      <c r="O7" s="12" t="inlineStr">
        <is>
          <t>Screen-specific baseline case for Splash &amp; Onboarding Screen</t>
        </is>
      </c>
    </row>
    <row r="8" ht="36" customHeight="1">
      <c r="A8" s="11" t="inlineStr">
        <is>
          <t>TC-007</t>
        </is>
      </c>
      <c r="B8" s="12" t="inlineStr">
        <is>
          <t>SplashScreen</t>
        </is>
      </c>
      <c r="C8" s="12" t="inlineStr">
        <is>
          <t>Selenium Web UI Testing</t>
        </is>
      </c>
      <c r="D8" s="12" t="inlineStr">
        <is>
          <t>Localization &amp; Multi-Language Switching on Splash &amp; Onboarding Screen</t>
        </is>
      </c>
      <c r="E8" s="12" t="inlineStr">
        <is>
          <t>1. Launch test runner in Staging / Web Chrome.
2. Navigate to Splash &amp; Onboarding Screen (SplashScreen).
3. Toggle header language dropdown on SplashScreen between English, Hindi, and Arabic.
4. Verify expected results and log evidence.</t>
        </is>
      </c>
      <c r="F8" s="12" t="inlineStr">
        <is>
          <t>Locales: en, hi, ar</t>
        </is>
      </c>
      <c r="G8" s="12" t="inlineStr">
        <is>
          <t>All visible text strings update to selected language instantly.</t>
        </is>
      </c>
      <c r="H8" s="12" t="inlineStr">
        <is>
          <t>Pending Execution</t>
        </is>
      </c>
      <c r="I8" s="13" t="inlineStr">
        <is>
          <t>Not Executed</t>
        </is>
      </c>
      <c r="J8" s="11" t="inlineStr">
        <is>
          <t>Medium</t>
        </is>
      </c>
      <c r="K8" s="11" t="inlineStr">
        <is>
          <t>Critical</t>
        </is>
      </c>
      <c r="L8" s="11" t="inlineStr">
        <is>
          <t>Script Ready</t>
        </is>
      </c>
      <c r="M8" s="12" t="inlineStr">
        <is>
          <t>Staging / Web Chrome</t>
        </is>
      </c>
      <c r="N8" s="12" t="inlineStr">
        <is>
          <t>Chrome v126 / Edge v126</t>
        </is>
      </c>
      <c r="O8" s="12" t="inlineStr">
        <is>
          <t>Screen-specific baseline case for Splash &amp; Onboarding Screen</t>
        </is>
      </c>
    </row>
    <row r="9" ht="36" customHeight="1">
      <c r="A9" s="11" t="inlineStr">
        <is>
          <t>TC-008</t>
        </is>
      </c>
      <c r="B9" s="12" t="inlineStr">
        <is>
          <t>SplashScreen</t>
        </is>
      </c>
      <c r="C9" s="12" t="inlineStr">
        <is>
          <t>Selenium Web UI Testing</t>
        </is>
      </c>
      <c r="D9" s="12" t="inlineStr">
        <is>
          <t>Data Table &amp; Grid State Retention on Splash &amp; Onboarding Screen</t>
        </is>
      </c>
      <c r="E9" s="12" t="inlineStr">
        <is>
          <t>1. Launch test runner in Staging / Web Chrome.
2. Navigate to Splash &amp; Onboarding Screen (SplashScreen).
3. Interact with data filters or state controls on SplashScreen, navigate away and return.
4. Verify expected results and log evidence.</t>
        </is>
      </c>
      <c r="F9" s="12" t="inlineStr">
        <is>
          <t>State Payload: SplashScreen_filter</t>
        </is>
      </c>
      <c r="G9" s="12" t="inlineStr">
        <is>
          <t>Screen preserves applied filter state without unexpected reset.</t>
        </is>
      </c>
      <c r="H9" s="12" t="inlineStr">
        <is>
          <t>Pending Execution</t>
        </is>
      </c>
      <c r="I9" s="13" t="inlineStr">
        <is>
          <t>Not Executed</t>
        </is>
      </c>
      <c r="J9" s="11" t="inlineStr">
        <is>
          <t>Medium</t>
        </is>
      </c>
      <c r="K9" s="11" t="inlineStr">
        <is>
          <t>Major</t>
        </is>
      </c>
      <c r="L9" s="11" t="inlineStr">
        <is>
          <t>Script Ready</t>
        </is>
      </c>
      <c r="M9" s="12" t="inlineStr">
        <is>
          <t>Staging / Web Chrome</t>
        </is>
      </c>
      <c r="N9" s="12" t="inlineStr">
        <is>
          <t>Chrome v126 / Edge v126</t>
        </is>
      </c>
      <c r="O9" s="12" t="inlineStr">
        <is>
          <t>Screen-specific baseline case for Splash &amp; Onboarding Screen</t>
        </is>
      </c>
    </row>
    <row r="10" ht="36" customHeight="1">
      <c r="A10" s="11" t="inlineStr">
        <is>
          <t>TC-009</t>
        </is>
      </c>
      <c r="B10" s="12" t="inlineStr">
        <is>
          <t>SplashScreen</t>
        </is>
      </c>
      <c r="C10" s="12" t="inlineStr">
        <is>
          <t>Selenium Web UI Testing</t>
        </is>
      </c>
      <c r="D10" s="12" t="inlineStr">
        <is>
          <t>Modal Backdrop &amp; Keyboard Escape on Splash &amp; Onboarding Screen</t>
        </is>
      </c>
      <c r="E10" s="12" t="inlineStr">
        <is>
          <t>1. Launch test runner in Staging / Web Chrome.
2. Navigate to Splash &amp; Onboarding Screen (SplashScreen).
3. Trigger pop-up dialog/modal on SplashScreen, press Escape key to dismiss.
4. Verify expected results and log evidence.</t>
        </is>
      </c>
      <c r="F10" s="12" t="inlineStr">
        <is>
          <t>Modal Target: SplashScreen</t>
        </is>
      </c>
      <c r="G10" s="12" t="inlineStr">
        <is>
          <t>Modal closes smoothly and returns focus to parent container.</t>
        </is>
      </c>
      <c r="H10" s="12" t="inlineStr">
        <is>
          <t>Pending Execution</t>
        </is>
      </c>
      <c r="I10" s="13" t="inlineStr">
        <is>
          <t>Not Executed</t>
        </is>
      </c>
      <c r="J10" s="11" t="inlineStr">
        <is>
          <t>High</t>
        </is>
      </c>
      <c r="K10" s="11" t="inlineStr">
        <is>
          <t>Moderate</t>
        </is>
      </c>
      <c r="L10" s="11" t="inlineStr">
        <is>
          <t>Script Ready</t>
        </is>
      </c>
      <c r="M10" s="12" t="inlineStr">
        <is>
          <t>Staging / Web Chrome</t>
        </is>
      </c>
      <c r="N10" s="12" t="inlineStr">
        <is>
          <t>Chrome v126 / Edge v126</t>
        </is>
      </c>
      <c r="O10" s="12" t="inlineStr">
        <is>
          <t>Screen-specific baseline case for Splash &amp; Onboarding Screen</t>
        </is>
      </c>
    </row>
    <row r="11" ht="36" customHeight="1">
      <c r="A11" s="11" t="inlineStr">
        <is>
          <t>TC-010</t>
        </is>
      </c>
      <c r="B11" s="12" t="inlineStr">
        <is>
          <t>SplashScreen</t>
        </is>
      </c>
      <c r="C11" s="12" t="inlineStr">
        <is>
          <t>Selenium Web UI Testing</t>
        </is>
      </c>
      <c r="D11" s="12" t="inlineStr">
        <is>
          <t>Network Failure UI Fallback on Splash &amp; Onboarding Screen</t>
        </is>
      </c>
      <c r="E11" s="12" t="inlineStr">
        <is>
          <t>1. Launch test runner in Staging / Web Chrome.
2. Navigate to Splash &amp; Onboarding Screen (SplashScreen).
3. Throttled network to offline mode while viewing SplashScreen, attempt UI interaction.
4. Verify expected results and log evidence.</t>
        </is>
      </c>
      <c r="F11" s="12" t="inlineStr">
        <is>
          <t>Network: Offline, Target: SplashScreen</t>
        </is>
      </c>
      <c r="G11" s="12" t="inlineStr">
        <is>
          <t>User-friendly offline banner appears with retry button.</t>
        </is>
      </c>
      <c r="H11" s="12" t="inlineStr">
        <is>
          <t>Pending Execution</t>
        </is>
      </c>
      <c r="I11" s="13" t="inlineStr">
        <is>
          <t>Not Executed</t>
        </is>
      </c>
      <c r="J11" s="11" t="inlineStr">
        <is>
          <t>Low</t>
        </is>
      </c>
      <c r="K11" s="11" t="inlineStr">
        <is>
          <t>Major</t>
        </is>
      </c>
      <c r="L11" s="11" t="inlineStr">
        <is>
          <t>Script Ready</t>
        </is>
      </c>
      <c r="M11" s="12" t="inlineStr">
        <is>
          <t>Staging / Web Chrome</t>
        </is>
      </c>
      <c r="N11" s="12" t="inlineStr">
        <is>
          <t>Chrome v126 / Edge v126</t>
        </is>
      </c>
      <c r="O11" s="12" t="inlineStr">
        <is>
          <t>Screen-specific baseline case for Splash &amp; Onboarding Screen</t>
        </is>
      </c>
    </row>
    <row r="12" ht="36" customHeight="1">
      <c r="A12" s="11" t="inlineStr">
        <is>
          <t>TC-011</t>
        </is>
      </c>
      <c r="B12" s="12" t="inlineStr">
        <is>
          <t>LoginScreen</t>
        </is>
      </c>
      <c r="C12" s="12" t="inlineStr">
        <is>
          <t>Selenium Web UI Testing</t>
        </is>
      </c>
      <c r="D12" s="12" t="inlineStr">
        <is>
          <t>Positive Web UI Layout on Login &amp; Authentication Screen</t>
        </is>
      </c>
      <c r="E12" s="12" t="inlineStr">
        <is>
          <t>1. Launch test runner in Staging / Web Chrome.
2. Navigate to Login &amp; Authentication Screen (LoginScreen).
3. Launch browser, navigate to LoginScreen, verify grid container alignment and responsive element scaling.
4. Verify expected results and log evidence.</t>
        </is>
      </c>
      <c r="F12" s="12" t="inlineStr">
        <is>
          <t>Viewport: 1920x1080, Screen: LoginScreen</t>
        </is>
      </c>
      <c r="G12" s="12" t="inlineStr">
        <is>
          <t>UI components align cleanly without scrollbar clipping or overflow.</t>
        </is>
      </c>
      <c r="H12" s="12" t="inlineStr">
        <is>
          <t>Pending Execution</t>
        </is>
      </c>
      <c r="I12" s="13" t="inlineStr">
        <is>
          <t>Not Executed</t>
        </is>
      </c>
      <c r="J12" s="11" t="inlineStr">
        <is>
          <t>Medium</t>
        </is>
      </c>
      <c r="K12" s="11" t="inlineStr">
        <is>
          <t>Moderate</t>
        </is>
      </c>
      <c r="L12" s="11" t="inlineStr">
        <is>
          <t>Script Ready</t>
        </is>
      </c>
      <c r="M12" s="12" t="inlineStr">
        <is>
          <t>Staging / Web Chrome</t>
        </is>
      </c>
      <c r="N12" s="12" t="inlineStr">
        <is>
          <t>Chrome v126 / Edge v126</t>
        </is>
      </c>
      <c r="O12" s="12" t="inlineStr">
        <is>
          <t>Screen-specific baseline case for Login &amp; Authentication Screen</t>
        </is>
      </c>
    </row>
    <row r="13" ht="36" customHeight="1">
      <c r="A13" s="11" t="inlineStr">
        <is>
          <t>TC-012</t>
        </is>
      </c>
      <c r="B13" s="12" t="inlineStr">
        <is>
          <t>LoginScreen</t>
        </is>
      </c>
      <c r="C13" s="12" t="inlineStr">
        <is>
          <t>Selenium Web UI Testing</t>
        </is>
      </c>
      <c r="D13" s="12" t="inlineStr">
        <is>
          <t>Negative Input Form Validation on Login &amp; Authentication Screen</t>
        </is>
      </c>
      <c r="E13" s="12" t="inlineStr">
        <is>
          <t>1. Launch test runner in Staging / Web Chrome.
2. Navigate to Login &amp; Authentication Screen (LoginScreen).
3. Focus input controls on LoginScreen, enter out-of-bound strings, trigger blur event.
4. Verify expected results and log evidence.</t>
        </is>
      </c>
      <c r="F13" s="12" t="inlineStr">
        <is>
          <t>Input: invalid_string, Screen: LoginScreen</t>
        </is>
      </c>
      <c r="G13" s="12" t="inlineStr">
        <is>
          <t>Validation badge displays accessible aria error message.</t>
        </is>
      </c>
      <c r="H13" s="12" t="inlineStr">
        <is>
          <t>Pending Execution</t>
        </is>
      </c>
      <c r="I13" s="13" t="inlineStr">
        <is>
          <t>Not Executed</t>
        </is>
      </c>
      <c r="J13" s="11" t="inlineStr">
        <is>
          <t>High</t>
        </is>
      </c>
      <c r="K13" s="11" t="inlineStr">
        <is>
          <t>Major</t>
        </is>
      </c>
      <c r="L13" s="11" t="inlineStr">
        <is>
          <t>Script Ready</t>
        </is>
      </c>
      <c r="M13" s="12" t="inlineStr">
        <is>
          <t>Staging / Web Chrome</t>
        </is>
      </c>
      <c r="N13" s="12" t="inlineStr">
        <is>
          <t>Chrome v126 / Edge v126</t>
        </is>
      </c>
      <c r="O13" s="12" t="inlineStr">
        <is>
          <t>Screen-specific baseline case for Login &amp; Authentication Screen</t>
        </is>
      </c>
    </row>
    <row r="14" ht="36" customHeight="1">
      <c r="A14" s="11" t="inlineStr">
        <is>
          <t>TC-013</t>
        </is>
      </c>
      <c r="B14" s="12" t="inlineStr">
        <is>
          <t>LoginScreen</t>
        </is>
      </c>
      <c r="C14" s="12" t="inlineStr">
        <is>
          <t>Selenium Web UI Testing</t>
        </is>
      </c>
      <c r="D14" s="12" t="inlineStr">
        <is>
          <t>Boundary Viewport Responsiveness on Login &amp; Authentication Screen</t>
        </is>
      </c>
      <c r="E14" s="12" t="inlineStr">
        <is>
          <t>1. Launch test runner in Staging / Web Chrome.
2. Navigate to Login &amp; Authentication Screen (LoginScreen).
3. Resize web browser window from 320px mobile breakpoint up to 4K desktop width.
4. Verify expected results and log evidence.</t>
        </is>
      </c>
      <c r="F14" s="12" t="inlineStr">
        <is>
          <t>Breakpoint Widths: [320, 768, 1024, 1440, 3840]</t>
        </is>
      </c>
      <c r="G14" s="12" t="inlineStr">
        <is>
          <t>Layout adapts responsively without overlapping UI text nodes.</t>
        </is>
      </c>
      <c r="H14" s="12" t="inlineStr">
        <is>
          <t>Pending Execution</t>
        </is>
      </c>
      <c r="I14" s="13" t="inlineStr">
        <is>
          <t>Not Executed</t>
        </is>
      </c>
      <c r="J14" s="11" t="inlineStr">
        <is>
          <t>Medium</t>
        </is>
      </c>
      <c r="K14" s="11" t="inlineStr">
        <is>
          <t>Moderate</t>
        </is>
      </c>
      <c r="L14" s="11" t="inlineStr">
        <is>
          <t>Script Ready</t>
        </is>
      </c>
      <c r="M14" s="12" t="inlineStr">
        <is>
          <t>Staging / Web Chrome</t>
        </is>
      </c>
      <c r="N14" s="12" t="inlineStr">
        <is>
          <t>Chrome v126 / Edge v126</t>
        </is>
      </c>
      <c r="O14" s="12" t="inlineStr">
        <is>
          <t>Screen-specific baseline case for Login &amp; Authentication Screen</t>
        </is>
      </c>
    </row>
    <row r="15" ht="36" customHeight="1">
      <c r="A15" s="11" t="inlineStr">
        <is>
          <t>TC-014</t>
        </is>
      </c>
      <c r="B15" s="12" t="inlineStr">
        <is>
          <t>LoginScreen</t>
        </is>
      </c>
      <c r="C15" s="12" t="inlineStr">
        <is>
          <t>Selenium Web UI Testing</t>
        </is>
      </c>
      <c r="D15" s="12" t="inlineStr">
        <is>
          <t>Interactive Hover &amp; Focus Traversal on Login &amp; Authentication Screen</t>
        </is>
      </c>
      <c r="E15" s="12" t="inlineStr">
        <is>
          <t>1. Launch test runner in Staging / Web Chrome.
2. Navigate to Login &amp; Authentication Screen (LoginScreen).
3. Tab through interactive focusable nodes on LoginScreen, hover cursor over CTA buttons.
4. Verify expected results and log evidence.</t>
        </is>
      </c>
      <c r="F15" s="12" t="inlineStr">
        <is>
          <t>Key Navigation: TAB, Hover target: LoginScreen</t>
        </is>
      </c>
      <c r="G15" s="12" t="inlineStr">
        <is>
          <t>Focus ring highlights elements in logical DOM tab order.</t>
        </is>
      </c>
      <c r="H15" s="12" t="inlineStr">
        <is>
          <t>Pending Execution</t>
        </is>
      </c>
      <c r="I15" s="13" t="inlineStr">
        <is>
          <t>Not Executed</t>
        </is>
      </c>
      <c r="J15" s="11" t="inlineStr">
        <is>
          <t>Medium</t>
        </is>
      </c>
      <c r="K15" s="11" t="inlineStr">
        <is>
          <t>Critical</t>
        </is>
      </c>
      <c r="L15" s="11" t="inlineStr">
        <is>
          <t>Script Ready</t>
        </is>
      </c>
      <c r="M15" s="12" t="inlineStr">
        <is>
          <t>Staging / Web Chrome</t>
        </is>
      </c>
      <c r="N15" s="12" t="inlineStr">
        <is>
          <t>Chrome v126 / Edge v126</t>
        </is>
      </c>
      <c r="O15" s="12" t="inlineStr">
        <is>
          <t>Screen-specific baseline case for Login &amp; Authentication Screen</t>
        </is>
      </c>
    </row>
    <row r="16" ht="36" customHeight="1">
      <c r="A16" s="11" t="inlineStr">
        <is>
          <t>TC-015</t>
        </is>
      </c>
      <c r="B16" s="12" t="inlineStr">
        <is>
          <t>LoginScreen</t>
        </is>
      </c>
      <c r="C16" s="12" t="inlineStr">
        <is>
          <t>Selenium Web UI Testing</t>
        </is>
      </c>
      <c r="D16" s="12" t="inlineStr">
        <is>
          <t>Cross-Browser Rendering Parity on Login &amp; Authentication Screen</t>
        </is>
      </c>
      <c r="E16" s="12" t="inlineStr">
        <is>
          <t>1. Launch test runner in Staging / Web Chrome.
2. Navigate to Login &amp; Authentication Screen (LoginScreen).
3. Execute UI test suite for LoginScreen across Chrome, Firefox, Safari, and Edge.
4. Verify expected results and log evidence.</t>
        </is>
      </c>
      <c r="F16" s="12" t="inlineStr">
        <is>
          <t>Browsers: Chrome, Firefox, Safari, Edge</t>
        </is>
      </c>
      <c r="G16" s="12" t="inlineStr">
        <is>
          <t>DOM element styles render identically with zero CSS misalignment.</t>
        </is>
      </c>
      <c r="H16" s="12" t="inlineStr">
        <is>
          <t>Pending Execution</t>
        </is>
      </c>
      <c r="I16" s="13" t="inlineStr">
        <is>
          <t>Not Executed</t>
        </is>
      </c>
      <c r="J16" s="11" t="inlineStr">
        <is>
          <t>High</t>
        </is>
      </c>
      <c r="K16" s="11" t="inlineStr">
        <is>
          <t>Moderate</t>
        </is>
      </c>
      <c r="L16" s="11" t="inlineStr">
        <is>
          <t>Script Ready</t>
        </is>
      </c>
      <c r="M16" s="12" t="inlineStr">
        <is>
          <t>Staging / Web Chrome</t>
        </is>
      </c>
      <c r="N16" s="12" t="inlineStr">
        <is>
          <t>Chrome v126 / Edge v126</t>
        </is>
      </c>
      <c r="O16" s="12" t="inlineStr">
        <is>
          <t>Screen-specific baseline case for Login &amp; Authentication Screen</t>
        </is>
      </c>
    </row>
    <row r="17" ht="36" customHeight="1">
      <c r="A17" s="11" t="inlineStr">
        <is>
          <t>TC-016</t>
        </is>
      </c>
      <c r="B17" s="12" t="inlineStr">
        <is>
          <t>LoginScreen</t>
        </is>
      </c>
      <c r="C17" s="12" t="inlineStr">
        <is>
          <t>Selenium Web UI Testing</t>
        </is>
      </c>
      <c r="D17" s="12" t="inlineStr">
        <is>
          <t>Arabic Right-to-Left (RTL) Layout on Login &amp; Authentication Screen</t>
        </is>
      </c>
      <c r="E17" s="12" t="inlineStr">
        <is>
          <t>1. Launch test runner in Staging / Web Chrome.
2. Navigate to Login &amp; Authentication Screen (LoginScreen).
3. Switch locale to Arabic (ar_SA) on LoginScreen, inspect text direction and icon mirroring.
4. Verify expected results and log evidence.</t>
        </is>
      </c>
      <c r="F17" s="12" t="inlineStr">
        <is>
          <t>Locale: ar_SA, Target: LoginScreen</t>
        </is>
      </c>
      <c r="G17" s="12" t="inlineStr">
        <is>
          <t>UI flips to right-to-left layout with mirrored icons and aligned text.</t>
        </is>
      </c>
      <c r="H17" s="12" t="inlineStr">
        <is>
          <t>Pending Execution</t>
        </is>
      </c>
      <c r="I17" s="13" t="inlineStr">
        <is>
          <t>Not Executed</t>
        </is>
      </c>
      <c r="J17" s="11" t="inlineStr">
        <is>
          <t>Medium</t>
        </is>
      </c>
      <c r="K17" s="11" t="inlineStr">
        <is>
          <t>Major</t>
        </is>
      </c>
      <c r="L17" s="11" t="inlineStr">
        <is>
          <t>Script Ready</t>
        </is>
      </c>
      <c r="M17" s="12" t="inlineStr">
        <is>
          <t>Staging / Web Chrome</t>
        </is>
      </c>
      <c r="N17" s="12" t="inlineStr">
        <is>
          <t>Chrome v126 / Edge v126</t>
        </is>
      </c>
      <c r="O17" s="12" t="inlineStr">
        <is>
          <t>Screen-specific baseline case for Login &amp; Authentication Screen</t>
        </is>
      </c>
    </row>
    <row r="18" ht="36" customHeight="1">
      <c r="A18" s="11" t="inlineStr">
        <is>
          <t>TC-017</t>
        </is>
      </c>
      <c r="B18" s="12" t="inlineStr">
        <is>
          <t>LoginScreen</t>
        </is>
      </c>
      <c r="C18" s="12" t="inlineStr">
        <is>
          <t>Selenium Web UI Testing</t>
        </is>
      </c>
      <c r="D18" s="12" t="inlineStr">
        <is>
          <t>Localization &amp; Multi-Language Switching on Login &amp; Authentication Screen</t>
        </is>
      </c>
      <c r="E18" s="12" t="inlineStr">
        <is>
          <t>1. Launch test runner in Staging / Web Chrome.
2. Navigate to Login &amp; Authentication Screen (LoginScreen).
3. Toggle header language dropdown on LoginScreen between English, Hindi, and Arabic.
4. Verify expected results and log evidence.</t>
        </is>
      </c>
      <c r="F18" s="12" t="inlineStr">
        <is>
          <t>Locales: en, hi, ar</t>
        </is>
      </c>
      <c r="G18" s="12" t="inlineStr">
        <is>
          <t>All visible text strings update to selected language instantly.</t>
        </is>
      </c>
      <c r="H18" s="12" t="inlineStr">
        <is>
          <t>Pending Execution</t>
        </is>
      </c>
      <c r="I18" s="13" t="inlineStr">
        <is>
          <t>Not Executed</t>
        </is>
      </c>
      <c r="J18" s="11" t="inlineStr">
        <is>
          <t>Medium</t>
        </is>
      </c>
      <c r="K18" s="11" t="inlineStr">
        <is>
          <t>Moderate</t>
        </is>
      </c>
      <c r="L18" s="11" t="inlineStr">
        <is>
          <t>Script Ready</t>
        </is>
      </c>
      <c r="M18" s="12" t="inlineStr">
        <is>
          <t>Staging / Web Chrome</t>
        </is>
      </c>
      <c r="N18" s="12" t="inlineStr">
        <is>
          <t>Chrome v126 / Edge v126</t>
        </is>
      </c>
      <c r="O18" s="12" t="inlineStr">
        <is>
          <t>Screen-specific baseline case for Login &amp; Authentication Screen</t>
        </is>
      </c>
    </row>
    <row r="19" ht="36" customHeight="1">
      <c r="A19" s="11" t="inlineStr">
        <is>
          <t>TC-018</t>
        </is>
      </c>
      <c r="B19" s="12" t="inlineStr">
        <is>
          <t>LoginScreen</t>
        </is>
      </c>
      <c r="C19" s="12" t="inlineStr">
        <is>
          <t>Selenium Web UI Testing</t>
        </is>
      </c>
      <c r="D19" s="12" t="inlineStr">
        <is>
          <t>Data Table &amp; Grid State Retention on Login &amp; Authentication Screen</t>
        </is>
      </c>
      <c r="E19" s="12" t="inlineStr">
        <is>
          <t>1. Launch test runner in Staging / Web Chrome.
2. Navigate to Login &amp; Authentication Screen (LoginScreen).
3. Interact with data filters or state controls on LoginScreen, navigate away and return.
4. Verify expected results and log evidence.</t>
        </is>
      </c>
      <c r="F19" s="12" t="inlineStr">
        <is>
          <t>State Payload: LoginScreen_filter</t>
        </is>
      </c>
      <c r="G19" s="12" t="inlineStr">
        <is>
          <t>Screen preserves applied filter state without unexpected reset.</t>
        </is>
      </c>
      <c r="H19" s="12" t="inlineStr">
        <is>
          <t>Pending Execution</t>
        </is>
      </c>
      <c r="I19" s="13" t="inlineStr">
        <is>
          <t>Not Executed</t>
        </is>
      </c>
      <c r="J19" s="11" t="inlineStr">
        <is>
          <t>High</t>
        </is>
      </c>
      <c r="K19" s="11" t="inlineStr">
        <is>
          <t>Major</t>
        </is>
      </c>
      <c r="L19" s="11" t="inlineStr">
        <is>
          <t>Script Ready</t>
        </is>
      </c>
      <c r="M19" s="12" t="inlineStr">
        <is>
          <t>Staging / Web Chrome</t>
        </is>
      </c>
      <c r="N19" s="12" t="inlineStr">
        <is>
          <t>Chrome v126 / Edge v126</t>
        </is>
      </c>
      <c r="O19" s="12" t="inlineStr">
        <is>
          <t>Screen-specific baseline case for Login &amp; Authentication Screen</t>
        </is>
      </c>
    </row>
    <row r="20" ht="36" customHeight="1">
      <c r="A20" s="11" t="inlineStr">
        <is>
          <t>TC-019</t>
        </is>
      </c>
      <c r="B20" s="12" t="inlineStr">
        <is>
          <t>LoginScreen</t>
        </is>
      </c>
      <c r="C20" s="12" t="inlineStr">
        <is>
          <t>Selenium Web UI Testing</t>
        </is>
      </c>
      <c r="D20" s="12" t="inlineStr">
        <is>
          <t>Modal Backdrop &amp; Keyboard Escape on Login &amp; Authentication Screen</t>
        </is>
      </c>
      <c r="E20" s="12" t="inlineStr">
        <is>
          <t>1. Launch test runner in Staging / Web Chrome.
2. Navigate to Login &amp; Authentication Screen (LoginScreen).
3. Trigger pop-up dialog/modal on LoginScreen, press Escape key to dismiss.
4. Verify expected results and log evidence.</t>
        </is>
      </c>
      <c r="F20" s="12" t="inlineStr">
        <is>
          <t>Modal Target: LoginScreen</t>
        </is>
      </c>
      <c r="G20" s="12" t="inlineStr">
        <is>
          <t>Modal closes smoothly and returns focus to parent container.</t>
        </is>
      </c>
      <c r="H20" s="12" t="inlineStr">
        <is>
          <t>Pending Execution</t>
        </is>
      </c>
      <c r="I20" s="13" t="inlineStr">
        <is>
          <t>Not Executed</t>
        </is>
      </c>
      <c r="J20" s="11" t="inlineStr">
        <is>
          <t>Medium</t>
        </is>
      </c>
      <c r="K20" s="11" t="inlineStr">
        <is>
          <t>Moderate</t>
        </is>
      </c>
      <c r="L20" s="11" t="inlineStr">
        <is>
          <t>Script Ready</t>
        </is>
      </c>
      <c r="M20" s="12" t="inlineStr">
        <is>
          <t>Staging / Web Chrome</t>
        </is>
      </c>
      <c r="N20" s="12" t="inlineStr">
        <is>
          <t>Chrome v126 / Edge v126</t>
        </is>
      </c>
      <c r="O20" s="12" t="inlineStr">
        <is>
          <t>Screen-specific baseline case for Login &amp; Authentication Screen</t>
        </is>
      </c>
    </row>
    <row r="21" ht="36" customHeight="1">
      <c r="A21" s="11" t="inlineStr">
        <is>
          <t>TC-020</t>
        </is>
      </c>
      <c r="B21" s="12" t="inlineStr">
        <is>
          <t>LoginScreen</t>
        </is>
      </c>
      <c r="C21" s="12" t="inlineStr">
        <is>
          <t>Selenium Web UI Testing</t>
        </is>
      </c>
      <c r="D21" s="12" t="inlineStr">
        <is>
          <t>Network Failure UI Fallback on Login &amp; Authentication Screen</t>
        </is>
      </c>
      <c r="E21" s="12" t="inlineStr">
        <is>
          <t>1. Launch test runner in Staging / Web Chrome.
2. Navigate to Login &amp; Authentication Screen (LoginScreen).
3. Throttled network to offline mode while viewing LoginScreen, attempt UI interaction.
4. Verify expected results and log evidence.</t>
        </is>
      </c>
      <c r="F21" s="12" t="inlineStr">
        <is>
          <t>Network: Offline, Target: LoginScreen</t>
        </is>
      </c>
      <c r="G21" s="12" t="inlineStr">
        <is>
          <t>User-friendly offline banner appears with retry button.</t>
        </is>
      </c>
      <c r="H21" s="12" t="inlineStr">
        <is>
          <t>Pending Execution</t>
        </is>
      </c>
      <c r="I21" s="13" t="inlineStr">
        <is>
          <t>Not Executed</t>
        </is>
      </c>
      <c r="J21" s="11" t="inlineStr">
        <is>
          <t>Low</t>
        </is>
      </c>
      <c r="K21" s="11" t="inlineStr">
        <is>
          <t>Major</t>
        </is>
      </c>
      <c r="L21" s="11" t="inlineStr">
        <is>
          <t>Script Ready</t>
        </is>
      </c>
      <c r="M21" s="12" t="inlineStr">
        <is>
          <t>Staging / Web Chrome</t>
        </is>
      </c>
      <c r="N21" s="12" t="inlineStr">
        <is>
          <t>Chrome v126 / Edge v126</t>
        </is>
      </c>
      <c r="O21" s="12" t="inlineStr">
        <is>
          <t>Screen-specific baseline case for Login &amp; Authentication Screen</t>
        </is>
      </c>
    </row>
    <row r="22" ht="36" customHeight="1">
      <c r="A22" s="11" t="inlineStr">
        <is>
          <t>TC-021</t>
        </is>
      </c>
      <c r="B22" s="12" t="inlineStr">
        <is>
          <t>SignUpScreen</t>
        </is>
      </c>
      <c r="C22" s="12" t="inlineStr">
        <is>
          <t>Selenium Web UI Testing</t>
        </is>
      </c>
      <c r="D22" s="12" t="inlineStr">
        <is>
          <t>Positive Web UI Layout on User Registration Screen</t>
        </is>
      </c>
      <c r="E22" s="12" t="inlineStr">
        <is>
          <t>1. Launch test runner in Staging / Web Chrome.
2. Navigate to User Registration Screen (SignUpScreen).
3. Launch browser, navigate to SignUpScreen, verify grid container alignment and responsive element scaling.
4. Verify expected results and log evidence.</t>
        </is>
      </c>
      <c r="F22" s="12" t="inlineStr">
        <is>
          <t>Viewport: 1920x1080, Screen: SignUpScreen</t>
        </is>
      </c>
      <c r="G22" s="12" t="inlineStr">
        <is>
          <t>UI components align cleanly without scrollbar clipping or overflow.</t>
        </is>
      </c>
      <c r="H22" s="12" t="inlineStr">
        <is>
          <t>Pending Execution</t>
        </is>
      </c>
      <c r="I22" s="13" t="inlineStr">
        <is>
          <t>Not Executed</t>
        </is>
      </c>
      <c r="J22" s="11" t="inlineStr">
        <is>
          <t>High</t>
        </is>
      </c>
      <c r="K22" s="11" t="inlineStr">
        <is>
          <t>Critical</t>
        </is>
      </c>
      <c r="L22" s="11" t="inlineStr">
        <is>
          <t>Script Ready</t>
        </is>
      </c>
      <c r="M22" s="12" t="inlineStr">
        <is>
          <t>Staging / Web Chrome</t>
        </is>
      </c>
      <c r="N22" s="12" t="inlineStr">
        <is>
          <t>Chrome v126 / Edge v126</t>
        </is>
      </c>
      <c r="O22" s="12" t="inlineStr">
        <is>
          <t>Screen-specific baseline case for User Registration Screen</t>
        </is>
      </c>
    </row>
    <row r="23" ht="36" customHeight="1">
      <c r="A23" s="11" t="inlineStr">
        <is>
          <t>TC-022</t>
        </is>
      </c>
      <c r="B23" s="12" t="inlineStr">
        <is>
          <t>SignUpScreen</t>
        </is>
      </c>
      <c r="C23" s="12" t="inlineStr">
        <is>
          <t>Selenium Web UI Testing</t>
        </is>
      </c>
      <c r="D23" s="12" t="inlineStr">
        <is>
          <t>Negative Input Form Validation on User Registration Screen</t>
        </is>
      </c>
      <c r="E23" s="12" t="inlineStr">
        <is>
          <t>1. Launch test runner in Staging / Web Chrome.
2. Navigate to User Registration Screen (SignUpScreen).
3. Focus input controls on SignUpScreen, enter out-of-bound strings, trigger blur event.
4. Verify expected results and log evidence.</t>
        </is>
      </c>
      <c r="F23" s="12" t="inlineStr">
        <is>
          <t>Input: invalid_string, Screen: SignUpScreen</t>
        </is>
      </c>
      <c r="G23" s="12" t="inlineStr">
        <is>
          <t>Validation badge displays accessible aria error message.</t>
        </is>
      </c>
      <c r="H23" s="12" t="inlineStr">
        <is>
          <t>Pending Execution</t>
        </is>
      </c>
      <c r="I23" s="13" t="inlineStr">
        <is>
          <t>Not Executed</t>
        </is>
      </c>
      <c r="J23" s="11" t="inlineStr">
        <is>
          <t>Medium</t>
        </is>
      </c>
      <c r="K23" s="11" t="inlineStr">
        <is>
          <t>Major</t>
        </is>
      </c>
      <c r="L23" s="11" t="inlineStr">
        <is>
          <t>Script Ready</t>
        </is>
      </c>
      <c r="M23" s="12" t="inlineStr">
        <is>
          <t>Staging / Web Chrome</t>
        </is>
      </c>
      <c r="N23" s="12" t="inlineStr">
        <is>
          <t>Chrome v126 / Edge v126</t>
        </is>
      </c>
      <c r="O23" s="12" t="inlineStr">
        <is>
          <t>Screen-specific baseline case for User Registration Screen</t>
        </is>
      </c>
    </row>
    <row r="24" ht="36" customHeight="1">
      <c r="A24" s="11" t="inlineStr">
        <is>
          <t>TC-023</t>
        </is>
      </c>
      <c r="B24" s="12" t="inlineStr">
        <is>
          <t>SignUpScreen</t>
        </is>
      </c>
      <c r="C24" s="12" t="inlineStr">
        <is>
          <t>Selenium Web UI Testing</t>
        </is>
      </c>
      <c r="D24" s="12" t="inlineStr">
        <is>
          <t>Boundary Viewport Responsiveness on User Registration Screen</t>
        </is>
      </c>
      <c r="E24" s="12" t="inlineStr">
        <is>
          <t>1. Launch test runner in Staging / Web Chrome.
2. Navigate to User Registration Screen (SignUpScreen).
3. Resize web browser window from 320px mobile breakpoint up to 4K desktop width.
4. Verify expected results and log evidence.</t>
        </is>
      </c>
      <c r="F24" s="12" t="inlineStr">
        <is>
          <t>Breakpoint Widths: [320, 768, 1024, 1440, 3840]</t>
        </is>
      </c>
      <c r="G24" s="12" t="inlineStr">
        <is>
          <t>Layout adapts responsively without overlapping UI text nodes.</t>
        </is>
      </c>
      <c r="H24" s="12" t="inlineStr">
        <is>
          <t>Pending Execution</t>
        </is>
      </c>
      <c r="I24" s="13" t="inlineStr">
        <is>
          <t>Not Executed</t>
        </is>
      </c>
      <c r="J24" s="11" t="inlineStr">
        <is>
          <t>Medium</t>
        </is>
      </c>
      <c r="K24" s="11" t="inlineStr">
        <is>
          <t>Moderate</t>
        </is>
      </c>
      <c r="L24" s="11" t="inlineStr">
        <is>
          <t>Script Ready</t>
        </is>
      </c>
      <c r="M24" s="12" t="inlineStr">
        <is>
          <t>Staging / Web Chrome</t>
        </is>
      </c>
      <c r="N24" s="12" t="inlineStr">
        <is>
          <t>Chrome v126 / Edge v126</t>
        </is>
      </c>
      <c r="O24" s="12" t="inlineStr">
        <is>
          <t>Screen-specific baseline case for User Registration Screen</t>
        </is>
      </c>
    </row>
    <row r="25" ht="36" customHeight="1">
      <c r="A25" s="11" t="inlineStr">
        <is>
          <t>TC-024</t>
        </is>
      </c>
      <c r="B25" s="12" t="inlineStr">
        <is>
          <t>SignUpScreen</t>
        </is>
      </c>
      <c r="C25" s="12" t="inlineStr">
        <is>
          <t>Selenium Web UI Testing</t>
        </is>
      </c>
      <c r="D25" s="12" t="inlineStr">
        <is>
          <t>Interactive Hover &amp; Focus Traversal on User Registration Screen</t>
        </is>
      </c>
      <c r="E25" s="12" t="inlineStr">
        <is>
          <t>1. Launch test runner in Staging / Web Chrome.
2. Navigate to User Registration Screen (SignUpScreen).
3. Tab through interactive focusable nodes on SignUpScreen, hover cursor over CTA buttons.
4. Verify expected results and log evidence.</t>
        </is>
      </c>
      <c r="F25" s="12" t="inlineStr">
        <is>
          <t>Key Navigation: TAB, Hover target: SignUpScreen</t>
        </is>
      </c>
      <c r="G25" s="12" t="inlineStr">
        <is>
          <t>Focus ring highlights elements in logical DOM tab order.</t>
        </is>
      </c>
      <c r="H25" s="12" t="inlineStr">
        <is>
          <t>Pending Execution</t>
        </is>
      </c>
      <c r="I25" s="13" t="inlineStr">
        <is>
          <t>Not Executed</t>
        </is>
      </c>
      <c r="J25" s="11" t="inlineStr">
        <is>
          <t>High</t>
        </is>
      </c>
      <c r="K25" s="11" t="inlineStr">
        <is>
          <t>Major</t>
        </is>
      </c>
      <c r="L25" s="11" t="inlineStr">
        <is>
          <t>Script Ready</t>
        </is>
      </c>
      <c r="M25" s="12" t="inlineStr">
        <is>
          <t>Staging / Web Chrome</t>
        </is>
      </c>
      <c r="N25" s="12" t="inlineStr">
        <is>
          <t>Chrome v126 / Edge v126</t>
        </is>
      </c>
      <c r="O25" s="12" t="inlineStr">
        <is>
          <t>Screen-specific baseline case for User Registration Screen</t>
        </is>
      </c>
    </row>
    <row r="26" ht="36" customHeight="1">
      <c r="A26" s="11" t="inlineStr">
        <is>
          <t>TC-025</t>
        </is>
      </c>
      <c r="B26" s="12" t="inlineStr">
        <is>
          <t>SignUpScreen</t>
        </is>
      </c>
      <c r="C26" s="12" t="inlineStr">
        <is>
          <t>Selenium Web UI Testing</t>
        </is>
      </c>
      <c r="D26" s="12" t="inlineStr">
        <is>
          <t>Cross-Browser Rendering Parity on User Registration Screen</t>
        </is>
      </c>
      <c r="E26" s="12" t="inlineStr">
        <is>
          <t>1. Launch test runner in Staging / Web Chrome.
2. Navigate to User Registration Screen (SignUpScreen).
3. Execute UI test suite for SignUpScreen across Chrome, Firefox, Safari, and Edge.
4. Verify expected results and log evidence.</t>
        </is>
      </c>
      <c r="F26" s="12" t="inlineStr">
        <is>
          <t>Browsers: Chrome, Firefox, Safari, Edge</t>
        </is>
      </c>
      <c r="G26" s="12" t="inlineStr">
        <is>
          <t>DOM element styles render identically with zero CSS misalignment.</t>
        </is>
      </c>
      <c r="H26" s="12" t="inlineStr">
        <is>
          <t>Pending Execution</t>
        </is>
      </c>
      <c r="I26" s="13" t="inlineStr">
        <is>
          <t>Not Executed</t>
        </is>
      </c>
      <c r="J26" s="11" t="inlineStr">
        <is>
          <t>Low</t>
        </is>
      </c>
      <c r="K26" s="11" t="inlineStr">
        <is>
          <t>Moderate</t>
        </is>
      </c>
      <c r="L26" s="11" t="inlineStr">
        <is>
          <t>Script Ready</t>
        </is>
      </c>
      <c r="M26" s="12" t="inlineStr">
        <is>
          <t>Staging / Web Chrome</t>
        </is>
      </c>
      <c r="N26" s="12" t="inlineStr">
        <is>
          <t>Chrome v126 / Edge v126</t>
        </is>
      </c>
      <c r="O26" s="12" t="inlineStr">
        <is>
          <t>Screen-specific baseline case for User Registration Screen</t>
        </is>
      </c>
    </row>
    <row r="27" ht="36" customHeight="1">
      <c r="A27" s="11" t="inlineStr">
        <is>
          <t>TC-026</t>
        </is>
      </c>
      <c r="B27" s="12" t="inlineStr">
        <is>
          <t>SignUpScreen</t>
        </is>
      </c>
      <c r="C27" s="12" t="inlineStr">
        <is>
          <t>Selenium Web UI Testing</t>
        </is>
      </c>
      <c r="D27" s="12" t="inlineStr">
        <is>
          <t>Arabic Right-to-Left (RTL) Layout on User Registration Screen</t>
        </is>
      </c>
      <c r="E27" s="12" t="inlineStr">
        <is>
          <t>1. Launch test runner in Staging / Web Chrome.
2. Navigate to User Registration Screen (SignUpScreen).
3. Switch locale to Arabic (ar_SA) on SignUpScreen, inspect text direction and icon mirroring.
4. Verify expected results and log evidence.</t>
        </is>
      </c>
      <c r="F27" s="12" t="inlineStr">
        <is>
          <t>Locale: ar_SA, Target: SignUpScreen</t>
        </is>
      </c>
      <c r="G27" s="12" t="inlineStr">
        <is>
          <t>UI flips to right-to-left layout with mirrored icons and aligned text.</t>
        </is>
      </c>
      <c r="H27" s="12" t="inlineStr">
        <is>
          <t>Pending Execution</t>
        </is>
      </c>
      <c r="I27" s="13" t="inlineStr">
        <is>
          <t>Not Executed</t>
        </is>
      </c>
      <c r="J27" s="11" t="inlineStr">
        <is>
          <t>Medium</t>
        </is>
      </c>
      <c r="K27" s="11" t="inlineStr">
        <is>
          <t>Major</t>
        </is>
      </c>
      <c r="L27" s="11" t="inlineStr">
        <is>
          <t>Script Ready</t>
        </is>
      </c>
      <c r="M27" s="12" t="inlineStr">
        <is>
          <t>Staging / Web Chrome</t>
        </is>
      </c>
      <c r="N27" s="12" t="inlineStr">
        <is>
          <t>Chrome v126 / Edge v126</t>
        </is>
      </c>
      <c r="O27" s="12" t="inlineStr">
        <is>
          <t>Screen-specific baseline case for User Registration Screen</t>
        </is>
      </c>
    </row>
    <row r="28" ht="36" customHeight="1">
      <c r="A28" s="11" t="inlineStr">
        <is>
          <t>TC-027</t>
        </is>
      </c>
      <c r="B28" s="12" t="inlineStr">
        <is>
          <t>SignUpScreen</t>
        </is>
      </c>
      <c r="C28" s="12" t="inlineStr">
        <is>
          <t>Selenium Web UI Testing</t>
        </is>
      </c>
      <c r="D28" s="12" t="inlineStr">
        <is>
          <t>Localization &amp; Multi-Language Switching on User Registration Screen</t>
        </is>
      </c>
      <c r="E28" s="12" t="inlineStr">
        <is>
          <t>1. Launch test runner in Staging / Web Chrome.
2. Navigate to User Registration Screen (SignUpScreen).
3. Toggle header language dropdown on SignUpScreen between English, Hindi, and Arabic.
4. Verify expected results and log evidence.</t>
        </is>
      </c>
      <c r="F28" s="12" t="inlineStr">
        <is>
          <t>Locales: en, hi, ar</t>
        </is>
      </c>
      <c r="G28" s="12" t="inlineStr">
        <is>
          <t>All visible text strings update to selected language instantly.</t>
        </is>
      </c>
      <c r="H28" s="12" t="inlineStr">
        <is>
          <t>Pending Execution</t>
        </is>
      </c>
      <c r="I28" s="13" t="inlineStr">
        <is>
          <t>Not Executed</t>
        </is>
      </c>
      <c r="J28" s="11" t="inlineStr">
        <is>
          <t>High</t>
        </is>
      </c>
      <c r="K28" s="11" t="inlineStr">
        <is>
          <t>Moderate</t>
        </is>
      </c>
      <c r="L28" s="11" t="inlineStr">
        <is>
          <t>Script Ready</t>
        </is>
      </c>
      <c r="M28" s="12" t="inlineStr">
        <is>
          <t>Staging / Web Chrome</t>
        </is>
      </c>
      <c r="N28" s="12" t="inlineStr">
        <is>
          <t>Chrome v126 / Edge v126</t>
        </is>
      </c>
      <c r="O28" s="12" t="inlineStr">
        <is>
          <t>Screen-specific baseline case for User Registration Screen</t>
        </is>
      </c>
    </row>
    <row r="29" ht="36" customHeight="1">
      <c r="A29" s="11" t="inlineStr">
        <is>
          <t>TC-028</t>
        </is>
      </c>
      <c r="B29" s="12" t="inlineStr">
        <is>
          <t>SignUpScreen</t>
        </is>
      </c>
      <c r="C29" s="12" t="inlineStr">
        <is>
          <t>Selenium Web UI Testing</t>
        </is>
      </c>
      <c r="D29" s="12" t="inlineStr">
        <is>
          <t>Data Table &amp; Grid State Retention on User Registration Screen</t>
        </is>
      </c>
      <c r="E29" s="12" t="inlineStr">
        <is>
          <t>1. Launch test runner in Staging / Web Chrome.
2. Navigate to User Registration Screen (SignUpScreen).
3. Interact with data filters or state controls on SignUpScreen, navigate away and return.
4. Verify expected results and log evidence.</t>
        </is>
      </c>
      <c r="F29" s="12" t="inlineStr">
        <is>
          <t>State Payload: SignUpScreen_filter</t>
        </is>
      </c>
      <c r="G29" s="12" t="inlineStr">
        <is>
          <t>Screen preserves applied filter state without unexpected reset.</t>
        </is>
      </c>
      <c r="H29" s="12" t="inlineStr">
        <is>
          <t>Pending Execution</t>
        </is>
      </c>
      <c r="I29" s="13" t="inlineStr">
        <is>
          <t>Not Executed</t>
        </is>
      </c>
      <c r="J29" s="11" t="inlineStr">
        <is>
          <t>Medium</t>
        </is>
      </c>
      <c r="K29" s="11" t="inlineStr">
        <is>
          <t>Critical</t>
        </is>
      </c>
      <c r="L29" s="11" t="inlineStr">
        <is>
          <t>Script Ready</t>
        </is>
      </c>
      <c r="M29" s="12" t="inlineStr">
        <is>
          <t>Staging / Web Chrome</t>
        </is>
      </c>
      <c r="N29" s="12" t="inlineStr">
        <is>
          <t>Chrome v126 / Edge v126</t>
        </is>
      </c>
      <c r="O29" s="12" t="inlineStr">
        <is>
          <t>Screen-specific baseline case for User Registration Screen</t>
        </is>
      </c>
    </row>
    <row r="30" ht="36" customHeight="1">
      <c r="A30" s="11" t="inlineStr">
        <is>
          <t>TC-029</t>
        </is>
      </c>
      <c r="B30" s="12" t="inlineStr">
        <is>
          <t>SignUpScreen</t>
        </is>
      </c>
      <c r="C30" s="12" t="inlineStr">
        <is>
          <t>Selenium Web UI Testing</t>
        </is>
      </c>
      <c r="D30" s="12" t="inlineStr">
        <is>
          <t>Modal Backdrop &amp; Keyboard Escape on User Registration Screen</t>
        </is>
      </c>
      <c r="E30" s="12" t="inlineStr">
        <is>
          <t>1. Launch test runner in Staging / Web Chrome.
2. Navigate to User Registration Screen (SignUpScreen).
3. Trigger pop-up dialog/modal on SignUpScreen, press Escape key to dismiss.
4. Verify expected results and log evidence.</t>
        </is>
      </c>
      <c r="F30" s="12" t="inlineStr">
        <is>
          <t>Modal Target: SignUpScreen</t>
        </is>
      </c>
      <c r="G30" s="12" t="inlineStr">
        <is>
          <t>Modal closes smoothly and returns focus to parent container.</t>
        </is>
      </c>
      <c r="H30" s="12" t="inlineStr">
        <is>
          <t>Pending Execution</t>
        </is>
      </c>
      <c r="I30" s="13" t="inlineStr">
        <is>
          <t>Not Executed</t>
        </is>
      </c>
      <c r="J30" s="11" t="inlineStr">
        <is>
          <t>Medium</t>
        </is>
      </c>
      <c r="K30" s="11" t="inlineStr">
        <is>
          <t>Moderate</t>
        </is>
      </c>
      <c r="L30" s="11" t="inlineStr">
        <is>
          <t>Script Ready</t>
        </is>
      </c>
      <c r="M30" s="12" t="inlineStr">
        <is>
          <t>Staging / Web Chrome</t>
        </is>
      </c>
      <c r="N30" s="12" t="inlineStr">
        <is>
          <t>Chrome v126 / Edge v126</t>
        </is>
      </c>
      <c r="O30" s="12" t="inlineStr">
        <is>
          <t>Screen-specific baseline case for User Registration Screen</t>
        </is>
      </c>
    </row>
    <row r="31" ht="36" customHeight="1">
      <c r="A31" s="11" t="inlineStr">
        <is>
          <t>TC-030</t>
        </is>
      </c>
      <c r="B31" s="12" t="inlineStr">
        <is>
          <t>SignUpScreen</t>
        </is>
      </c>
      <c r="C31" s="12" t="inlineStr">
        <is>
          <t>Selenium Web UI Testing</t>
        </is>
      </c>
      <c r="D31" s="12" t="inlineStr">
        <is>
          <t>Network Failure UI Fallback on User Registration Screen</t>
        </is>
      </c>
      <c r="E31" s="12" t="inlineStr">
        <is>
          <t>1. Launch test runner in Staging / Web Chrome.
2. Navigate to User Registration Screen (SignUpScreen).
3. Throttled network to offline mode while viewing SignUpScreen, attempt UI interaction.
4. Verify expected results and log evidence.</t>
        </is>
      </c>
      <c r="F31" s="12" t="inlineStr">
        <is>
          <t>Network: Offline, Target: SignUpScreen</t>
        </is>
      </c>
      <c r="G31" s="12" t="inlineStr">
        <is>
          <t>User-friendly offline banner appears with retry button.</t>
        </is>
      </c>
      <c r="H31" s="12" t="inlineStr">
        <is>
          <t>Pending Execution</t>
        </is>
      </c>
      <c r="I31" s="13" t="inlineStr">
        <is>
          <t>Not Executed</t>
        </is>
      </c>
      <c r="J31" s="11" t="inlineStr">
        <is>
          <t>High</t>
        </is>
      </c>
      <c r="K31" s="11" t="inlineStr">
        <is>
          <t>Major</t>
        </is>
      </c>
      <c r="L31" s="11" t="inlineStr">
        <is>
          <t>Script Ready</t>
        </is>
      </c>
      <c r="M31" s="12" t="inlineStr">
        <is>
          <t>Staging / Web Chrome</t>
        </is>
      </c>
      <c r="N31" s="12" t="inlineStr">
        <is>
          <t>Chrome v126 / Edge v126</t>
        </is>
      </c>
      <c r="O31" s="12" t="inlineStr">
        <is>
          <t>Screen-specific baseline case for User Registration Screen</t>
        </is>
      </c>
    </row>
    <row r="32" ht="36" customHeight="1">
      <c r="A32" s="11" t="inlineStr">
        <is>
          <t>TC-031</t>
        </is>
      </c>
      <c r="B32" s="12" t="inlineStr">
        <is>
          <t>ForgotScreen</t>
        </is>
      </c>
      <c r="C32" s="12" t="inlineStr">
        <is>
          <t>Selenium Web UI Testing</t>
        </is>
      </c>
      <c r="D32" s="12" t="inlineStr">
        <is>
          <t>Positive Web UI Layout on Forgot Password Recovery Screen</t>
        </is>
      </c>
      <c r="E32" s="12" t="inlineStr">
        <is>
          <t>1. Launch test runner in Staging / Web Chrome.
2. Navigate to Forgot Password Recovery Screen (ForgotScreen).
3. Launch browser, navigate to ForgotScreen, verify grid container alignment and responsive element scaling.
4. Verify expected results and log evidence.</t>
        </is>
      </c>
      <c r="F32" s="12" t="inlineStr">
        <is>
          <t>Viewport: 1920x1080, Screen: ForgotScreen</t>
        </is>
      </c>
      <c r="G32" s="12" t="inlineStr">
        <is>
          <t>UI components align cleanly without scrollbar clipping or overflow.</t>
        </is>
      </c>
      <c r="H32" s="12" t="inlineStr">
        <is>
          <t>Pending Execution</t>
        </is>
      </c>
      <c r="I32" s="13" t="inlineStr">
        <is>
          <t>Not Executed</t>
        </is>
      </c>
      <c r="J32" s="11" t="inlineStr">
        <is>
          <t>Medium</t>
        </is>
      </c>
      <c r="K32" s="11" t="inlineStr">
        <is>
          <t>Moderate</t>
        </is>
      </c>
      <c r="L32" s="11" t="inlineStr">
        <is>
          <t>Script Ready</t>
        </is>
      </c>
      <c r="M32" s="12" t="inlineStr">
        <is>
          <t>Staging / Web Chrome</t>
        </is>
      </c>
      <c r="N32" s="12" t="inlineStr">
        <is>
          <t>Chrome v126 / Edge v126</t>
        </is>
      </c>
      <c r="O32" s="12" t="inlineStr">
        <is>
          <t>Screen-specific baseline case for Forgot Password Recovery Screen</t>
        </is>
      </c>
    </row>
    <row r="33" ht="36" customHeight="1">
      <c r="A33" s="11" t="inlineStr">
        <is>
          <t>TC-032</t>
        </is>
      </c>
      <c r="B33" s="12" t="inlineStr">
        <is>
          <t>ForgotScreen</t>
        </is>
      </c>
      <c r="C33" s="12" t="inlineStr">
        <is>
          <t>Selenium Web UI Testing</t>
        </is>
      </c>
      <c r="D33" s="12" t="inlineStr">
        <is>
          <t>Negative Input Form Validation on Forgot Password Recovery Screen</t>
        </is>
      </c>
      <c r="E33" s="12" t="inlineStr">
        <is>
          <t>1. Launch test runner in Staging / Web Chrome.
2. Navigate to Forgot Password Recovery Screen (ForgotScreen).
3. Focus input controls on ForgotScreen, enter out-of-bound strings, trigger blur event.
4. Verify expected results and log evidence.</t>
        </is>
      </c>
      <c r="F33" s="12" t="inlineStr">
        <is>
          <t>Input: invalid_string, Screen: ForgotScreen</t>
        </is>
      </c>
      <c r="G33" s="12" t="inlineStr">
        <is>
          <t>Validation badge displays accessible aria error message.</t>
        </is>
      </c>
      <c r="H33" s="12" t="inlineStr">
        <is>
          <t>Pending Execution</t>
        </is>
      </c>
      <c r="I33" s="13" t="inlineStr">
        <is>
          <t>Not Executed</t>
        </is>
      </c>
      <c r="J33" s="11" t="inlineStr">
        <is>
          <t>Medium</t>
        </is>
      </c>
      <c r="K33" s="11" t="inlineStr">
        <is>
          <t>Major</t>
        </is>
      </c>
      <c r="L33" s="11" t="inlineStr">
        <is>
          <t>Script Ready</t>
        </is>
      </c>
      <c r="M33" s="12" t="inlineStr">
        <is>
          <t>Staging / Web Chrome</t>
        </is>
      </c>
      <c r="N33" s="12" t="inlineStr">
        <is>
          <t>Chrome v126 / Edge v126</t>
        </is>
      </c>
      <c r="O33" s="12" t="inlineStr">
        <is>
          <t>Screen-specific baseline case for Forgot Password Recovery Screen</t>
        </is>
      </c>
    </row>
    <row r="34" ht="36" customHeight="1">
      <c r="A34" s="11" t="inlineStr">
        <is>
          <t>TC-033</t>
        </is>
      </c>
      <c r="B34" s="12" t="inlineStr">
        <is>
          <t>ForgotScreen</t>
        </is>
      </c>
      <c r="C34" s="12" t="inlineStr">
        <is>
          <t>Selenium Web UI Testing</t>
        </is>
      </c>
      <c r="D34" s="12" t="inlineStr">
        <is>
          <t>Boundary Viewport Responsiveness on Forgot Password Recovery Screen</t>
        </is>
      </c>
      <c r="E34" s="12" t="inlineStr">
        <is>
          <t>1. Launch test runner in Staging / Web Chrome.
2. Navigate to Forgot Password Recovery Screen (ForgotScreen).
3. Resize web browser window from 320px mobile breakpoint up to 4K desktop width.
4. Verify expected results and log evidence.</t>
        </is>
      </c>
      <c r="F34" s="12" t="inlineStr">
        <is>
          <t>Breakpoint Widths: [320, 768, 1024, 1440, 3840]</t>
        </is>
      </c>
      <c r="G34" s="12" t="inlineStr">
        <is>
          <t>Layout adapts responsively without overlapping UI text nodes.</t>
        </is>
      </c>
      <c r="H34" s="12" t="inlineStr">
        <is>
          <t>Pending Execution</t>
        </is>
      </c>
      <c r="I34" s="13" t="inlineStr">
        <is>
          <t>Not Executed</t>
        </is>
      </c>
      <c r="J34" s="11" t="inlineStr">
        <is>
          <t>High</t>
        </is>
      </c>
      <c r="K34" s="11" t="inlineStr">
        <is>
          <t>Moderate</t>
        </is>
      </c>
      <c r="L34" s="11" t="inlineStr">
        <is>
          <t>Script Ready</t>
        </is>
      </c>
      <c r="M34" s="12" t="inlineStr">
        <is>
          <t>Staging / Web Chrome</t>
        </is>
      </c>
      <c r="N34" s="12" t="inlineStr">
        <is>
          <t>Chrome v126 / Edge v126</t>
        </is>
      </c>
      <c r="O34" s="12" t="inlineStr">
        <is>
          <t>Screen-specific baseline case for Forgot Password Recovery Screen</t>
        </is>
      </c>
    </row>
    <row r="35" ht="36" customHeight="1">
      <c r="A35" s="11" t="inlineStr">
        <is>
          <t>TC-034</t>
        </is>
      </c>
      <c r="B35" s="12" t="inlineStr">
        <is>
          <t>ForgotScreen</t>
        </is>
      </c>
      <c r="C35" s="12" t="inlineStr">
        <is>
          <t>Selenium Web UI Testing</t>
        </is>
      </c>
      <c r="D35" s="12" t="inlineStr">
        <is>
          <t>Interactive Hover &amp; Focus Traversal on Forgot Password Recovery Screen</t>
        </is>
      </c>
      <c r="E35" s="12" t="inlineStr">
        <is>
          <t>1. Launch test runner in Staging / Web Chrome.
2. Navigate to Forgot Password Recovery Screen (ForgotScreen).
3. Tab through interactive focusable nodes on ForgotScreen, hover cursor over CTA buttons.
4. Verify expected results and log evidence.</t>
        </is>
      </c>
      <c r="F35" s="12" t="inlineStr">
        <is>
          <t>Key Navigation: TAB, Hover target: ForgotScreen</t>
        </is>
      </c>
      <c r="G35" s="12" t="inlineStr">
        <is>
          <t>Focus ring highlights elements in logical DOM tab order.</t>
        </is>
      </c>
      <c r="H35" s="12" t="inlineStr">
        <is>
          <t>Pending Execution</t>
        </is>
      </c>
      <c r="I35" s="13" t="inlineStr">
        <is>
          <t>Not Executed</t>
        </is>
      </c>
      <c r="J35" s="11" t="inlineStr">
        <is>
          <t>Medium</t>
        </is>
      </c>
      <c r="K35" s="11" t="inlineStr">
        <is>
          <t>Major</t>
        </is>
      </c>
      <c r="L35" s="11" t="inlineStr">
        <is>
          <t>Script Ready</t>
        </is>
      </c>
      <c r="M35" s="12" t="inlineStr">
        <is>
          <t>Staging / Web Chrome</t>
        </is>
      </c>
      <c r="N35" s="12" t="inlineStr">
        <is>
          <t>Chrome v126 / Edge v126</t>
        </is>
      </c>
      <c r="O35" s="12" t="inlineStr">
        <is>
          <t>Screen-specific baseline case for Forgot Password Recovery Screen</t>
        </is>
      </c>
    </row>
    <row r="36" ht="36" customHeight="1">
      <c r="A36" s="11" t="inlineStr">
        <is>
          <t>TC-035</t>
        </is>
      </c>
      <c r="B36" s="12" t="inlineStr">
        <is>
          <t>ForgotScreen</t>
        </is>
      </c>
      <c r="C36" s="12" t="inlineStr">
        <is>
          <t>Selenium Web UI Testing</t>
        </is>
      </c>
      <c r="D36" s="12" t="inlineStr">
        <is>
          <t>Cross-Browser Rendering Parity on Forgot Password Recovery Screen</t>
        </is>
      </c>
      <c r="E36" s="12" t="inlineStr">
        <is>
          <t>1. Launch test runner in Staging / Web Chrome.
2. Navigate to Forgot Password Recovery Screen (ForgotScreen).
3. Execute UI test suite for ForgotScreen across Chrome, Firefox, Safari, and Edge.
4. Verify expected results and log evidence.</t>
        </is>
      </c>
      <c r="F36" s="12" t="inlineStr">
        <is>
          <t>Browsers: Chrome, Firefox, Safari, Edge</t>
        </is>
      </c>
      <c r="G36" s="12" t="inlineStr">
        <is>
          <t>DOM element styles render identically with zero CSS misalignment.</t>
        </is>
      </c>
      <c r="H36" s="12" t="inlineStr">
        <is>
          <t>Pending Execution</t>
        </is>
      </c>
      <c r="I36" s="13" t="inlineStr">
        <is>
          <t>Not Executed</t>
        </is>
      </c>
      <c r="J36" s="11" t="inlineStr">
        <is>
          <t>Low</t>
        </is>
      </c>
      <c r="K36" s="11" t="inlineStr">
        <is>
          <t>Critical</t>
        </is>
      </c>
      <c r="L36" s="11" t="inlineStr">
        <is>
          <t>Script Ready</t>
        </is>
      </c>
      <c r="M36" s="12" t="inlineStr">
        <is>
          <t>Staging / Web Chrome</t>
        </is>
      </c>
      <c r="N36" s="12" t="inlineStr">
        <is>
          <t>Chrome v126 / Edge v126</t>
        </is>
      </c>
      <c r="O36" s="12" t="inlineStr">
        <is>
          <t>Screen-specific baseline case for Forgot Password Recovery Screen</t>
        </is>
      </c>
    </row>
    <row r="37" ht="36" customHeight="1">
      <c r="A37" s="11" t="inlineStr">
        <is>
          <t>TC-036</t>
        </is>
      </c>
      <c r="B37" s="12" t="inlineStr">
        <is>
          <t>ForgotScreen</t>
        </is>
      </c>
      <c r="C37" s="12" t="inlineStr">
        <is>
          <t>Selenium Web UI Testing</t>
        </is>
      </c>
      <c r="D37" s="12" t="inlineStr">
        <is>
          <t>Arabic Right-to-Left (RTL) Layout on Forgot Password Recovery Screen</t>
        </is>
      </c>
      <c r="E37" s="12" t="inlineStr">
        <is>
          <t>1. Launch test runner in Staging / Web Chrome.
2. Navigate to Forgot Password Recovery Screen (ForgotScreen).
3. Switch locale to Arabic (ar_SA) on ForgotScreen, inspect text direction and icon mirroring.
4. Verify expected results and log evidence.</t>
        </is>
      </c>
      <c r="F37" s="12" t="inlineStr">
        <is>
          <t>Locale: ar_SA, Target: ForgotScreen</t>
        </is>
      </c>
      <c r="G37" s="12" t="inlineStr">
        <is>
          <t>UI flips to right-to-left layout with mirrored icons and aligned text.</t>
        </is>
      </c>
      <c r="H37" s="12" t="inlineStr">
        <is>
          <t>Pending Execution</t>
        </is>
      </c>
      <c r="I37" s="13" t="inlineStr">
        <is>
          <t>Not Executed</t>
        </is>
      </c>
      <c r="J37" s="11" t="inlineStr">
        <is>
          <t>High</t>
        </is>
      </c>
      <c r="K37" s="11" t="inlineStr">
        <is>
          <t>Major</t>
        </is>
      </c>
      <c r="L37" s="11" t="inlineStr">
        <is>
          <t>Script Ready</t>
        </is>
      </c>
      <c r="M37" s="12" t="inlineStr">
        <is>
          <t>Staging / Web Chrome</t>
        </is>
      </c>
      <c r="N37" s="12" t="inlineStr">
        <is>
          <t>Chrome v126 / Edge v126</t>
        </is>
      </c>
      <c r="O37" s="12" t="inlineStr">
        <is>
          <t>Screen-specific baseline case for Forgot Password Recovery Screen</t>
        </is>
      </c>
    </row>
    <row r="38" ht="36" customHeight="1">
      <c r="A38" s="11" t="inlineStr">
        <is>
          <t>TC-037</t>
        </is>
      </c>
      <c r="B38" s="12" t="inlineStr">
        <is>
          <t>ForgotScreen</t>
        </is>
      </c>
      <c r="C38" s="12" t="inlineStr">
        <is>
          <t>Selenium Web UI Testing</t>
        </is>
      </c>
      <c r="D38" s="12" t="inlineStr">
        <is>
          <t>Localization &amp; Multi-Language Switching on Forgot Password Recovery Screen</t>
        </is>
      </c>
      <c r="E38" s="12" t="inlineStr">
        <is>
          <t>1. Launch test runner in Staging / Web Chrome.
2. Navigate to Forgot Password Recovery Screen (ForgotScreen).
3. Toggle header language dropdown on ForgotScreen between English, Hindi, and Arabic.
4. Verify expected results and log evidence.</t>
        </is>
      </c>
      <c r="F38" s="12" t="inlineStr">
        <is>
          <t>Locales: en, hi, ar</t>
        </is>
      </c>
      <c r="G38" s="12" t="inlineStr">
        <is>
          <t>All visible text strings update to selected language instantly.</t>
        </is>
      </c>
      <c r="H38" s="12" t="inlineStr">
        <is>
          <t>Pending Execution</t>
        </is>
      </c>
      <c r="I38" s="13" t="inlineStr">
        <is>
          <t>Not Executed</t>
        </is>
      </c>
      <c r="J38" s="11" t="inlineStr">
        <is>
          <t>Medium</t>
        </is>
      </c>
      <c r="K38" s="11" t="inlineStr">
        <is>
          <t>Moderate</t>
        </is>
      </c>
      <c r="L38" s="11" t="inlineStr">
        <is>
          <t>Script Ready</t>
        </is>
      </c>
      <c r="M38" s="12" t="inlineStr">
        <is>
          <t>Staging / Web Chrome</t>
        </is>
      </c>
      <c r="N38" s="12" t="inlineStr">
        <is>
          <t>Chrome v126 / Edge v126</t>
        </is>
      </c>
      <c r="O38" s="12" t="inlineStr">
        <is>
          <t>Screen-specific baseline case for Forgot Password Recovery Screen</t>
        </is>
      </c>
    </row>
    <row r="39" ht="36" customHeight="1">
      <c r="A39" s="11" t="inlineStr">
        <is>
          <t>TC-038</t>
        </is>
      </c>
      <c r="B39" s="12" t="inlineStr">
        <is>
          <t>ForgotScreen</t>
        </is>
      </c>
      <c r="C39" s="12" t="inlineStr">
        <is>
          <t>Selenium Web UI Testing</t>
        </is>
      </c>
      <c r="D39" s="12" t="inlineStr">
        <is>
          <t>Data Table &amp; Grid State Retention on Forgot Password Recovery Screen</t>
        </is>
      </c>
      <c r="E39" s="12" t="inlineStr">
        <is>
          <t>1. Launch test runner in Staging / Web Chrome.
2. Navigate to Forgot Password Recovery Screen (ForgotScreen).
3. Interact with data filters or state controls on ForgotScreen, navigate away and return.
4. Verify expected results and log evidence.</t>
        </is>
      </c>
      <c r="F39" s="12" t="inlineStr">
        <is>
          <t>State Payload: ForgotScreen_filter</t>
        </is>
      </c>
      <c r="G39" s="12" t="inlineStr">
        <is>
          <t>Screen preserves applied filter state without unexpected reset.</t>
        </is>
      </c>
      <c r="H39" s="12" t="inlineStr">
        <is>
          <t>Pending Execution</t>
        </is>
      </c>
      <c r="I39" s="13" t="inlineStr">
        <is>
          <t>Not Executed</t>
        </is>
      </c>
      <c r="J39" s="11" t="inlineStr">
        <is>
          <t>Medium</t>
        </is>
      </c>
      <c r="K39" s="11" t="inlineStr">
        <is>
          <t>Major</t>
        </is>
      </c>
      <c r="L39" s="11" t="inlineStr">
        <is>
          <t>Script Ready</t>
        </is>
      </c>
      <c r="M39" s="12" t="inlineStr">
        <is>
          <t>Staging / Web Chrome</t>
        </is>
      </c>
      <c r="N39" s="12" t="inlineStr">
        <is>
          <t>Chrome v126 / Edge v126</t>
        </is>
      </c>
      <c r="O39" s="12" t="inlineStr">
        <is>
          <t>Screen-specific baseline case for Forgot Password Recovery Screen</t>
        </is>
      </c>
    </row>
    <row r="40" ht="36" customHeight="1">
      <c r="A40" s="11" t="inlineStr">
        <is>
          <t>TC-039</t>
        </is>
      </c>
      <c r="B40" s="12" t="inlineStr">
        <is>
          <t>ForgotScreen</t>
        </is>
      </c>
      <c r="C40" s="12" t="inlineStr">
        <is>
          <t>Selenium Web UI Testing</t>
        </is>
      </c>
      <c r="D40" s="12" t="inlineStr">
        <is>
          <t>Modal Backdrop &amp; Keyboard Escape on Forgot Password Recovery Screen</t>
        </is>
      </c>
      <c r="E40" s="12" t="inlineStr">
        <is>
          <t>1. Launch test runner in Staging / Web Chrome.
2. Navigate to Forgot Password Recovery Screen (ForgotScreen).
3. Trigger pop-up dialog/modal on ForgotScreen, press Escape key to dismiss.
4. Verify expected results and log evidence.</t>
        </is>
      </c>
      <c r="F40" s="12" t="inlineStr">
        <is>
          <t>Modal Target: ForgotScreen</t>
        </is>
      </c>
      <c r="G40" s="12" t="inlineStr">
        <is>
          <t>Modal closes smoothly and returns focus to parent container.</t>
        </is>
      </c>
      <c r="H40" s="12" t="inlineStr">
        <is>
          <t>Pending Execution</t>
        </is>
      </c>
      <c r="I40" s="13" t="inlineStr">
        <is>
          <t>Not Executed</t>
        </is>
      </c>
      <c r="J40" s="11" t="inlineStr">
        <is>
          <t>High</t>
        </is>
      </c>
      <c r="K40" s="11" t="inlineStr">
        <is>
          <t>Moderate</t>
        </is>
      </c>
      <c r="L40" s="11" t="inlineStr">
        <is>
          <t>Script Ready</t>
        </is>
      </c>
      <c r="M40" s="12" t="inlineStr">
        <is>
          <t>Staging / Web Chrome</t>
        </is>
      </c>
      <c r="N40" s="12" t="inlineStr">
        <is>
          <t>Chrome v126 / Edge v126</t>
        </is>
      </c>
      <c r="O40" s="12" t="inlineStr">
        <is>
          <t>Screen-specific baseline case for Forgot Password Recovery Screen</t>
        </is>
      </c>
    </row>
    <row r="41" ht="36" customHeight="1">
      <c r="A41" s="11" t="inlineStr">
        <is>
          <t>TC-040</t>
        </is>
      </c>
      <c r="B41" s="12" t="inlineStr">
        <is>
          <t>ForgotScreen</t>
        </is>
      </c>
      <c r="C41" s="12" t="inlineStr">
        <is>
          <t>Selenium Web UI Testing</t>
        </is>
      </c>
      <c r="D41" s="12" t="inlineStr">
        <is>
          <t>Network Failure UI Fallback on Forgot Password Recovery Screen</t>
        </is>
      </c>
      <c r="E41" s="12" t="inlineStr">
        <is>
          <t>1. Launch test runner in Staging / Web Chrome.
2. Navigate to Forgot Password Recovery Screen (ForgotScreen).
3. Throttled network to offline mode while viewing ForgotScreen, attempt UI interaction.
4. Verify expected results and log evidence.</t>
        </is>
      </c>
      <c r="F41" s="12" t="inlineStr">
        <is>
          <t>Network: Offline, Target: ForgotScreen</t>
        </is>
      </c>
      <c r="G41" s="12" t="inlineStr">
        <is>
          <t>User-friendly offline banner appears with retry button.</t>
        </is>
      </c>
      <c r="H41" s="12" t="inlineStr">
        <is>
          <t>Pending Execution</t>
        </is>
      </c>
      <c r="I41" s="13" t="inlineStr">
        <is>
          <t>Not Executed</t>
        </is>
      </c>
      <c r="J41" s="11" t="inlineStr">
        <is>
          <t>Low</t>
        </is>
      </c>
      <c r="K41" s="11" t="inlineStr">
        <is>
          <t>Major</t>
        </is>
      </c>
      <c r="L41" s="11" t="inlineStr">
        <is>
          <t>Script Ready</t>
        </is>
      </c>
      <c r="M41" s="12" t="inlineStr">
        <is>
          <t>Staging / Web Chrome</t>
        </is>
      </c>
      <c r="N41" s="12" t="inlineStr">
        <is>
          <t>Chrome v126 / Edge v126</t>
        </is>
      </c>
      <c r="O41" s="12" t="inlineStr">
        <is>
          <t>Screen-specific baseline case for Forgot Password Recovery Screen</t>
        </is>
      </c>
    </row>
    <row r="42" ht="36" customHeight="1">
      <c r="A42" s="11" t="inlineStr">
        <is>
          <t>TC-041</t>
        </is>
      </c>
      <c r="B42" s="12" t="inlineStr">
        <is>
          <t>SelectScreen</t>
        </is>
      </c>
      <c r="C42" s="12" t="inlineStr">
        <is>
          <t>Selenium Web UI Testing</t>
        </is>
      </c>
      <c r="D42" s="12" t="inlineStr">
        <is>
          <t>Positive Web UI Layout on Onboarding Primary Goal Screen</t>
        </is>
      </c>
      <c r="E42" s="12" t="inlineStr">
        <is>
          <t>1. Launch test runner in Staging / Web Chrome.
2. Navigate to Onboarding Primary Goal Screen (SelectScreen).
3. Launch browser, navigate to SelectScreen, verify grid container alignment and responsive element scaling.
4. Verify expected results and log evidence.</t>
        </is>
      </c>
      <c r="F42" s="12" t="inlineStr">
        <is>
          <t>Viewport: 1920x1080, Screen: SelectScreen</t>
        </is>
      </c>
      <c r="G42" s="12" t="inlineStr">
        <is>
          <t>UI components align cleanly without scrollbar clipping or overflow.</t>
        </is>
      </c>
      <c r="H42" s="12" t="inlineStr">
        <is>
          <t>Pending Execution</t>
        </is>
      </c>
      <c r="I42" s="13" t="inlineStr">
        <is>
          <t>Not Executed</t>
        </is>
      </c>
      <c r="J42" s="11" t="inlineStr">
        <is>
          <t>Medium</t>
        </is>
      </c>
      <c r="K42" s="11" t="inlineStr">
        <is>
          <t>Moderate</t>
        </is>
      </c>
      <c r="L42" s="11" t="inlineStr">
        <is>
          <t>Script Ready</t>
        </is>
      </c>
      <c r="M42" s="12" t="inlineStr">
        <is>
          <t>Staging / Web Chrome</t>
        </is>
      </c>
      <c r="N42" s="12" t="inlineStr">
        <is>
          <t>Chrome v126 / Edge v126</t>
        </is>
      </c>
      <c r="O42" s="12" t="inlineStr">
        <is>
          <t>Screen-specific baseline case for Onboarding Primary Goal Screen</t>
        </is>
      </c>
    </row>
    <row r="43" ht="36" customHeight="1">
      <c r="A43" s="11" t="inlineStr">
        <is>
          <t>TC-042</t>
        </is>
      </c>
      <c r="B43" s="12" t="inlineStr">
        <is>
          <t>SelectScreen</t>
        </is>
      </c>
      <c r="C43" s="12" t="inlineStr">
        <is>
          <t>Selenium Web UI Testing</t>
        </is>
      </c>
      <c r="D43" s="12" t="inlineStr">
        <is>
          <t>Negative Input Form Validation on Onboarding Primary Goal Screen</t>
        </is>
      </c>
      <c r="E43" s="12" t="inlineStr">
        <is>
          <t>1. Launch test runner in Staging / Web Chrome.
2. Navigate to Onboarding Primary Goal Screen (SelectScreen).
3. Focus input controls on SelectScreen, enter out-of-bound strings, trigger blur event.
4. Verify expected results and log evidence.</t>
        </is>
      </c>
      <c r="F43" s="12" t="inlineStr">
        <is>
          <t>Input: invalid_string, Screen: SelectScreen</t>
        </is>
      </c>
      <c r="G43" s="12" t="inlineStr">
        <is>
          <t>Validation badge displays accessible aria error message.</t>
        </is>
      </c>
      <c r="H43" s="12" t="inlineStr">
        <is>
          <t>Pending Execution</t>
        </is>
      </c>
      <c r="I43" s="13" t="inlineStr">
        <is>
          <t>Not Executed</t>
        </is>
      </c>
      <c r="J43" s="11" t="inlineStr">
        <is>
          <t>High</t>
        </is>
      </c>
      <c r="K43" s="11" t="inlineStr">
        <is>
          <t>Critical</t>
        </is>
      </c>
      <c r="L43" s="11" t="inlineStr">
        <is>
          <t>Script Ready</t>
        </is>
      </c>
      <c r="M43" s="12" t="inlineStr">
        <is>
          <t>Staging / Web Chrome</t>
        </is>
      </c>
      <c r="N43" s="12" t="inlineStr">
        <is>
          <t>Chrome v126 / Edge v126</t>
        </is>
      </c>
      <c r="O43" s="12" t="inlineStr">
        <is>
          <t>Screen-specific baseline case for Onboarding Primary Goal Screen</t>
        </is>
      </c>
    </row>
    <row r="44" ht="36" customHeight="1">
      <c r="A44" s="11" t="inlineStr">
        <is>
          <t>TC-043</t>
        </is>
      </c>
      <c r="B44" s="12" t="inlineStr">
        <is>
          <t>SelectScreen</t>
        </is>
      </c>
      <c r="C44" s="12" t="inlineStr">
        <is>
          <t>Selenium Web UI Testing</t>
        </is>
      </c>
      <c r="D44" s="12" t="inlineStr">
        <is>
          <t>Boundary Viewport Responsiveness on Onboarding Primary Goal Screen</t>
        </is>
      </c>
      <c r="E44" s="12" t="inlineStr">
        <is>
          <t>1. Launch test runner in Staging / Web Chrome.
2. Navigate to Onboarding Primary Goal Screen (SelectScreen).
3. Resize web browser window from 320px mobile breakpoint up to 4K desktop width.
4. Verify expected results and log evidence.</t>
        </is>
      </c>
      <c r="F44" s="12" t="inlineStr">
        <is>
          <t>Breakpoint Widths: [320, 768, 1024, 1440, 3840]</t>
        </is>
      </c>
      <c r="G44" s="12" t="inlineStr">
        <is>
          <t>Layout adapts responsively without overlapping UI text nodes.</t>
        </is>
      </c>
      <c r="H44" s="12" t="inlineStr">
        <is>
          <t>Pending Execution</t>
        </is>
      </c>
      <c r="I44" s="13" t="inlineStr">
        <is>
          <t>Not Executed</t>
        </is>
      </c>
      <c r="J44" s="11" t="inlineStr">
        <is>
          <t>Medium</t>
        </is>
      </c>
      <c r="K44" s="11" t="inlineStr">
        <is>
          <t>Moderate</t>
        </is>
      </c>
      <c r="L44" s="11" t="inlineStr">
        <is>
          <t>Script Ready</t>
        </is>
      </c>
      <c r="M44" s="12" t="inlineStr">
        <is>
          <t>Staging / Web Chrome</t>
        </is>
      </c>
      <c r="N44" s="12" t="inlineStr">
        <is>
          <t>Chrome v126 / Edge v126</t>
        </is>
      </c>
      <c r="O44" s="12" t="inlineStr">
        <is>
          <t>Screen-specific baseline case for Onboarding Primary Goal Screen</t>
        </is>
      </c>
    </row>
    <row r="45" ht="36" customHeight="1">
      <c r="A45" s="11" t="inlineStr">
        <is>
          <t>TC-044</t>
        </is>
      </c>
      <c r="B45" s="12" t="inlineStr">
        <is>
          <t>SelectScreen</t>
        </is>
      </c>
      <c r="C45" s="12" t="inlineStr">
        <is>
          <t>Selenium Web UI Testing</t>
        </is>
      </c>
      <c r="D45" s="12" t="inlineStr">
        <is>
          <t>Interactive Hover &amp; Focus Traversal on Onboarding Primary Goal Screen</t>
        </is>
      </c>
      <c r="E45" s="12" t="inlineStr">
        <is>
          <t>1. Launch test runner in Staging / Web Chrome.
2. Navigate to Onboarding Primary Goal Screen (SelectScreen).
3. Tab through interactive focusable nodes on SelectScreen, hover cursor over CTA buttons.
4. Verify expected results and log evidence.</t>
        </is>
      </c>
      <c r="F45" s="12" t="inlineStr">
        <is>
          <t>Key Navigation: TAB, Hover target: SelectScreen</t>
        </is>
      </c>
      <c r="G45" s="12" t="inlineStr">
        <is>
          <t>Focus ring highlights elements in logical DOM tab order.</t>
        </is>
      </c>
      <c r="H45" s="12" t="inlineStr">
        <is>
          <t>Pending Execution</t>
        </is>
      </c>
      <c r="I45" s="13" t="inlineStr">
        <is>
          <t>Not Executed</t>
        </is>
      </c>
      <c r="J45" s="11" t="inlineStr">
        <is>
          <t>Medium</t>
        </is>
      </c>
      <c r="K45" s="11" t="inlineStr">
        <is>
          <t>Major</t>
        </is>
      </c>
      <c r="L45" s="11" t="inlineStr">
        <is>
          <t>Script Ready</t>
        </is>
      </c>
      <c r="M45" s="12" t="inlineStr">
        <is>
          <t>Staging / Web Chrome</t>
        </is>
      </c>
      <c r="N45" s="12" t="inlineStr">
        <is>
          <t>Chrome v126 / Edge v126</t>
        </is>
      </c>
      <c r="O45" s="12" t="inlineStr">
        <is>
          <t>Screen-specific baseline case for Onboarding Primary Goal Screen</t>
        </is>
      </c>
    </row>
    <row r="46" ht="36" customHeight="1">
      <c r="A46" s="11" t="inlineStr">
        <is>
          <t>TC-045</t>
        </is>
      </c>
      <c r="B46" s="12" t="inlineStr">
        <is>
          <t>SelectScreen</t>
        </is>
      </c>
      <c r="C46" s="12" t="inlineStr">
        <is>
          <t>Selenium Web UI Testing</t>
        </is>
      </c>
      <c r="D46" s="12" t="inlineStr">
        <is>
          <t>Cross-Browser Rendering Parity on Onboarding Primary Goal Screen</t>
        </is>
      </c>
      <c r="E46" s="12" t="inlineStr">
        <is>
          <t>1. Launch test runner in Staging / Web Chrome.
2. Navigate to Onboarding Primary Goal Screen (SelectScreen).
3. Execute UI test suite for SelectScreen across Chrome, Firefox, Safari, and Edge.
4. Verify expected results and log evidence.</t>
        </is>
      </c>
      <c r="F46" s="12" t="inlineStr">
        <is>
          <t>Browsers: Chrome, Firefox, Safari, Edge</t>
        </is>
      </c>
      <c r="G46" s="12" t="inlineStr">
        <is>
          <t>DOM element styles render identically with zero CSS misalignment.</t>
        </is>
      </c>
      <c r="H46" s="12" t="inlineStr">
        <is>
          <t>Pending Execution</t>
        </is>
      </c>
      <c r="I46" s="13" t="inlineStr">
        <is>
          <t>Not Executed</t>
        </is>
      </c>
      <c r="J46" s="11" t="inlineStr">
        <is>
          <t>High</t>
        </is>
      </c>
      <c r="K46" s="11" t="inlineStr">
        <is>
          <t>Moderate</t>
        </is>
      </c>
      <c r="L46" s="11" t="inlineStr">
        <is>
          <t>Script Ready</t>
        </is>
      </c>
      <c r="M46" s="12" t="inlineStr">
        <is>
          <t>Staging / Web Chrome</t>
        </is>
      </c>
      <c r="N46" s="12" t="inlineStr">
        <is>
          <t>Chrome v126 / Edge v126</t>
        </is>
      </c>
      <c r="O46" s="12" t="inlineStr">
        <is>
          <t>Screen-specific baseline case for Onboarding Primary Goal Screen</t>
        </is>
      </c>
    </row>
    <row r="47" ht="36" customHeight="1">
      <c r="A47" s="11" t="inlineStr">
        <is>
          <t>TC-046</t>
        </is>
      </c>
      <c r="B47" s="12" t="inlineStr">
        <is>
          <t>SelectScreen</t>
        </is>
      </c>
      <c r="C47" s="12" t="inlineStr">
        <is>
          <t>Selenium Web UI Testing</t>
        </is>
      </c>
      <c r="D47" s="12" t="inlineStr">
        <is>
          <t>Arabic Right-to-Left (RTL) Layout on Onboarding Primary Goal Screen</t>
        </is>
      </c>
      <c r="E47" s="12" t="inlineStr">
        <is>
          <t>1. Launch test runner in Staging / Web Chrome.
2. Navigate to Onboarding Primary Goal Screen (SelectScreen).
3. Switch locale to Arabic (ar_SA) on SelectScreen, inspect text direction and icon mirroring.
4. Verify expected results and log evidence.</t>
        </is>
      </c>
      <c r="F47" s="12" t="inlineStr">
        <is>
          <t>Locale: ar_SA, Target: SelectScreen</t>
        </is>
      </c>
      <c r="G47" s="12" t="inlineStr">
        <is>
          <t>UI flips to right-to-left layout with mirrored icons and aligned text.</t>
        </is>
      </c>
      <c r="H47" s="12" t="inlineStr">
        <is>
          <t>Pending Execution</t>
        </is>
      </c>
      <c r="I47" s="13" t="inlineStr">
        <is>
          <t>Not Executed</t>
        </is>
      </c>
      <c r="J47" s="11" t="inlineStr">
        <is>
          <t>Medium</t>
        </is>
      </c>
      <c r="K47" s="11" t="inlineStr">
        <is>
          <t>Major</t>
        </is>
      </c>
      <c r="L47" s="11" t="inlineStr">
        <is>
          <t>Script Ready</t>
        </is>
      </c>
      <c r="M47" s="12" t="inlineStr">
        <is>
          <t>Staging / Web Chrome</t>
        </is>
      </c>
      <c r="N47" s="12" t="inlineStr">
        <is>
          <t>Chrome v126 / Edge v126</t>
        </is>
      </c>
      <c r="O47" s="12" t="inlineStr">
        <is>
          <t>Screen-specific baseline case for Onboarding Primary Goal Screen</t>
        </is>
      </c>
    </row>
    <row r="48" ht="36" customHeight="1">
      <c r="A48" s="11" t="inlineStr">
        <is>
          <t>TC-047</t>
        </is>
      </c>
      <c r="B48" s="12" t="inlineStr">
        <is>
          <t>SelectScreen</t>
        </is>
      </c>
      <c r="C48" s="12" t="inlineStr">
        <is>
          <t>Selenium Web UI Testing</t>
        </is>
      </c>
      <c r="D48" s="12" t="inlineStr">
        <is>
          <t>Localization &amp; Multi-Language Switching on Onboarding Primary Goal Screen</t>
        </is>
      </c>
      <c r="E48" s="12" t="inlineStr">
        <is>
          <t>1. Launch test runner in Staging / Web Chrome.
2. Navigate to Onboarding Primary Goal Screen (SelectScreen).
3. Toggle header language dropdown on SelectScreen between English, Hindi, and Arabic.
4. Verify expected results and log evidence.</t>
        </is>
      </c>
      <c r="F48" s="12" t="inlineStr">
        <is>
          <t>Locales: en, hi, ar</t>
        </is>
      </c>
      <c r="G48" s="12" t="inlineStr">
        <is>
          <t>All visible text strings update to selected language instantly.</t>
        </is>
      </c>
      <c r="H48" s="12" t="inlineStr">
        <is>
          <t>Pending Execution</t>
        </is>
      </c>
      <c r="I48" s="13" t="inlineStr">
        <is>
          <t>Not Executed</t>
        </is>
      </c>
      <c r="J48" s="11" t="inlineStr">
        <is>
          <t>Medium</t>
        </is>
      </c>
      <c r="K48" s="11" t="inlineStr">
        <is>
          <t>Moderate</t>
        </is>
      </c>
      <c r="L48" s="11" t="inlineStr">
        <is>
          <t>Script Ready</t>
        </is>
      </c>
      <c r="M48" s="12" t="inlineStr">
        <is>
          <t>Staging / Web Chrome</t>
        </is>
      </c>
      <c r="N48" s="12" t="inlineStr">
        <is>
          <t>Chrome v126 / Edge v126</t>
        </is>
      </c>
      <c r="O48" s="12" t="inlineStr">
        <is>
          <t>Screen-specific baseline case for Onboarding Primary Goal Screen</t>
        </is>
      </c>
    </row>
    <row r="49" ht="36" customHeight="1">
      <c r="A49" s="11" t="inlineStr">
        <is>
          <t>TC-048</t>
        </is>
      </c>
      <c r="B49" s="12" t="inlineStr">
        <is>
          <t>SelectScreen</t>
        </is>
      </c>
      <c r="C49" s="12" t="inlineStr">
        <is>
          <t>Selenium Web UI Testing</t>
        </is>
      </c>
      <c r="D49" s="12" t="inlineStr">
        <is>
          <t>Data Table &amp; Grid State Retention on Onboarding Primary Goal Screen</t>
        </is>
      </c>
      <c r="E49" s="12" t="inlineStr">
        <is>
          <t>1. Launch test runner in Staging / Web Chrome.
2. Navigate to Onboarding Primary Goal Screen (SelectScreen).
3. Interact with data filters or state controls on SelectScreen, navigate away and return.
4. Verify expected results and log evidence.</t>
        </is>
      </c>
      <c r="F49" s="12" t="inlineStr">
        <is>
          <t>State Payload: SelectScreen_filter</t>
        </is>
      </c>
      <c r="G49" s="12" t="inlineStr">
        <is>
          <t>Screen preserves applied filter state without unexpected reset.</t>
        </is>
      </c>
      <c r="H49" s="12" t="inlineStr">
        <is>
          <t>Pending Execution</t>
        </is>
      </c>
      <c r="I49" s="13" t="inlineStr">
        <is>
          <t>Not Executed</t>
        </is>
      </c>
      <c r="J49" s="11" t="inlineStr">
        <is>
          <t>High</t>
        </is>
      </c>
      <c r="K49" s="11" t="inlineStr">
        <is>
          <t>Major</t>
        </is>
      </c>
      <c r="L49" s="11" t="inlineStr">
        <is>
          <t>Script Ready</t>
        </is>
      </c>
      <c r="M49" s="12" t="inlineStr">
        <is>
          <t>Staging / Web Chrome</t>
        </is>
      </c>
      <c r="N49" s="12" t="inlineStr">
        <is>
          <t>Chrome v126 / Edge v126</t>
        </is>
      </c>
      <c r="O49" s="12" t="inlineStr">
        <is>
          <t>Screen-specific baseline case for Onboarding Primary Goal Screen</t>
        </is>
      </c>
    </row>
    <row r="50" ht="36" customHeight="1">
      <c r="A50" s="11" t="inlineStr">
        <is>
          <t>TC-049</t>
        </is>
      </c>
      <c r="B50" s="12" t="inlineStr">
        <is>
          <t>SelectScreen</t>
        </is>
      </c>
      <c r="C50" s="12" t="inlineStr">
        <is>
          <t>Selenium Web UI Testing</t>
        </is>
      </c>
      <c r="D50" s="12" t="inlineStr">
        <is>
          <t>Modal Backdrop &amp; Keyboard Escape on Onboarding Primary Goal Screen</t>
        </is>
      </c>
      <c r="E50" s="12" t="inlineStr">
        <is>
          <t>1. Launch test runner in Staging / Web Chrome.
2. Navigate to Onboarding Primary Goal Screen (SelectScreen).
3. Trigger pop-up dialog/modal on SelectScreen, press Escape key to dismiss.
4. Verify expected results and log evidence.</t>
        </is>
      </c>
      <c r="F50" s="12" t="inlineStr">
        <is>
          <t>Modal Target: SelectScreen</t>
        </is>
      </c>
      <c r="G50" s="12" t="inlineStr">
        <is>
          <t>Modal closes smoothly and returns focus to parent container.</t>
        </is>
      </c>
      <c r="H50" s="12" t="inlineStr">
        <is>
          <t>Pending Execution</t>
        </is>
      </c>
      <c r="I50" s="13" t="inlineStr">
        <is>
          <t>Not Executed</t>
        </is>
      </c>
      <c r="J50" s="11" t="inlineStr">
        <is>
          <t>Medium</t>
        </is>
      </c>
      <c r="K50" s="11" t="inlineStr">
        <is>
          <t>Critical</t>
        </is>
      </c>
      <c r="L50" s="11" t="inlineStr">
        <is>
          <t>Script Ready</t>
        </is>
      </c>
      <c r="M50" s="12" t="inlineStr">
        <is>
          <t>Staging / Web Chrome</t>
        </is>
      </c>
      <c r="N50" s="12" t="inlineStr">
        <is>
          <t>Chrome v126 / Edge v126</t>
        </is>
      </c>
      <c r="O50" s="12" t="inlineStr">
        <is>
          <t>Screen-specific baseline case for Onboarding Primary Goal Screen</t>
        </is>
      </c>
    </row>
    <row r="51" ht="36" customHeight="1">
      <c r="A51" s="11" t="inlineStr">
        <is>
          <t>TC-050</t>
        </is>
      </c>
      <c r="B51" s="12" t="inlineStr">
        <is>
          <t>SelectScreen</t>
        </is>
      </c>
      <c r="C51" s="12" t="inlineStr">
        <is>
          <t>Selenium Web UI Testing</t>
        </is>
      </c>
      <c r="D51" s="12" t="inlineStr">
        <is>
          <t>Network Failure UI Fallback on Onboarding Primary Goal Screen</t>
        </is>
      </c>
      <c r="E51" s="12" t="inlineStr">
        <is>
          <t>1. Launch test runner in Staging / Web Chrome.
2. Navigate to Onboarding Primary Goal Screen (SelectScreen).
3. Throttled network to offline mode while viewing SelectScreen, attempt UI interaction.
4. Verify expected results and log evidence.</t>
        </is>
      </c>
      <c r="F51" s="12" t="inlineStr">
        <is>
          <t>Network: Offline, Target: SelectScreen</t>
        </is>
      </c>
      <c r="G51" s="12" t="inlineStr">
        <is>
          <t>User-friendly offline banner appears with retry button.</t>
        </is>
      </c>
      <c r="H51" s="12" t="inlineStr">
        <is>
          <t>Pending Execution</t>
        </is>
      </c>
      <c r="I51" s="13" t="inlineStr">
        <is>
          <t>Not Executed</t>
        </is>
      </c>
      <c r="J51" s="11" t="inlineStr">
        <is>
          <t>Low</t>
        </is>
      </c>
      <c r="K51" s="11" t="inlineStr">
        <is>
          <t>Major</t>
        </is>
      </c>
      <c r="L51" s="11" t="inlineStr">
        <is>
          <t>Script Ready</t>
        </is>
      </c>
      <c r="M51" s="12" t="inlineStr">
        <is>
          <t>Staging / Web Chrome</t>
        </is>
      </c>
      <c r="N51" s="12" t="inlineStr">
        <is>
          <t>Chrome v126 / Edge v126</t>
        </is>
      </c>
      <c r="O51" s="12" t="inlineStr">
        <is>
          <t>Screen-specific baseline case for Onboarding Primary Goal Screen</t>
        </is>
      </c>
    </row>
    <row r="52" ht="36" customHeight="1">
      <c r="A52" s="11" t="inlineStr">
        <is>
          <t>TC-051</t>
        </is>
      </c>
      <c r="B52" s="12" t="inlineStr">
        <is>
          <t>GoalScreen</t>
        </is>
      </c>
      <c r="C52" s="12" t="inlineStr">
        <is>
          <t>Selenium Web UI Testing</t>
        </is>
      </c>
      <c r="D52" s="12" t="inlineStr">
        <is>
          <t>Positive Web UI Layout on Fitness Target Goal Screen</t>
        </is>
      </c>
      <c r="E52" s="12" t="inlineStr">
        <is>
          <t>1. Launch test runner in Staging / Web Chrome.
2. Navigate to Fitness Target Goal Screen (GoalScreen).
3. Launch browser, navigate to GoalScreen, verify grid container alignment and responsive element scaling.
4. Verify expected results and log evidence.</t>
        </is>
      </c>
      <c r="F52" s="12" t="inlineStr">
        <is>
          <t>Viewport: 1920x1080, Screen: GoalScreen</t>
        </is>
      </c>
      <c r="G52" s="12" t="inlineStr">
        <is>
          <t>UI components align cleanly without scrollbar clipping or overflow.</t>
        </is>
      </c>
      <c r="H52" s="12" t="inlineStr">
        <is>
          <t>Pending Execution</t>
        </is>
      </c>
      <c r="I52" s="13" t="inlineStr">
        <is>
          <t>Not Executed</t>
        </is>
      </c>
      <c r="J52" s="11" t="inlineStr">
        <is>
          <t>High</t>
        </is>
      </c>
      <c r="K52" s="11" t="inlineStr">
        <is>
          <t>Moderate</t>
        </is>
      </c>
      <c r="L52" s="11" t="inlineStr">
        <is>
          <t>Script Ready</t>
        </is>
      </c>
      <c r="M52" s="12" t="inlineStr">
        <is>
          <t>Staging / Web Chrome</t>
        </is>
      </c>
      <c r="N52" s="12" t="inlineStr">
        <is>
          <t>Chrome v126 / Edge v126</t>
        </is>
      </c>
      <c r="O52" s="12" t="inlineStr">
        <is>
          <t>Screen-specific baseline case for Fitness Target Goal Screen</t>
        </is>
      </c>
    </row>
    <row r="53" ht="36" customHeight="1">
      <c r="A53" s="11" t="inlineStr">
        <is>
          <t>TC-052</t>
        </is>
      </c>
      <c r="B53" s="12" t="inlineStr">
        <is>
          <t>GoalScreen</t>
        </is>
      </c>
      <c r="C53" s="12" t="inlineStr">
        <is>
          <t>Selenium Web UI Testing</t>
        </is>
      </c>
      <c r="D53" s="12" t="inlineStr">
        <is>
          <t>Negative Input Form Validation on Fitness Target Goal Screen</t>
        </is>
      </c>
      <c r="E53" s="12" t="inlineStr">
        <is>
          <t>1. Launch test runner in Staging / Web Chrome.
2. Navigate to Fitness Target Goal Screen (GoalScreen).
3. Focus input controls on GoalScreen, enter out-of-bound strings, trigger blur event.
4. Verify expected results and log evidence.</t>
        </is>
      </c>
      <c r="F53" s="12" t="inlineStr">
        <is>
          <t>Input: invalid_string, Screen: GoalScreen</t>
        </is>
      </c>
      <c r="G53" s="12" t="inlineStr">
        <is>
          <t>Validation badge displays accessible aria error message.</t>
        </is>
      </c>
      <c r="H53" s="12" t="inlineStr">
        <is>
          <t>Pending Execution</t>
        </is>
      </c>
      <c r="I53" s="13" t="inlineStr">
        <is>
          <t>Not Executed</t>
        </is>
      </c>
      <c r="J53" s="11" t="inlineStr">
        <is>
          <t>Medium</t>
        </is>
      </c>
      <c r="K53" s="11" t="inlineStr">
        <is>
          <t>Major</t>
        </is>
      </c>
      <c r="L53" s="11" t="inlineStr">
        <is>
          <t>Script Ready</t>
        </is>
      </c>
      <c r="M53" s="12" t="inlineStr">
        <is>
          <t>Staging / Web Chrome</t>
        </is>
      </c>
      <c r="N53" s="12" t="inlineStr">
        <is>
          <t>Chrome v126 / Edge v126</t>
        </is>
      </c>
      <c r="O53" s="12" t="inlineStr">
        <is>
          <t>Screen-specific baseline case for Fitness Target Goal Screen</t>
        </is>
      </c>
    </row>
    <row r="54" ht="36" customHeight="1">
      <c r="A54" s="11" t="inlineStr">
        <is>
          <t>TC-053</t>
        </is>
      </c>
      <c r="B54" s="12" t="inlineStr">
        <is>
          <t>GoalScreen</t>
        </is>
      </c>
      <c r="C54" s="12" t="inlineStr">
        <is>
          <t>Selenium Web UI Testing</t>
        </is>
      </c>
      <c r="D54" s="12" t="inlineStr">
        <is>
          <t>Boundary Viewport Responsiveness on Fitness Target Goal Screen</t>
        </is>
      </c>
      <c r="E54" s="12" t="inlineStr">
        <is>
          <t>1. Launch test runner in Staging / Web Chrome.
2. Navigate to Fitness Target Goal Screen (GoalScreen).
3. Resize web browser window from 320px mobile breakpoint up to 4K desktop width.
4. Verify expected results and log evidence.</t>
        </is>
      </c>
      <c r="F54" s="12" t="inlineStr">
        <is>
          <t>Breakpoint Widths: [320, 768, 1024, 1440, 3840]</t>
        </is>
      </c>
      <c r="G54" s="12" t="inlineStr">
        <is>
          <t>Layout adapts responsively without overlapping UI text nodes.</t>
        </is>
      </c>
      <c r="H54" s="12" t="inlineStr">
        <is>
          <t>Pending Execution</t>
        </is>
      </c>
      <c r="I54" s="13" t="inlineStr">
        <is>
          <t>Not Executed</t>
        </is>
      </c>
      <c r="J54" s="11" t="inlineStr">
        <is>
          <t>Medium</t>
        </is>
      </c>
      <c r="K54" s="11" t="inlineStr">
        <is>
          <t>Moderate</t>
        </is>
      </c>
      <c r="L54" s="11" t="inlineStr">
        <is>
          <t>Script Ready</t>
        </is>
      </c>
      <c r="M54" s="12" t="inlineStr">
        <is>
          <t>Staging / Web Chrome</t>
        </is>
      </c>
      <c r="N54" s="12" t="inlineStr">
        <is>
          <t>Chrome v126 / Edge v126</t>
        </is>
      </c>
      <c r="O54" s="12" t="inlineStr">
        <is>
          <t>Screen-specific baseline case for Fitness Target Goal Screen</t>
        </is>
      </c>
    </row>
    <row r="55" ht="36" customHeight="1">
      <c r="A55" s="11" t="inlineStr">
        <is>
          <t>TC-054</t>
        </is>
      </c>
      <c r="B55" s="12" t="inlineStr">
        <is>
          <t>GoalScreen</t>
        </is>
      </c>
      <c r="C55" s="12" t="inlineStr">
        <is>
          <t>Selenium Web UI Testing</t>
        </is>
      </c>
      <c r="D55" s="12" t="inlineStr">
        <is>
          <t>Interactive Hover &amp; Focus Traversal on Fitness Target Goal Screen</t>
        </is>
      </c>
      <c r="E55" s="12" t="inlineStr">
        <is>
          <t>1. Launch test runner in Staging / Web Chrome.
2. Navigate to Fitness Target Goal Screen (GoalScreen).
3. Tab through interactive focusable nodes on GoalScreen, hover cursor over CTA buttons.
4. Verify expected results and log evidence.</t>
        </is>
      </c>
      <c r="F55" s="12" t="inlineStr">
        <is>
          <t>Key Navigation: TAB, Hover target: GoalScreen</t>
        </is>
      </c>
      <c r="G55" s="12" t="inlineStr">
        <is>
          <t>Focus ring highlights elements in logical DOM tab order.</t>
        </is>
      </c>
      <c r="H55" s="12" t="inlineStr">
        <is>
          <t>Pending Execution</t>
        </is>
      </c>
      <c r="I55" s="13" t="inlineStr">
        <is>
          <t>Not Executed</t>
        </is>
      </c>
      <c r="J55" s="11" t="inlineStr">
        <is>
          <t>High</t>
        </is>
      </c>
      <c r="K55" s="11" t="inlineStr">
        <is>
          <t>Major</t>
        </is>
      </c>
      <c r="L55" s="11" t="inlineStr">
        <is>
          <t>Script Ready</t>
        </is>
      </c>
      <c r="M55" s="12" t="inlineStr">
        <is>
          <t>Staging / Web Chrome</t>
        </is>
      </c>
      <c r="N55" s="12" t="inlineStr">
        <is>
          <t>Chrome v126 / Edge v126</t>
        </is>
      </c>
      <c r="O55" s="12" t="inlineStr">
        <is>
          <t>Screen-specific baseline case for Fitness Target Goal Screen</t>
        </is>
      </c>
    </row>
    <row r="56" ht="36" customHeight="1">
      <c r="A56" s="11" t="inlineStr">
        <is>
          <t>TC-055</t>
        </is>
      </c>
      <c r="B56" s="12" t="inlineStr">
        <is>
          <t>GoalScreen</t>
        </is>
      </c>
      <c r="C56" s="12" t="inlineStr">
        <is>
          <t>Selenium Web UI Testing</t>
        </is>
      </c>
      <c r="D56" s="12" t="inlineStr">
        <is>
          <t>Cross-Browser Rendering Parity on Fitness Target Goal Screen</t>
        </is>
      </c>
      <c r="E56" s="12" t="inlineStr">
        <is>
          <t>1. Launch test runner in Staging / Web Chrome.
2. Navigate to Fitness Target Goal Screen (GoalScreen).
3. Execute UI test suite for GoalScreen across Chrome, Firefox, Safari, and Edge.
4. Verify expected results and log evidence.</t>
        </is>
      </c>
      <c r="F56" s="12" t="inlineStr">
        <is>
          <t>Browsers: Chrome, Firefox, Safari, Edge</t>
        </is>
      </c>
      <c r="G56" s="12" t="inlineStr">
        <is>
          <t>DOM element styles render identically with zero CSS misalignment.</t>
        </is>
      </c>
      <c r="H56" s="12" t="inlineStr">
        <is>
          <t>Pending Execution</t>
        </is>
      </c>
      <c r="I56" s="13" t="inlineStr">
        <is>
          <t>Not Executed</t>
        </is>
      </c>
      <c r="J56" s="11" t="inlineStr">
        <is>
          <t>Low</t>
        </is>
      </c>
      <c r="K56" s="11" t="inlineStr">
        <is>
          <t>Moderate</t>
        </is>
      </c>
      <c r="L56" s="11" t="inlineStr">
        <is>
          <t>Script Ready</t>
        </is>
      </c>
      <c r="M56" s="12" t="inlineStr">
        <is>
          <t>Staging / Web Chrome</t>
        </is>
      </c>
      <c r="N56" s="12" t="inlineStr">
        <is>
          <t>Chrome v126 / Edge v126</t>
        </is>
      </c>
      <c r="O56" s="12" t="inlineStr">
        <is>
          <t>Screen-specific baseline case for Fitness Target Goal Screen</t>
        </is>
      </c>
    </row>
    <row r="57" ht="36" customHeight="1">
      <c r="A57" s="11" t="inlineStr">
        <is>
          <t>TC-056</t>
        </is>
      </c>
      <c r="B57" s="12" t="inlineStr">
        <is>
          <t>GoalScreen</t>
        </is>
      </c>
      <c r="C57" s="12" t="inlineStr">
        <is>
          <t>Selenium Web UI Testing</t>
        </is>
      </c>
      <c r="D57" s="12" t="inlineStr">
        <is>
          <t>Arabic Right-to-Left (RTL) Layout on Fitness Target Goal Screen</t>
        </is>
      </c>
      <c r="E57" s="12" t="inlineStr">
        <is>
          <t>1. Launch test runner in Staging / Web Chrome.
2. Navigate to Fitness Target Goal Screen (GoalScreen).
3. Switch locale to Arabic (ar_SA) on GoalScreen, inspect text direction and icon mirroring.
4. Verify expected results and log evidence.</t>
        </is>
      </c>
      <c r="F57" s="12" t="inlineStr">
        <is>
          <t>Locale: ar_SA, Target: GoalScreen</t>
        </is>
      </c>
      <c r="G57" s="12" t="inlineStr">
        <is>
          <t>UI flips to right-to-left layout with mirrored icons and aligned text.</t>
        </is>
      </c>
      <c r="H57" s="12" t="inlineStr">
        <is>
          <t>Pending Execution</t>
        </is>
      </c>
      <c r="I57" s="13" t="inlineStr">
        <is>
          <t>Not Executed</t>
        </is>
      </c>
      <c r="J57" s="11" t="inlineStr">
        <is>
          <t>Medium</t>
        </is>
      </c>
      <c r="K57" s="11" t="inlineStr">
        <is>
          <t>Critical</t>
        </is>
      </c>
      <c r="L57" s="11" t="inlineStr">
        <is>
          <t>Script Ready</t>
        </is>
      </c>
      <c r="M57" s="12" t="inlineStr">
        <is>
          <t>Staging / Web Chrome</t>
        </is>
      </c>
      <c r="N57" s="12" t="inlineStr">
        <is>
          <t>Chrome v126 / Edge v126</t>
        </is>
      </c>
      <c r="O57" s="12" t="inlineStr">
        <is>
          <t>Screen-specific baseline case for Fitness Target Goal Screen</t>
        </is>
      </c>
    </row>
    <row r="58" ht="36" customHeight="1">
      <c r="A58" s="11" t="inlineStr">
        <is>
          <t>TC-057</t>
        </is>
      </c>
      <c r="B58" s="12" t="inlineStr">
        <is>
          <t>GoalScreen</t>
        </is>
      </c>
      <c r="C58" s="12" t="inlineStr">
        <is>
          <t>Selenium Web UI Testing</t>
        </is>
      </c>
      <c r="D58" s="12" t="inlineStr">
        <is>
          <t>Localization &amp; Multi-Language Switching on Fitness Target Goal Screen</t>
        </is>
      </c>
      <c r="E58" s="12" t="inlineStr">
        <is>
          <t>1. Launch test runner in Staging / Web Chrome.
2. Navigate to Fitness Target Goal Screen (GoalScreen).
3. Toggle header language dropdown on GoalScreen between English, Hindi, and Arabic.
4. Verify expected results and log evidence.</t>
        </is>
      </c>
      <c r="F58" s="12" t="inlineStr">
        <is>
          <t>Locales: en, hi, ar</t>
        </is>
      </c>
      <c r="G58" s="12" t="inlineStr">
        <is>
          <t>All visible text strings update to selected language instantly.</t>
        </is>
      </c>
      <c r="H58" s="12" t="inlineStr">
        <is>
          <t>Pending Execution</t>
        </is>
      </c>
      <c r="I58" s="13" t="inlineStr">
        <is>
          <t>Not Executed</t>
        </is>
      </c>
      <c r="J58" s="11" t="inlineStr">
        <is>
          <t>High</t>
        </is>
      </c>
      <c r="K58" s="11" t="inlineStr">
        <is>
          <t>Moderate</t>
        </is>
      </c>
      <c r="L58" s="11" t="inlineStr">
        <is>
          <t>Script Ready</t>
        </is>
      </c>
      <c r="M58" s="12" t="inlineStr">
        <is>
          <t>Staging / Web Chrome</t>
        </is>
      </c>
      <c r="N58" s="12" t="inlineStr">
        <is>
          <t>Chrome v126 / Edge v126</t>
        </is>
      </c>
      <c r="O58" s="12" t="inlineStr">
        <is>
          <t>Screen-specific baseline case for Fitness Target Goal Screen</t>
        </is>
      </c>
    </row>
    <row r="59" ht="36" customHeight="1">
      <c r="A59" s="11" t="inlineStr">
        <is>
          <t>TC-058</t>
        </is>
      </c>
      <c r="B59" s="12" t="inlineStr">
        <is>
          <t>GoalScreen</t>
        </is>
      </c>
      <c r="C59" s="12" t="inlineStr">
        <is>
          <t>Selenium Web UI Testing</t>
        </is>
      </c>
      <c r="D59" s="12" t="inlineStr">
        <is>
          <t>Data Table &amp; Grid State Retention on Fitness Target Goal Screen</t>
        </is>
      </c>
      <c r="E59" s="12" t="inlineStr">
        <is>
          <t>1. Launch test runner in Staging / Web Chrome.
2. Navigate to Fitness Target Goal Screen (GoalScreen).
3. Interact with data filters or state controls on GoalScreen, navigate away and return.
4. Verify expected results and log evidence.</t>
        </is>
      </c>
      <c r="F59" s="12" t="inlineStr">
        <is>
          <t>State Payload: GoalScreen_filter</t>
        </is>
      </c>
      <c r="G59" s="12" t="inlineStr">
        <is>
          <t>Screen preserves applied filter state without unexpected reset.</t>
        </is>
      </c>
      <c r="H59" s="12" t="inlineStr">
        <is>
          <t>Pending Execution</t>
        </is>
      </c>
      <c r="I59" s="13" t="inlineStr">
        <is>
          <t>Not Executed</t>
        </is>
      </c>
      <c r="J59" s="11" t="inlineStr">
        <is>
          <t>Medium</t>
        </is>
      </c>
      <c r="K59" s="11" t="inlineStr">
        <is>
          <t>Major</t>
        </is>
      </c>
      <c r="L59" s="11" t="inlineStr">
        <is>
          <t>Script Ready</t>
        </is>
      </c>
      <c r="M59" s="12" t="inlineStr">
        <is>
          <t>Staging / Web Chrome</t>
        </is>
      </c>
      <c r="N59" s="12" t="inlineStr">
        <is>
          <t>Chrome v126 / Edge v126</t>
        </is>
      </c>
      <c r="O59" s="12" t="inlineStr">
        <is>
          <t>Screen-specific baseline case for Fitness Target Goal Screen</t>
        </is>
      </c>
    </row>
    <row r="60" ht="36" customHeight="1">
      <c r="A60" s="11" t="inlineStr">
        <is>
          <t>TC-059</t>
        </is>
      </c>
      <c r="B60" s="12" t="inlineStr">
        <is>
          <t>GoalScreen</t>
        </is>
      </c>
      <c r="C60" s="12" t="inlineStr">
        <is>
          <t>Selenium Web UI Testing</t>
        </is>
      </c>
      <c r="D60" s="12" t="inlineStr">
        <is>
          <t>Modal Backdrop &amp; Keyboard Escape on Fitness Target Goal Screen</t>
        </is>
      </c>
      <c r="E60" s="12" t="inlineStr">
        <is>
          <t>1. Launch test runner in Staging / Web Chrome.
2. Navigate to Fitness Target Goal Screen (GoalScreen).
3. Trigger pop-up dialog/modal on GoalScreen, press Escape key to dismiss.
4. Verify expected results and log evidence.</t>
        </is>
      </c>
      <c r="F60" s="12" t="inlineStr">
        <is>
          <t>Modal Target: GoalScreen</t>
        </is>
      </c>
      <c r="G60" s="12" t="inlineStr">
        <is>
          <t>Modal closes smoothly and returns focus to parent container.</t>
        </is>
      </c>
      <c r="H60" s="12" t="inlineStr">
        <is>
          <t>Pending Execution</t>
        </is>
      </c>
      <c r="I60" s="13" t="inlineStr">
        <is>
          <t>Not Executed</t>
        </is>
      </c>
      <c r="J60" s="11" t="inlineStr">
        <is>
          <t>Medium</t>
        </is>
      </c>
      <c r="K60" s="11" t="inlineStr">
        <is>
          <t>Moderate</t>
        </is>
      </c>
      <c r="L60" s="11" t="inlineStr">
        <is>
          <t>Script Ready</t>
        </is>
      </c>
      <c r="M60" s="12" t="inlineStr">
        <is>
          <t>Staging / Web Chrome</t>
        </is>
      </c>
      <c r="N60" s="12" t="inlineStr">
        <is>
          <t>Chrome v126 / Edge v126</t>
        </is>
      </c>
      <c r="O60" s="12" t="inlineStr">
        <is>
          <t>Screen-specific baseline case for Fitness Target Goal Screen</t>
        </is>
      </c>
    </row>
    <row r="61" ht="36" customHeight="1">
      <c r="A61" s="11" t="inlineStr">
        <is>
          <t>TC-060</t>
        </is>
      </c>
      <c r="B61" s="12" t="inlineStr">
        <is>
          <t>GoalScreen</t>
        </is>
      </c>
      <c r="C61" s="12" t="inlineStr">
        <is>
          <t>Selenium Web UI Testing</t>
        </is>
      </c>
      <c r="D61" s="12" t="inlineStr">
        <is>
          <t>Network Failure UI Fallback on Fitness Target Goal Screen</t>
        </is>
      </c>
      <c r="E61" s="12" t="inlineStr">
        <is>
          <t>1. Launch test runner in Staging / Web Chrome.
2. Navigate to Fitness Target Goal Screen (GoalScreen).
3. Throttled network to offline mode while viewing GoalScreen, attempt UI interaction.
4. Verify expected results and log evidence.</t>
        </is>
      </c>
      <c r="F61" s="12" t="inlineStr">
        <is>
          <t>Network: Offline, Target: GoalScreen</t>
        </is>
      </c>
      <c r="G61" s="12" t="inlineStr">
        <is>
          <t>User-friendly offline banner appears with retry button.</t>
        </is>
      </c>
      <c r="H61" s="12" t="inlineStr">
        <is>
          <t>Pending Execution</t>
        </is>
      </c>
      <c r="I61" s="13" t="inlineStr">
        <is>
          <t>Not Executed</t>
        </is>
      </c>
      <c r="J61" s="11" t="inlineStr">
        <is>
          <t>High</t>
        </is>
      </c>
      <c r="K61" s="11" t="inlineStr">
        <is>
          <t>Major</t>
        </is>
      </c>
      <c r="L61" s="11" t="inlineStr">
        <is>
          <t>Script Ready</t>
        </is>
      </c>
      <c r="M61" s="12" t="inlineStr">
        <is>
          <t>Staging / Web Chrome</t>
        </is>
      </c>
      <c r="N61" s="12" t="inlineStr">
        <is>
          <t>Chrome v126 / Edge v126</t>
        </is>
      </c>
      <c r="O61" s="12" t="inlineStr">
        <is>
          <t>Screen-specific baseline case for Fitness Target Goal Screen</t>
        </is>
      </c>
    </row>
    <row r="62" ht="36" customHeight="1">
      <c r="A62" s="11" t="inlineStr">
        <is>
          <t>TC-061</t>
        </is>
      </c>
      <c r="B62" s="12" t="inlineStr">
        <is>
          <t>GenderScreen</t>
        </is>
      </c>
      <c r="C62" s="12" t="inlineStr">
        <is>
          <t>Selenium Web UI Testing</t>
        </is>
      </c>
      <c r="D62" s="12" t="inlineStr">
        <is>
          <t>Positive Web UI Layout on Demographics &amp; Gender Screen</t>
        </is>
      </c>
      <c r="E62" s="12" t="inlineStr">
        <is>
          <t>1. Launch test runner in Staging / Web Chrome.
2. Navigate to Demographics &amp; Gender Screen (GenderScreen).
3. Launch browser, navigate to GenderScreen, verify grid container alignment and responsive element scaling.
4. Verify expected results and log evidence.</t>
        </is>
      </c>
      <c r="F62" s="12" t="inlineStr">
        <is>
          <t>Viewport: 1920x1080, Screen: GenderScreen</t>
        </is>
      </c>
      <c r="G62" s="12" t="inlineStr">
        <is>
          <t>UI components align cleanly without scrollbar clipping or overflow.</t>
        </is>
      </c>
      <c r="H62" s="12" t="inlineStr">
        <is>
          <t>Pending Execution</t>
        </is>
      </c>
      <c r="I62" s="13" t="inlineStr">
        <is>
          <t>Not Executed</t>
        </is>
      </c>
      <c r="J62" s="11" t="inlineStr">
        <is>
          <t>Medium</t>
        </is>
      </c>
      <c r="K62" s="11" t="inlineStr">
        <is>
          <t>Moderate</t>
        </is>
      </c>
      <c r="L62" s="11" t="inlineStr">
        <is>
          <t>Script Ready</t>
        </is>
      </c>
      <c r="M62" s="12" t="inlineStr">
        <is>
          <t>Staging / Web Chrome</t>
        </is>
      </c>
      <c r="N62" s="12" t="inlineStr">
        <is>
          <t>Chrome v126 / Edge v126</t>
        </is>
      </c>
      <c r="O62" s="12" t="inlineStr">
        <is>
          <t>Screen-specific baseline case for Demographics &amp; Gender Screen</t>
        </is>
      </c>
    </row>
    <row r="63" ht="36" customHeight="1">
      <c r="A63" s="11" t="inlineStr">
        <is>
          <t>TC-062</t>
        </is>
      </c>
      <c r="B63" s="12" t="inlineStr">
        <is>
          <t>GenderScreen</t>
        </is>
      </c>
      <c r="C63" s="12" t="inlineStr">
        <is>
          <t>Selenium Web UI Testing</t>
        </is>
      </c>
      <c r="D63" s="12" t="inlineStr">
        <is>
          <t>Negative Input Form Validation on Demographics &amp; Gender Screen</t>
        </is>
      </c>
      <c r="E63" s="12" t="inlineStr">
        <is>
          <t>1. Launch test runner in Staging / Web Chrome.
2. Navigate to Demographics &amp; Gender Screen (GenderScreen).
3. Focus input controls on GenderScreen, enter out-of-bound strings, trigger blur event.
4. Verify expected results and log evidence.</t>
        </is>
      </c>
      <c r="F63" s="12" t="inlineStr">
        <is>
          <t>Input: invalid_string, Screen: GenderScreen</t>
        </is>
      </c>
      <c r="G63" s="12" t="inlineStr">
        <is>
          <t>Validation badge displays accessible aria error message.</t>
        </is>
      </c>
      <c r="H63" s="12" t="inlineStr">
        <is>
          <t>Pending Execution</t>
        </is>
      </c>
      <c r="I63" s="13" t="inlineStr">
        <is>
          <t>Not Executed</t>
        </is>
      </c>
      <c r="J63" s="11" t="inlineStr">
        <is>
          <t>Medium</t>
        </is>
      </c>
      <c r="K63" s="11" t="inlineStr">
        <is>
          <t>Major</t>
        </is>
      </c>
      <c r="L63" s="11" t="inlineStr">
        <is>
          <t>Script Ready</t>
        </is>
      </c>
      <c r="M63" s="12" t="inlineStr">
        <is>
          <t>Staging / Web Chrome</t>
        </is>
      </c>
      <c r="N63" s="12" t="inlineStr">
        <is>
          <t>Chrome v126 / Edge v126</t>
        </is>
      </c>
      <c r="O63" s="12" t="inlineStr">
        <is>
          <t>Screen-specific baseline case for Demographics &amp; Gender Screen</t>
        </is>
      </c>
    </row>
    <row r="64" ht="36" customHeight="1">
      <c r="A64" s="11" t="inlineStr">
        <is>
          <t>TC-063</t>
        </is>
      </c>
      <c r="B64" s="12" t="inlineStr">
        <is>
          <t>GenderScreen</t>
        </is>
      </c>
      <c r="C64" s="12" t="inlineStr">
        <is>
          <t>Selenium Web UI Testing</t>
        </is>
      </c>
      <c r="D64" s="12" t="inlineStr">
        <is>
          <t>Boundary Viewport Responsiveness on Demographics &amp; Gender Screen</t>
        </is>
      </c>
      <c r="E64" s="12" t="inlineStr">
        <is>
          <t>1. Launch test runner in Staging / Web Chrome.
2. Navigate to Demographics &amp; Gender Screen (GenderScreen).
3. Resize web browser window from 320px mobile breakpoint up to 4K desktop width.
4. Verify expected results and log evidence.</t>
        </is>
      </c>
      <c r="F64" s="12" t="inlineStr">
        <is>
          <t>Breakpoint Widths: [320, 768, 1024, 1440, 3840]</t>
        </is>
      </c>
      <c r="G64" s="12" t="inlineStr">
        <is>
          <t>Layout adapts responsively without overlapping UI text nodes.</t>
        </is>
      </c>
      <c r="H64" s="12" t="inlineStr">
        <is>
          <t>Pending Execution</t>
        </is>
      </c>
      <c r="I64" s="13" t="inlineStr">
        <is>
          <t>Not Executed</t>
        </is>
      </c>
      <c r="J64" s="11" t="inlineStr">
        <is>
          <t>High</t>
        </is>
      </c>
      <c r="K64" s="11" t="inlineStr">
        <is>
          <t>Critical</t>
        </is>
      </c>
      <c r="L64" s="11" t="inlineStr">
        <is>
          <t>Script Ready</t>
        </is>
      </c>
      <c r="M64" s="12" t="inlineStr">
        <is>
          <t>Staging / Web Chrome</t>
        </is>
      </c>
      <c r="N64" s="12" t="inlineStr">
        <is>
          <t>Chrome v126 / Edge v126</t>
        </is>
      </c>
      <c r="O64" s="12" t="inlineStr">
        <is>
          <t>Screen-specific baseline case for Demographics &amp; Gender Screen</t>
        </is>
      </c>
    </row>
    <row r="65" ht="36" customHeight="1">
      <c r="A65" s="11" t="inlineStr">
        <is>
          <t>TC-064</t>
        </is>
      </c>
      <c r="B65" s="12" t="inlineStr">
        <is>
          <t>GenderScreen</t>
        </is>
      </c>
      <c r="C65" s="12" t="inlineStr">
        <is>
          <t>Selenium Web UI Testing</t>
        </is>
      </c>
      <c r="D65" s="12" t="inlineStr">
        <is>
          <t>Interactive Hover &amp; Focus Traversal on Demographics &amp; Gender Screen</t>
        </is>
      </c>
      <c r="E65" s="12" t="inlineStr">
        <is>
          <t>1. Launch test runner in Staging / Web Chrome.
2. Navigate to Demographics &amp; Gender Screen (GenderScreen).
3. Tab through interactive focusable nodes on GenderScreen, hover cursor over CTA buttons.
4. Verify expected results and log evidence.</t>
        </is>
      </c>
      <c r="F65" s="12" t="inlineStr">
        <is>
          <t>Key Navigation: TAB, Hover target: GenderScreen</t>
        </is>
      </c>
      <c r="G65" s="12" t="inlineStr">
        <is>
          <t>Focus ring highlights elements in logical DOM tab order.</t>
        </is>
      </c>
      <c r="H65" s="12" t="inlineStr">
        <is>
          <t>Pending Execution</t>
        </is>
      </c>
      <c r="I65" s="13" t="inlineStr">
        <is>
          <t>Not Executed</t>
        </is>
      </c>
      <c r="J65" s="11" t="inlineStr">
        <is>
          <t>Medium</t>
        </is>
      </c>
      <c r="K65" s="11" t="inlineStr">
        <is>
          <t>Major</t>
        </is>
      </c>
      <c r="L65" s="11" t="inlineStr">
        <is>
          <t>Script Ready</t>
        </is>
      </c>
      <c r="M65" s="12" t="inlineStr">
        <is>
          <t>Staging / Web Chrome</t>
        </is>
      </c>
      <c r="N65" s="12" t="inlineStr">
        <is>
          <t>Chrome v126 / Edge v126</t>
        </is>
      </c>
      <c r="O65" s="12" t="inlineStr">
        <is>
          <t>Screen-specific baseline case for Demographics &amp; Gender Screen</t>
        </is>
      </c>
    </row>
    <row r="66" ht="36" customHeight="1">
      <c r="A66" s="11" t="inlineStr">
        <is>
          <t>TC-065</t>
        </is>
      </c>
      <c r="B66" s="12" t="inlineStr">
        <is>
          <t>GenderScreen</t>
        </is>
      </c>
      <c r="C66" s="12" t="inlineStr">
        <is>
          <t>Selenium Web UI Testing</t>
        </is>
      </c>
      <c r="D66" s="12" t="inlineStr">
        <is>
          <t>Cross-Browser Rendering Parity on Demographics &amp; Gender Screen</t>
        </is>
      </c>
      <c r="E66" s="12" t="inlineStr">
        <is>
          <t>1. Launch test runner in Staging / Web Chrome.
2. Navigate to Demographics &amp; Gender Screen (GenderScreen).
3. Execute UI test suite for GenderScreen across Chrome, Firefox, Safari, and Edge.
4. Verify expected results and log evidence.</t>
        </is>
      </c>
      <c r="F66" s="12" t="inlineStr">
        <is>
          <t>Browsers: Chrome, Firefox, Safari, Edge</t>
        </is>
      </c>
      <c r="G66" s="12" t="inlineStr">
        <is>
          <t>DOM element styles render identically with zero CSS misalignment.</t>
        </is>
      </c>
      <c r="H66" s="12" t="inlineStr">
        <is>
          <t>Pending Execution</t>
        </is>
      </c>
      <c r="I66" s="13" t="inlineStr">
        <is>
          <t>Not Executed</t>
        </is>
      </c>
      <c r="J66" s="11" t="inlineStr">
        <is>
          <t>Low</t>
        </is>
      </c>
      <c r="K66" s="11" t="inlineStr">
        <is>
          <t>Moderate</t>
        </is>
      </c>
      <c r="L66" s="11" t="inlineStr">
        <is>
          <t>Script Ready</t>
        </is>
      </c>
      <c r="M66" s="12" t="inlineStr">
        <is>
          <t>Staging / Web Chrome</t>
        </is>
      </c>
      <c r="N66" s="12" t="inlineStr">
        <is>
          <t>Chrome v126 / Edge v126</t>
        </is>
      </c>
      <c r="O66" s="12" t="inlineStr">
        <is>
          <t>Screen-specific baseline case for Demographics &amp; Gender Screen</t>
        </is>
      </c>
    </row>
    <row r="67" ht="36" customHeight="1">
      <c r="A67" s="11" t="inlineStr">
        <is>
          <t>TC-066</t>
        </is>
      </c>
      <c r="B67" s="12" t="inlineStr">
        <is>
          <t>GenderScreen</t>
        </is>
      </c>
      <c r="C67" s="12" t="inlineStr">
        <is>
          <t>Selenium Web UI Testing</t>
        </is>
      </c>
      <c r="D67" s="12" t="inlineStr">
        <is>
          <t>Arabic Right-to-Left (RTL) Layout on Demographics &amp; Gender Screen</t>
        </is>
      </c>
      <c r="E67" s="12" t="inlineStr">
        <is>
          <t>1. Launch test runner in Staging / Web Chrome.
2. Navigate to Demographics &amp; Gender Screen (GenderScreen).
3. Switch locale to Arabic (ar_SA) on GenderScreen, inspect text direction and icon mirroring.
4. Verify expected results and log evidence.</t>
        </is>
      </c>
      <c r="F67" s="12" t="inlineStr">
        <is>
          <t>Locale: ar_SA, Target: GenderScreen</t>
        </is>
      </c>
      <c r="G67" s="12" t="inlineStr">
        <is>
          <t>UI flips to right-to-left layout with mirrored icons and aligned text.</t>
        </is>
      </c>
      <c r="H67" s="12" t="inlineStr">
        <is>
          <t>Pending Execution</t>
        </is>
      </c>
      <c r="I67" s="13" t="inlineStr">
        <is>
          <t>Not Executed</t>
        </is>
      </c>
      <c r="J67" s="11" t="inlineStr">
        <is>
          <t>High</t>
        </is>
      </c>
      <c r="K67" s="11" t="inlineStr">
        <is>
          <t>Major</t>
        </is>
      </c>
      <c r="L67" s="11" t="inlineStr">
        <is>
          <t>Script Ready</t>
        </is>
      </c>
      <c r="M67" s="12" t="inlineStr">
        <is>
          <t>Staging / Web Chrome</t>
        </is>
      </c>
      <c r="N67" s="12" t="inlineStr">
        <is>
          <t>Chrome v126 / Edge v126</t>
        </is>
      </c>
      <c r="O67" s="12" t="inlineStr">
        <is>
          <t>Screen-specific baseline case for Demographics &amp; Gender Screen</t>
        </is>
      </c>
    </row>
    <row r="68" ht="36" customHeight="1">
      <c r="A68" s="11" t="inlineStr">
        <is>
          <t>TC-067</t>
        </is>
      </c>
      <c r="B68" s="12" t="inlineStr">
        <is>
          <t>GenderScreen</t>
        </is>
      </c>
      <c r="C68" s="12" t="inlineStr">
        <is>
          <t>Selenium Web UI Testing</t>
        </is>
      </c>
      <c r="D68" s="12" t="inlineStr">
        <is>
          <t>Localization &amp; Multi-Language Switching on Demographics &amp; Gender Screen</t>
        </is>
      </c>
      <c r="E68" s="12" t="inlineStr">
        <is>
          <t>1. Launch test runner in Staging / Web Chrome.
2. Navigate to Demographics &amp; Gender Screen (GenderScreen).
3. Toggle header language dropdown on GenderScreen between English, Hindi, and Arabic.
4. Verify expected results and log evidence.</t>
        </is>
      </c>
      <c r="F68" s="12" t="inlineStr">
        <is>
          <t>Locales: en, hi, ar</t>
        </is>
      </c>
      <c r="G68" s="12" t="inlineStr">
        <is>
          <t>All visible text strings update to selected language instantly.</t>
        </is>
      </c>
      <c r="H68" s="12" t="inlineStr">
        <is>
          <t>Pending Execution</t>
        </is>
      </c>
      <c r="I68" s="13" t="inlineStr">
        <is>
          <t>Not Executed</t>
        </is>
      </c>
      <c r="J68" s="11" t="inlineStr">
        <is>
          <t>Medium</t>
        </is>
      </c>
      <c r="K68" s="11" t="inlineStr">
        <is>
          <t>Moderate</t>
        </is>
      </c>
      <c r="L68" s="11" t="inlineStr">
        <is>
          <t>Script Ready</t>
        </is>
      </c>
      <c r="M68" s="12" t="inlineStr">
        <is>
          <t>Staging / Web Chrome</t>
        </is>
      </c>
      <c r="N68" s="12" t="inlineStr">
        <is>
          <t>Chrome v126 / Edge v126</t>
        </is>
      </c>
      <c r="O68" s="12" t="inlineStr">
        <is>
          <t>Screen-specific baseline case for Demographics &amp; Gender Screen</t>
        </is>
      </c>
    </row>
    <row r="69" ht="36" customHeight="1">
      <c r="A69" s="11" t="inlineStr">
        <is>
          <t>TC-068</t>
        </is>
      </c>
      <c r="B69" s="12" t="inlineStr">
        <is>
          <t>GenderScreen</t>
        </is>
      </c>
      <c r="C69" s="12" t="inlineStr">
        <is>
          <t>Selenium Web UI Testing</t>
        </is>
      </c>
      <c r="D69" s="12" t="inlineStr">
        <is>
          <t>Data Table &amp; Grid State Retention on Demographics &amp; Gender Screen</t>
        </is>
      </c>
      <c r="E69" s="12" t="inlineStr">
        <is>
          <t>1. Launch test runner in Staging / Web Chrome.
2. Navigate to Demographics &amp; Gender Screen (GenderScreen).
3. Interact with data filters or state controls on GenderScreen, navigate away and return.
4. Verify expected results and log evidence.</t>
        </is>
      </c>
      <c r="F69" s="12" t="inlineStr">
        <is>
          <t>State Payload: GenderScreen_filter</t>
        </is>
      </c>
      <c r="G69" s="12" t="inlineStr">
        <is>
          <t>Screen preserves applied filter state without unexpected reset.</t>
        </is>
      </c>
      <c r="H69" s="12" t="inlineStr">
        <is>
          <t>Pending Execution</t>
        </is>
      </c>
      <c r="I69" s="13" t="inlineStr">
        <is>
          <t>Not Executed</t>
        </is>
      </c>
      <c r="J69" s="11" t="inlineStr">
        <is>
          <t>Medium</t>
        </is>
      </c>
      <c r="K69" s="11" t="inlineStr">
        <is>
          <t>Major</t>
        </is>
      </c>
      <c r="L69" s="11" t="inlineStr">
        <is>
          <t>Script Ready</t>
        </is>
      </c>
      <c r="M69" s="12" t="inlineStr">
        <is>
          <t>Staging / Web Chrome</t>
        </is>
      </c>
      <c r="N69" s="12" t="inlineStr">
        <is>
          <t>Chrome v126 / Edge v126</t>
        </is>
      </c>
      <c r="O69" s="12" t="inlineStr">
        <is>
          <t>Screen-specific baseline case for Demographics &amp; Gender Screen</t>
        </is>
      </c>
    </row>
    <row r="70" ht="36" customHeight="1">
      <c r="A70" s="11" t="inlineStr">
        <is>
          <t>TC-069</t>
        </is>
      </c>
      <c r="B70" s="12" t="inlineStr">
        <is>
          <t>GenderScreen</t>
        </is>
      </c>
      <c r="C70" s="12" t="inlineStr">
        <is>
          <t>Selenium Web UI Testing</t>
        </is>
      </c>
      <c r="D70" s="12" t="inlineStr">
        <is>
          <t>Modal Backdrop &amp; Keyboard Escape on Demographics &amp; Gender Screen</t>
        </is>
      </c>
      <c r="E70" s="12" t="inlineStr">
        <is>
          <t>1. Launch test runner in Staging / Web Chrome.
2. Navigate to Demographics &amp; Gender Screen (GenderScreen).
3. Trigger pop-up dialog/modal on GenderScreen, press Escape key to dismiss.
4. Verify expected results and log evidence.</t>
        </is>
      </c>
      <c r="F70" s="12" t="inlineStr">
        <is>
          <t>Modal Target: GenderScreen</t>
        </is>
      </c>
      <c r="G70" s="12" t="inlineStr">
        <is>
          <t>Modal closes smoothly and returns focus to parent container.</t>
        </is>
      </c>
      <c r="H70" s="12" t="inlineStr">
        <is>
          <t>Pending Execution</t>
        </is>
      </c>
      <c r="I70" s="13" t="inlineStr">
        <is>
          <t>Not Executed</t>
        </is>
      </c>
      <c r="J70" s="11" t="inlineStr">
        <is>
          <t>High</t>
        </is>
      </c>
      <c r="K70" s="11" t="inlineStr">
        <is>
          <t>Moderate</t>
        </is>
      </c>
      <c r="L70" s="11" t="inlineStr">
        <is>
          <t>Script Ready</t>
        </is>
      </c>
      <c r="M70" s="12" t="inlineStr">
        <is>
          <t>Staging / Web Chrome</t>
        </is>
      </c>
      <c r="N70" s="12" t="inlineStr">
        <is>
          <t>Chrome v126 / Edge v126</t>
        </is>
      </c>
      <c r="O70" s="12" t="inlineStr">
        <is>
          <t>Screen-specific baseline case for Demographics &amp; Gender Screen</t>
        </is>
      </c>
    </row>
    <row r="71" ht="36" customHeight="1">
      <c r="A71" s="11" t="inlineStr">
        <is>
          <t>TC-070</t>
        </is>
      </c>
      <c r="B71" s="12" t="inlineStr">
        <is>
          <t>GenderScreen</t>
        </is>
      </c>
      <c r="C71" s="12" t="inlineStr">
        <is>
          <t>Selenium Web UI Testing</t>
        </is>
      </c>
      <c r="D71" s="12" t="inlineStr">
        <is>
          <t>Network Failure UI Fallback on Demographics &amp; Gender Screen</t>
        </is>
      </c>
      <c r="E71" s="12" t="inlineStr">
        <is>
          <t>1. Launch test runner in Staging / Web Chrome.
2. Navigate to Demographics &amp; Gender Screen (GenderScreen).
3. Throttled network to offline mode while viewing GenderScreen, attempt UI interaction.
4. Verify expected results and log evidence.</t>
        </is>
      </c>
      <c r="F71" s="12" t="inlineStr">
        <is>
          <t>Network: Offline, Target: GenderScreen</t>
        </is>
      </c>
      <c r="G71" s="12" t="inlineStr">
        <is>
          <t>User-friendly offline banner appears with retry button.</t>
        </is>
      </c>
      <c r="H71" s="12" t="inlineStr">
        <is>
          <t>Pending Execution</t>
        </is>
      </c>
      <c r="I71" s="13" t="inlineStr">
        <is>
          <t>Not Executed</t>
        </is>
      </c>
      <c r="J71" s="11" t="inlineStr">
        <is>
          <t>Low</t>
        </is>
      </c>
      <c r="K71" s="11" t="inlineStr">
        <is>
          <t>Critical</t>
        </is>
      </c>
      <c r="L71" s="11" t="inlineStr">
        <is>
          <t>Script Ready</t>
        </is>
      </c>
      <c r="M71" s="12" t="inlineStr">
        <is>
          <t>Staging / Web Chrome</t>
        </is>
      </c>
      <c r="N71" s="12" t="inlineStr">
        <is>
          <t>Chrome v126 / Edge v126</t>
        </is>
      </c>
      <c r="O71" s="12" t="inlineStr">
        <is>
          <t>Screen-specific baseline case for Demographics &amp; Gender Screen</t>
        </is>
      </c>
    </row>
    <row r="72" ht="36" customHeight="1">
      <c r="A72" s="11" t="inlineStr">
        <is>
          <t>TC-071</t>
        </is>
      </c>
      <c r="B72" s="12" t="inlineStr">
        <is>
          <t>FoodScreen</t>
        </is>
      </c>
      <c r="C72" s="12" t="inlineStr">
        <is>
          <t>Selenium Web UI Testing</t>
        </is>
      </c>
      <c r="D72" s="12" t="inlineStr">
        <is>
          <t>Positive Web UI Layout on Dietary Preference &amp; Food Screen</t>
        </is>
      </c>
      <c r="E72" s="12" t="inlineStr">
        <is>
          <t>1. Launch test runner in Staging / Web Chrome.
2. Navigate to Dietary Preference &amp; Food Screen (FoodScreen).
3. Launch browser, navigate to FoodScreen, verify grid container alignment and responsive element scaling.
4. Verify expected results and log evidence.</t>
        </is>
      </c>
      <c r="F72" s="12" t="inlineStr">
        <is>
          <t>Viewport: 1920x1080, Screen: FoodScreen</t>
        </is>
      </c>
      <c r="G72" s="12" t="inlineStr">
        <is>
          <t>UI components align cleanly without scrollbar clipping or overflow.</t>
        </is>
      </c>
      <c r="H72" s="12" t="inlineStr">
        <is>
          <t>Pending Execution</t>
        </is>
      </c>
      <c r="I72" s="13" t="inlineStr">
        <is>
          <t>Not Executed</t>
        </is>
      </c>
      <c r="J72" s="11" t="inlineStr">
        <is>
          <t>Medium</t>
        </is>
      </c>
      <c r="K72" s="11" t="inlineStr">
        <is>
          <t>Moderate</t>
        </is>
      </c>
      <c r="L72" s="11" t="inlineStr">
        <is>
          <t>Script Ready</t>
        </is>
      </c>
      <c r="M72" s="12" t="inlineStr">
        <is>
          <t>Staging / Web Chrome</t>
        </is>
      </c>
      <c r="N72" s="12" t="inlineStr">
        <is>
          <t>Chrome v126 / Edge v126</t>
        </is>
      </c>
      <c r="O72" s="12" t="inlineStr">
        <is>
          <t>Screen-specific baseline case for Dietary Preference &amp; Food Screen</t>
        </is>
      </c>
    </row>
    <row r="73" ht="36" customHeight="1">
      <c r="A73" s="11" t="inlineStr">
        <is>
          <t>TC-072</t>
        </is>
      </c>
      <c r="B73" s="12" t="inlineStr">
        <is>
          <t>FoodScreen</t>
        </is>
      </c>
      <c r="C73" s="12" t="inlineStr">
        <is>
          <t>Selenium Web UI Testing</t>
        </is>
      </c>
      <c r="D73" s="12" t="inlineStr">
        <is>
          <t>Negative Input Form Validation on Dietary Preference &amp; Food Screen</t>
        </is>
      </c>
      <c r="E73" s="12" t="inlineStr">
        <is>
          <t>1. Launch test runner in Staging / Web Chrome.
2. Navigate to Dietary Preference &amp; Food Screen (FoodScreen).
3. Focus input controls on FoodScreen, enter out-of-bound strings, trigger blur event.
4. Verify expected results and log evidence.</t>
        </is>
      </c>
      <c r="F73" s="12" t="inlineStr">
        <is>
          <t>Input: invalid_string, Screen: FoodScreen</t>
        </is>
      </c>
      <c r="G73" s="12" t="inlineStr">
        <is>
          <t>Validation badge displays accessible aria error message.</t>
        </is>
      </c>
      <c r="H73" s="12" t="inlineStr">
        <is>
          <t>Pending Execution</t>
        </is>
      </c>
      <c r="I73" s="13" t="inlineStr">
        <is>
          <t>Not Executed</t>
        </is>
      </c>
      <c r="J73" s="11" t="inlineStr">
        <is>
          <t>High</t>
        </is>
      </c>
      <c r="K73" s="11" t="inlineStr">
        <is>
          <t>Major</t>
        </is>
      </c>
      <c r="L73" s="11" t="inlineStr">
        <is>
          <t>Script Ready</t>
        </is>
      </c>
      <c r="M73" s="12" t="inlineStr">
        <is>
          <t>Staging / Web Chrome</t>
        </is>
      </c>
      <c r="N73" s="12" t="inlineStr">
        <is>
          <t>Chrome v126 / Edge v126</t>
        </is>
      </c>
      <c r="O73" s="12" t="inlineStr">
        <is>
          <t>Screen-specific baseline case for Dietary Preference &amp; Food Screen</t>
        </is>
      </c>
    </row>
    <row r="74" ht="36" customHeight="1">
      <c r="A74" s="11" t="inlineStr">
        <is>
          <t>TC-073</t>
        </is>
      </c>
      <c r="B74" s="12" t="inlineStr">
        <is>
          <t>FoodScreen</t>
        </is>
      </c>
      <c r="C74" s="12" t="inlineStr">
        <is>
          <t>Selenium Web UI Testing</t>
        </is>
      </c>
      <c r="D74" s="12" t="inlineStr">
        <is>
          <t>Boundary Viewport Responsiveness on Dietary Preference &amp; Food Screen</t>
        </is>
      </c>
      <c r="E74" s="12" t="inlineStr">
        <is>
          <t>1. Launch test runner in Staging / Web Chrome.
2. Navigate to Dietary Preference &amp; Food Screen (FoodScreen).
3. Resize web browser window from 320px mobile breakpoint up to 4K desktop width.
4. Verify expected results and log evidence.</t>
        </is>
      </c>
      <c r="F74" s="12" t="inlineStr">
        <is>
          <t>Breakpoint Widths: [320, 768, 1024, 1440, 3840]</t>
        </is>
      </c>
      <c r="G74" s="12" t="inlineStr">
        <is>
          <t>Layout adapts responsively without overlapping UI text nodes.</t>
        </is>
      </c>
      <c r="H74" s="12" t="inlineStr">
        <is>
          <t>Pending Execution</t>
        </is>
      </c>
      <c r="I74" s="13" t="inlineStr">
        <is>
          <t>Not Executed</t>
        </is>
      </c>
      <c r="J74" s="11" t="inlineStr">
        <is>
          <t>Medium</t>
        </is>
      </c>
      <c r="K74" s="11" t="inlineStr">
        <is>
          <t>Moderate</t>
        </is>
      </c>
      <c r="L74" s="11" t="inlineStr">
        <is>
          <t>Script Ready</t>
        </is>
      </c>
      <c r="M74" s="12" t="inlineStr">
        <is>
          <t>Staging / Web Chrome</t>
        </is>
      </c>
      <c r="N74" s="12" t="inlineStr">
        <is>
          <t>Chrome v126 / Edge v126</t>
        </is>
      </c>
      <c r="O74" s="12" t="inlineStr">
        <is>
          <t>Screen-specific baseline case for Dietary Preference &amp; Food Screen</t>
        </is>
      </c>
    </row>
    <row r="75" ht="36" customHeight="1">
      <c r="A75" s="11" t="inlineStr">
        <is>
          <t>TC-074</t>
        </is>
      </c>
      <c r="B75" s="12" t="inlineStr">
        <is>
          <t>FoodScreen</t>
        </is>
      </c>
      <c r="C75" s="12" t="inlineStr">
        <is>
          <t>Selenium Web UI Testing</t>
        </is>
      </c>
      <c r="D75" s="12" t="inlineStr">
        <is>
          <t>Interactive Hover &amp; Focus Traversal on Dietary Preference &amp; Food Screen</t>
        </is>
      </c>
      <c r="E75" s="12" t="inlineStr">
        <is>
          <t>1. Launch test runner in Staging / Web Chrome.
2. Navigate to Dietary Preference &amp; Food Screen (FoodScreen).
3. Tab through interactive focusable nodes on FoodScreen, hover cursor over CTA buttons.
4. Verify expected results and log evidence.</t>
        </is>
      </c>
      <c r="F75" s="12" t="inlineStr">
        <is>
          <t>Key Navigation: TAB, Hover target: FoodScreen</t>
        </is>
      </c>
      <c r="G75" s="12" t="inlineStr">
        <is>
          <t>Focus ring highlights elements in logical DOM tab order.</t>
        </is>
      </c>
      <c r="H75" s="12" t="inlineStr">
        <is>
          <t>Pending Execution</t>
        </is>
      </c>
      <c r="I75" s="13" t="inlineStr">
        <is>
          <t>Not Executed</t>
        </is>
      </c>
      <c r="J75" s="11" t="inlineStr">
        <is>
          <t>Medium</t>
        </is>
      </c>
      <c r="K75" s="11" t="inlineStr">
        <is>
          <t>Major</t>
        </is>
      </c>
      <c r="L75" s="11" t="inlineStr">
        <is>
          <t>Script Ready</t>
        </is>
      </c>
      <c r="M75" s="12" t="inlineStr">
        <is>
          <t>Staging / Web Chrome</t>
        </is>
      </c>
      <c r="N75" s="12" t="inlineStr">
        <is>
          <t>Chrome v126 / Edge v126</t>
        </is>
      </c>
      <c r="O75" s="12" t="inlineStr">
        <is>
          <t>Screen-specific baseline case for Dietary Preference &amp; Food Screen</t>
        </is>
      </c>
    </row>
    <row r="76" ht="36" customHeight="1">
      <c r="A76" s="11" t="inlineStr">
        <is>
          <t>TC-075</t>
        </is>
      </c>
      <c r="B76" s="12" t="inlineStr">
        <is>
          <t>FoodScreen</t>
        </is>
      </c>
      <c r="C76" s="12" t="inlineStr">
        <is>
          <t>Selenium Web UI Testing</t>
        </is>
      </c>
      <c r="D76" s="12" t="inlineStr">
        <is>
          <t>Cross-Browser Rendering Parity on Dietary Preference &amp; Food Screen</t>
        </is>
      </c>
      <c r="E76" s="12" t="inlineStr">
        <is>
          <t>1. Launch test runner in Staging / Web Chrome.
2. Navigate to Dietary Preference &amp; Food Screen (FoodScreen).
3. Execute UI test suite for FoodScreen across Chrome, Firefox, Safari, and Edge.
4. Verify expected results and log evidence.</t>
        </is>
      </c>
      <c r="F76" s="12" t="inlineStr">
        <is>
          <t>Browsers: Chrome, Firefox, Safari, Edge</t>
        </is>
      </c>
      <c r="G76" s="12" t="inlineStr">
        <is>
          <t>DOM element styles render identically with zero CSS misalignment.</t>
        </is>
      </c>
      <c r="H76" s="12" t="inlineStr">
        <is>
          <t>Pending Execution</t>
        </is>
      </c>
      <c r="I76" s="13" t="inlineStr">
        <is>
          <t>Not Executed</t>
        </is>
      </c>
      <c r="J76" s="11" t="inlineStr">
        <is>
          <t>High</t>
        </is>
      </c>
      <c r="K76" s="11" t="inlineStr">
        <is>
          <t>Moderate</t>
        </is>
      </c>
      <c r="L76" s="11" t="inlineStr">
        <is>
          <t>Script Ready</t>
        </is>
      </c>
      <c r="M76" s="12" t="inlineStr">
        <is>
          <t>Staging / Web Chrome</t>
        </is>
      </c>
      <c r="N76" s="12" t="inlineStr">
        <is>
          <t>Chrome v126 / Edge v126</t>
        </is>
      </c>
      <c r="O76" s="12" t="inlineStr">
        <is>
          <t>Screen-specific baseline case for Dietary Preference &amp; Food Screen</t>
        </is>
      </c>
    </row>
    <row r="77" ht="36" customHeight="1">
      <c r="A77" s="11" t="inlineStr">
        <is>
          <t>TC-076</t>
        </is>
      </c>
      <c r="B77" s="12" t="inlineStr">
        <is>
          <t>FoodScreen</t>
        </is>
      </c>
      <c r="C77" s="12" t="inlineStr">
        <is>
          <t>Selenium Web UI Testing</t>
        </is>
      </c>
      <c r="D77" s="12" t="inlineStr">
        <is>
          <t>Arabic Right-to-Left (RTL) Layout on Dietary Preference &amp; Food Screen</t>
        </is>
      </c>
      <c r="E77" s="12" t="inlineStr">
        <is>
          <t>1. Launch test runner in Staging / Web Chrome.
2. Navigate to Dietary Preference &amp; Food Screen (FoodScreen).
3. Switch locale to Arabic (ar_SA) on FoodScreen, inspect text direction and icon mirroring.
4. Verify expected results and log evidence.</t>
        </is>
      </c>
      <c r="F77" s="12" t="inlineStr">
        <is>
          <t>Locale: ar_SA, Target: FoodScreen</t>
        </is>
      </c>
      <c r="G77" s="12" t="inlineStr">
        <is>
          <t>UI flips to right-to-left layout with mirrored icons and aligned text.</t>
        </is>
      </c>
      <c r="H77" s="12" t="inlineStr">
        <is>
          <t>Pending Execution</t>
        </is>
      </c>
      <c r="I77" s="13" t="inlineStr">
        <is>
          <t>Not Executed</t>
        </is>
      </c>
      <c r="J77" s="11" t="inlineStr">
        <is>
          <t>Medium</t>
        </is>
      </c>
      <c r="K77" s="11" t="inlineStr">
        <is>
          <t>Major</t>
        </is>
      </c>
      <c r="L77" s="11" t="inlineStr">
        <is>
          <t>Script Ready</t>
        </is>
      </c>
      <c r="M77" s="12" t="inlineStr">
        <is>
          <t>Staging / Web Chrome</t>
        </is>
      </c>
      <c r="N77" s="12" t="inlineStr">
        <is>
          <t>Chrome v126 / Edge v126</t>
        </is>
      </c>
      <c r="O77" s="12" t="inlineStr">
        <is>
          <t>Screen-specific baseline case for Dietary Preference &amp; Food Screen</t>
        </is>
      </c>
    </row>
    <row r="78" ht="36" customHeight="1">
      <c r="A78" s="11" t="inlineStr">
        <is>
          <t>TC-077</t>
        </is>
      </c>
      <c r="B78" s="12" t="inlineStr">
        <is>
          <t>FoodScreen</t>
        </is>
      </c>
      <c r="C78" s="12" t="inlineStr">
        <is>
          <t>Selenium Web UI Testing</t>
        </is>
      </c>
      <c r="D78" s="12" t="inlineStr">
        <is>
          <t>Localization &amp; Multi-Language Switching on Dietary Preference &amp; Food Screen</t>
        </is>
      </c>
      <c r="E78" s="12" t="inlineStr">
        <is>
          <t>1. Launch test runner in Staging / Web Chrome.
2. Navigate to Dietary Preference &amp; Food Screen (FoodScreen).
3. Toggle header language dropdown on FoodScreen between English, Hindi, and Arabic.
4. Verify expected results and log evidence.</t>
        </is>
      </c>
      <c r="F78" s="12" t="inlineStr">
        <is>
          <t>Locales: en, hi, ar</t>
        </is>
      </c>
      <c r="G78" s="12" t="inlineStr">
        <is>
          <t>All visible text strings update to selected language instantly.</t>
        </is>
      </c>
      <c r="H78" s="12" t="inlineStr">
        <is>
          <t>Pending Execution</t>
        </is>
      </c>
      <c r="I78" s="13" t="inlineStr">
        <is>
          <t>Not Executed</t>
        </is>
      </c>
      <c r="J78" s="11" t="inlineStr">
        <is>
          <t>Medium</t>
        </is>
      </c>
      <c r="K78" s="11" t="inlineStr">
        <is>
          <t>Critical</t>
        </is>
      </c>
      <c r="L78" s="11" t="inlineStr">
        <is>
          <t>Script Ready</t>
        </is>
      </c>
      <c r="M78" s="12" t="inlineStr">
        <is>
          <t>Staging / Web Chrome</t>
        </is>
      </c>
      <c r="N78" s="12" t="inlineStr">
        <is>
          <t>Chrome v126 / Edge v126</t>
        </is>
      </c>
      <c r="O78" s="12" t="inlineStr">
        <is>
          <t>Screen-specific baseline case for Dietary Preference &amp; Food Screen</t>
        </is>
      </c>
    </row>
    <row r="79" ht="36" customHeight="1">
      <c r="A79" s="11" t="inlineStr">
        <is>
          <t>TC-078</t>
        </is>
      </c>
      <c r="B79" s="12" t="inlineStr">
        <is>
          <t>FoodScreen</t>
        </is>
      </c>
      <c r="C79" s="12" t="inlineStr">
        <is>
          <t>Selenium Web UI Testing</t>
        </is>
      </c>
      <c r="D79" s="12" t="inlineStr">
        <is>
          <t>Data Table &amp; Grid State Retention on Dietary Preference &amp; Food Screen</t>
        </is>
      </c>
      <c r="E79" s="12" t="inlineStr">
        <is>
          <t>1. Launch test runner in Staging / Web Chrome.
2. Navigate to Dietary Preference &amp; Food Screen (FoodScreen).
3. Interact with data filters or state controls on FoodScreen, navigate away and return.
4. Verify expected results and log evidence.</t>
        </is>
      </c>
      <c r="F79" s="12" t="inlineStr">
        <is>
          <t>State Payload: FoodScreen_filter</t>
        </is>
      </c>
      <c r="G79" s="12" t="inlineStr">
        <is>
          <t>Screen preserves applied filter state without unexpected reset.</t>
        </is>
      </c>
      <c r="H79" s="12" t="inlineStr">
        <is>
          <t>Pending Execution</t>
        </is>
      </c>
      <c r="I79" s="13" t="inlineStr">
        <is>
          <t>Not Executed</t>
        </is>
      </c>
      <c r="J79" s="11" t="inlineStr">
        <is>
          <t>High</t>
        </is>
      </c>
      <c r="K79" s="11" t="inlineStr">
        <is>
          <t>Major</t>
        </is>
      </c>
      <c r="L79" s="11" t="inlineStr">
        <is>
          <t>Script Ready</t>
        </is>
      </c>
      <c r="M79" s="12" t="inlineStr">
        <is>
          <t>Staging / Web Chrome</t>
        </is>
      </c>
      <c r="N79" s="12" t="inlineStr">
        <is>
          <t>Chrome v126 / Edge v126</t>
        </is>
      </c>
      <c r="O79" s="12" t="inlineStr">
        <is>
          <t>Screen-specific baseline case for Dietary Preference &amp; Food Screen</t>
        </is>
      </c>
    </row>
    <row r="80" ht="36" customHeight="1">
      <c r="A80" s="11" t="inlineStr">
        <is>
          <t>TC-079</t>
        </is>
      </c>
      <c r="B80" s="12" t="inlineStr">
        <is>
          <t>FoodScreen</t>
        </is>
      </c>
      <c r="C80" s="12" t="inlineStr">
        <is>
          <t>Selenium Web UI Testing</t>
        </is>
      </c>
      <c r="D80" s="12" t="inlineStr">
        <is>
          <t>Modal Backdrop &amp; Keyboard Escape on Dietary Preference &amp; Food Screen</t>
        </is>
      </c>
      <c r="E80" s="12" t="inlineStr">
        <is>
          <t>1. Launch test runner in Staging / Web Chrome.
2. Navigate to Dietary Preference &amp; Food Screen (FoodScreen).
3. Trigger pop-up dialog/modal on FoodScreen, press Escape key to dismiss.
4. Verify expected results and log evidence.</t>
        </is>
      </c>
      <c r="F80" s="12" t="inlineStr">
        <is>
          <t>Modal Target: FoodScreen</t>
        </is>
      </c>
      <c r="G80" s="12" t="inlineStr">
        <is>
          <t>Modal closes smoothly and returns focus to parent container.</t>
        </is>
      </c>
      <c r="H80" s="12" t="inlineStr">
        <is>
          <t>Pending Execution</t>
        </is>
      </c>
      <c r="I80" s="13" t="inlineStr">
        <is>
          <t>Not Executed</t>
        </is>
      </c>
      <c r="J80" s="11" t="inlineStr">
        <is>
          <t>Medium</t>
        </is>
      </c>
      <c r="K80" s="11" t="inlineStr">
        <is>
          <t>Moderate</t>
        </is>
      </c>
      <c r="L80" s="11" t="inlineStr">
        <is>
          <t>Script Ready</t>
        </is>
      </c>
      <c r="M80" s="12" t="inlineStr">
        <is>
          <t>Staging / Web Chrome</t>
        </is>
      </c>
      <c r="N80" s="12" t="inlineStr">
        <is>
          <t>Chrome v126 / Edge v126</t>
        </is>
      </c>
      <c r="O80" s="12" t="inlineStr">
        <is>
          <t>Screen-specific baseline case for Dietary Preference &amp; Food Screen</t>
        </is>
      </c>
    </row>
    <row r="81" ht="36" customHeight="1">
      <c r="A81" s="11" t="inlineStr">
        <is>
          <t>TC-080</t>
        </is>
      </c>
      <c r="B81" s="12" t="inlineStr">
        <is>
          <t>FoodScreen</t>
        </is>
      </c>
      <c r="C81" s="12" t="inlineStr">
        <is>
          <t>Selenium Web UI Testing</t>
        </is>
      </c>
      <c r="D81" s="12" t="inlineStr">
        <is>
          <t>Network Failure UI Fallback on Dietary Preference &amp; Food Screen</t>
        </is>
      </c>
      <c r="E81" s="12" t="inlineStr">
        <is>
          <t>1. Launch test runner in Staging / Web Chrome.
2. Navigate to Dietary Preference &amp; Food Screen (FoodScreen).
3. Throttled network to offline mode while viewing FoodScreen, attempt UI interaction.
4. Verify expected results and log evidence.</t>
        </is>
      </c>
      <c r="F81" s="12" t="inlineStr">
        <is>
          <t>Network: Offline, Target: FoodScreen</t>
        </is>
      </c>
      <c r="G81" s="12" t="inlineStr">
        <is>
          <t>User-friendly offline banner appears with retry button.</t>
        </is>
      </c>
      <c r="H81" s="12" t="inlineStr">
        <is>
          <t>Pending Execution</t>
        </is>
      </c>
      <c r="I81" s="13" t="inlineStr">
        <is>
          <t>Not Executed</t>
        </is>
      </c>
      <c r="J81" s="11" t="inlineStr">
        <is>
          <t>Low</t>
        </is>
      </c>
      <c r="K81" s="11" t="inlineStr">
        <is>
          <t>Major</t>
        </is>
      </c>
      <c r="L81" s="11" t="inlineStr">
        <is>
          <t>Script Ready</t>
        </is>
      </c>
      <c r="M81" s="12" t="inlineStr">
        <is>
          <t>Staging / Web Chrome</t>
        </is>
      </c>
      <c r="N81" s="12" t="inlineStr">
        <is>
          <t>Chrome v126 / Edge v126</t>
        </is>
      </c>
      <c r="O81" s="12" t="inlineStr">
        <is>
          <t>Screen-specific baseline case for Dietary Preference &amp; Food Screen</t>
        </is>
      </c>
    </row>
    <row r="82" ht="36" customHeight="1">
      <c r="A82" s="11" t="inlineStr">
        <is>
          <t>TC-081</t>
        </is>
      </c>
      <c r="B82" s="12" t="inlineStr">
        <is>
          <t>LocationScreen</t>
        </is>
      </c>
      <c r="C82" s="12" t="inlineStr">
        <is>
          <t>Selenium Web UI Testing</t>
        </is>
      </c>
      <c r="D82" s="12" t="inlineStr">
        <is>
          <t>Positive Web UI Layout on User Location &amp; Region Screen</t>
        </is>
      </c>
      <c r="E82" s="12" t="inlineStr">
        <is>
          <t>1. Launch test runner in Staging / Web Chrome.
2. Navigate to User Location &amp; Region Screen (LocationScreen).
3. Launch browser, navigate to LocationScreen, verify grid container alignment and responsive element scaling.
4. Verify expected results and log evidence.</t>
        </is>
      </c>
      <c r="F82" s="12" t="inlineStr">
        <is>
          <t>Viewport: 1920x1080, Screen: LocationScreen</t>
        </is>
      </c>
      <c r="G82" s="12" t="inlineStr">
        <is>
          <t>UI components align cleanly without scrollbar clipping or overflow.</t>
        </is>
      </c>
      <c r="H82" s="12" t="inlineStr">
        <is>
          <t>Pending Execution</t>
        </is>
      </c>
      <c r="I82" s="13" t="inlineStr">
        <is>
          <t>Not Executed</t>
        </is>
      </c>
      <c r="J82" s="11" t="inlineStr">
        <is>
          <t>High</t>
        </is>
      </c>
      <c r="K82" s="11" t="inlineStr">
        <is>
          <t>Moderate</t>
        </is>
      </c>
      <c r="L82" s="11" t="inlineStr">
        <is>
          <t>Script Ready</t>
        </is>
      </c>
      <c r="M82" s="12" t="inlineStr">
        <is>
          <t>Staging / Web Chrome</t>
        </is>
      </c>
      <c r="N82" s="12" t="inlineStr">
        <is>
          <t>Chrome v126 / Edge v126</t>
        </is>
      </c>
      <c r="O82" s="12" t="inlineStr">
        <is>
          <t>Screen-specific baseline case for User Location &amp; Region Screen</t>
        </is>
      </c>
    </row>
    <row r="83" ht="36" customHeight="1">
      <c r="A83" s="11" t="inlineStr">
        <is>
          <t>TC-082</t>
        </is>
      </c>
      <c r="B83" s="12" t="inlineStr">
        <is>
          <t>LocationScreen</t>
        </is>
      </c>
      <c r="C83" s="12" t="inlineStr">
        <is>
          <t>Selenium Web UI Testing</t>
        </is>
      </c>
      <c r="D83" s="12" t="inlineStr">
        <is>
          <t>Negative Input Form Validation on User Location &amp; Region Screen</t>
        </is>
      </c>
      <c r="E83" s="12" t="inlineStr">
        <is>
          <t>1. Launch test runner in Staging / Web Chrome.
2. Navigate to User Location &amp; Region Screen (LocationScreen).
3. Focus input controls on LocationScreen, enter out-of-bound strings, trigger blur event.
4. Verify expected results and log evidence.</t>
        </is>
      </c>
      <c r="F83" s="12" t="inlineStr">
        <is>
          <t>Input: invalid_string, Screen: LocationScreen</t>
        </is>
      </c>
      <c r="G83" s="12" t="inlineStr">
        <is>
          <t>Validation badge displays accessible aria error message.</t>
        </is>
      </c>
      <c r="H83" s="12" t="inlineStr">
        <is>
          <t>Pending Execution</t>
        </is>
      </c>
      <c r="I83" s="13" t="inlineStr">
        <is>
          <t>Not Executed</t>
        </is>
      </c>
      <c r="J83" s="11" t="inlineStr">
        <is>
          <t>Medium</t>
        </is>
      </c>
      <c r="K83" s="11" t="inlineStr">
        <is>
          <t>Major</t>
        </is>
      </c>
      <c r="L83" s="11" t="inlineStr">
        <is>
          <t>Script Ready</t>
        </is>
      </c>
      <c r="M83" s="12" t="inlineStr">
        <is>
          <t>Staging / Web Chrome</t>
        </is>
      </c>
      <c r="N83" s="12" t="inlineStr">
        <is>
          <t>Chrome v126 / Edge v126</t>
        </is>
      </c>
      <c r="O83" s="12" t="inlineStr">
        <is>
          <t>Screen-specific baseline case for User Location &amp; Region Screen</t>
        </is>
      </c>
    </row>
    <row r="84" ht="36" customHeight="1">
      <c r="A84" s="11" t="inlineStr">
        <is>
          <t>TC-083</t>
        </is>
      </c>
      <c r="B84" s="12" t="inlineStr">
        <is>
          <t>LocationScreen</t>
        </is>
      </c>
      <c r="C84" s="12" t="inlineStr">
        <is>
          <t>Selenium Web UI Testing</t>
        </is>
      </c>
      <c r="D84" s="12" t="inlineStr">
        <is>
          <t>Boundary Viewport Responsiveness on User Location &amp; Region Screen</t>
        </is>
      </c>
      <c r="E84" s="12" t="inlineStr">
        <is>
          <t>1. Launch test runner in Staging / Web Chrome.
2. Navigate to User Location &amp; Region Screen (LocationScreen).
3. Resize web browser window from 320px mobile breakpoint up to 4K desktop width.
4. Verify expected results and log evidence.</t>
        </is>
      </c>
      <c r="F84" s="12" t="inlineStr">
        <is>
          <t>Breakpoint Widths: [320, 768, 1024, 1440, 3840]</t>
        </is>
      </c>
      <c r="G84" s="12" t="inlineStr">
        <is>
          <t>Layout adapts responsively without overlapping UI text nodes.</t>
        </is>
      </c>
      <c r="H84" s="12" t="inlineStr">
        <is>
          <t>Pending Execution</t>
        </is>
      </c>
      <c r="I84" s="13" t="inlineStr">
        <is>
          <t>Not Executed</t>
        </is>
      </c>
      <c r="J84" s="11" t="inlineStr">
        <is>
          <t>Medium</t>
        </is>
      </c>
      <c r="K84" s="11" t="inlineStr">
        <is>
          <t>Moderate</t>
        </is>
      </c>
      <c r="L84" s="11" t="inlineStr">
        <is>
          <t>Script Ready</t>
        </is>
      </c>
      <c r="M84" s="12" t="inlineStr">
        <is>
          <t>Staging / Web Chrome</t>
        </is>
      </c>
      <c r="N84" s="12" t="inlineStr">
        <is>
          <t>Chrome v126 / Edge v126</t>
        </is>
      </c>
      <c r="O84" s="12" t="inlineStr">
        <is>
          <t>Screen-specific baseline case for User Location &amp; Region Screen</t>
        </is>
      </c>
    </row>
    <row r="85" ht="36" customHeight="1">
      <c r="A85" s="11" t="inlineStr">
        <is>
          <t>TC-084</t>
        </is>
      </c>
      <c r="B85" s="12" t="inlineStr">
        <is>
          <t>LocationScreen</t>
        </is>
      </c>
      <c r="C85" s="12" t="inlineStr">
        <is>
          <t>Selenium Web UI Testing</t>
        </is>
      </c>
      <c r="D85" s="12" t="inlineStr">
        <is>
          <t>Interactive Hover &amp; Focus Traversal on User Location &amp; Region Screen</t>
        </is>
      </c>
      <c r="E85" s="12" t="inlineStr">
        <is>
          <t>1. Launch test runner in Staging / Web Chrome.
2. Navigate to User Location &amp; Region Screen (LocationScreen).
3. Tab through interactive focusable nodes on LocationScreen, hover cursor over CTA buttons.
4. Verify expected results and log evidence.</t>
        </is>
      </c>
      <c r="F85" s="12" t="inlineStr">
        <is>
          <t>Key Navigation: TAB, Hover target: LocationScreen</t>
        </is>
      </c>
      <c r="G85" s="12" t="inlineStr">
        <is>
          <t>Focus ring highlights elements in logical DOM tab order.</t>
        </is>
      </c>
      <c r="H85" s="12" t="inlineStr">
        <is>
          <t>Pending Execution</t>
        </is>
      </c>
      <c r="I85" s="13" t="inlineStr">
        <is>
          <t>Not Executed</t>
        </is>
      </c>
      <c r="J85" s="11" t="inlineStr">
        <is>
          <t>High</t>
        </is>
      </c>
      <c r="K85" s="11" t="inlineStr">
        <is>
          <t>Critical</t>
        </is>
      </c>
      <c r="L85" s="11" t="inlineStr">
        <is>
          <t>Script Ready</t>
        </is>
      </c>
      <c r="M85" s="12" t="inlineStr">
        <is>
          <t>Staging / Web Chrome</t>
        </is>
      </c>
      <c r="N85" s="12" t="inlineStr">
        <is>
          <t>Chrome v126 / Edge v126</t>
        </is>
      </c>
      <c r="O85" s="12" t="inlineStr">
        <is>
          <t>Screen-specific baseline case for User Location &amp; Region Screen</t>
        </is>
      </c>
    </row>
    <row r="86" ht="36" customHeight="1">
      <c r="A86" s="11" t="inlineStr">
        <is>
          <t>TC-085</t>
        </is>
      </c>
      <c r="B86" s="12" t="inlineStr">
        <is>
          <t>LocationScreen</t>
        </is>
      </c>
      <c r="C86" s="12" t="inlineStr">
        <is>
          <t>Selenium Web UI Testing</t>
        </is>
      </c>
      <c r="D86" s="12" t="inlineStr">
        <is>
          <t>Cross-Browser Rendering Parity on User Location &amp; Region Screen</t>
        </is>
      </c>
      <c r="E86" s="12" t="inlineStr">
        <is>
          <t>1. Launch test runner in Staging / Web Chrome.
2. Navigate to User Location &amp; Region Screen (LocationScreen).
3. Execute UI test suite for LocationScreen across Chrome, Firefox, Safari, and Edge.
4. Verify expected results and log evidence.</t>
        </is>
      </c>
      <c r="F86" s="12" t="inlineStr">
        <is>
          <t>Browsers: Chrome, Firefox, Safari, Edge</t>
        </is>
      </c>
      <c r="G86" s="12" t="inlineStr">
        <is>
          <t>DOM element styles render identically with zero CSS misalignment.</t>
        </is>
      </c>
      <c r="H86" s="12" t="inlineStr">
        <is>
          <t>Pending Execution</t>
        </is>
      </c>
      <c r="I86" s="13" t="inlineStr">
        <is>
          <t>Not Executed</t>
        </is>
      </c>
      <c r="J86" s="11" t="inlineStr">
        <is>
          <t>Low</t>
        </is>
      </c>
      <c r="K86" s="11" t="inlineStr">
        <is>
          <t>Moderate</t>
        </is>
      </c>
      <c r="L86" s="11" t="inlineStr">
        <is>
          <t>Script Ready</t>
        </is>
      </c>
      <c r="M86" s="12" t="inlineStr">
        <is>
          <t>Staging / Web Chrome</t>
        </is>
      </c>
      <c r="N86" s="12" t="inlineStr">
        <is>
          <t>Chrome v126 / Edge v126</t>
        </is>
      </c>
      <c r="O86" s="12" t="inlineStr">
        <is>
          <t>Screen-specific baseline case for User Location &amp; Region Screen</t>
        </is>
      </c>
    </row>
    <row r="87" ht="36" customHeight="1">
      <c r="A87" s="11" t="inlineStr">
        <is>
          <t>TC-086</t>
        </is>
      </c>
      <c r="B87" s="12" t="inlineStr">
        <is>
          <t>LocationScreen</t>
        </is>
      </c>
      <c r="C87" s="12" t="inlineStr">
        <is>
          <t>Selenium Web UI Testing</t>
        </is>
      </c>
      <c r="D87" s="12" t="inlineStr">
        <is>
          <t>Arabic Right-to-Left (RTL) Layout on User Location &amp; Region Screen</t>
        </is>
      </c>
      <c r="E87" s="12" t="inlineStr">
        <is>
          <t>1. Launch test runner in Staging / Web Chrome.
2. Navigate to User Location &amp; Region Screen (LocationScreen).
3. Switch locale to Arabic (ar_SA) on LocationScreen, inspect text direction and icon mirroring.
4. Verify expected results and log evidence.</t>
        </is>
      </c>
      <c r="F87" s="12" t="inlineStr">
        <is>
          <t>Locale: ar_SA, Target: LocationScreen</t>
        </is>
      </c>
      <c r="G87" s="12" t="inlineStr">
        <is>
          <t>UI flips to right-to-left layout with mirrored icons and aligned text.</t>
        </is>
      </c>
      <c r="H87" s="12" t="inlineStr">
        <is>
          <t>Pending Execution</t>
        </is>
      </c>
      <c r="I87" s="13" t="inlineStr">
        <is>
          <t>Not Executed</t>
        </is>
      </c>
      <c r="J87" s="11" t="inlineStr">
        <is>
          <t>Medium</t>
        </is>
      </c>
      <c r="K87" s="11" t="inlineStr">
        <is>
          <t>Major</t>
        </is>
      </c>
      <c r="L87" s="11" t="inlineStr">
        <is>
          <t>Script Ready</t>
        </is>
      </c>
      <c r="M87" s="12" t="inlineStr">
        <is>
          <t>Staging / Web Chrome</t>
        </is>
      </c>
      <c r="N87" s="12" t="inlineStr">
        <is>
          <t>Chrome v126 / Edge v126</t>
        </is>
      </c>
      <c r="O87" s="12" t="inlineStr">
        <is>
          <t>Screen-specific baseline case for User Location &amp; Region Screen</t>
        </is>
      </c>
    </row>
    <row r="88" ht="36" customHeight="1">
      <c r="A88" s="11" t="inlineStr">
        <is>
          <t>TC-087</t>
        </is>
      </c>
      <c r="B88" s="12" t="inlineStr">
        <is>
          <t>LocationScreen</t>
        </is>
      </c>
      <c r="C88" s="12" t="inlineStr">
        <is>
          <t>Selenium Web UI Testing</t>
        </is>
      </c>
      <c r="D88" s="12" t="inlineStr">
        <is>
          <t>Localization &amp; Multi-Language Switching on User Location &amp; Region Screen</t>
        </is>
      </c>
      <c r="E88" s="12" t="inlineStr">
        <is>
          <t>1. Launch test runner in Staging / Web Chrome.
2. Navigate to User Location &amp; Region Screen (LocationScreen).
3. Toggle header language dropdown on LocationScreen between English, Hindi, and Arabic.
4. Verify expected results and log evidence.</t>
        </is>
      </c>
      <c r="F88" s="12" t="inlineStr">
        <is>
          <t>Locales: en, hi, ar</t>
        </is>
      </c>
      <c r="G88" s="12" t="inlineStr">
        <is>
          <t>All visible text strings update to selected language instantly.</t>
        </is>
      </c>
      <c r="H88" s="12" t="inlineStr">
        <is>
          <t>Pending Execution</t>
        </is>
      </c>
      <c r="I88" s="13" t="inlineStr">
        <is>
          <t>Not Executed</t>
        </is>
      </c>
      <c r="J88" s="11" t="inlineStr">
        <is>
          <t>High</t>
        </is>
      </c>
      <c r="K88" s="11" t="inlineStr">
        <is>
          <t>Moderate</t>
        </is>
      </c>
      <c r="L88" s="11" t="inlineStr">
        <is>
          <t>Script Ready</t>
        </is>
      </c>
      <c r="M88" s="12" t="inlineStr">
        <is>
          <t>Staging / Web Chrome</t>
        </is>
      </c>
      <c r="N88" s="12" t="inlineStr">
        <is>
          <t>Chrome v126 / Edge v126</t>
        </is>
      </c>
      <c r="O88" s="12" t="inlineStr">
        <is>
          <t>Screen-specific baseline case for User Location &amp; Region Screen</t>
        </is>
      </c>
    </row>
    <row r="89" ht="36" customHeight="1">
      <c r="A89" s="11" t="inlineStr">
        <is>
          <t>TC-088</t>
        </is>
      </c>
      <c r="B89" s="12" t="inlineStr">
        <is>
          <t>LocationScreen</t>
        </is>
      </c>
      <c r="C89" s="12" t="inlineStr">
        <is>
          <t>Selenium Web UI Testing</t>
        </is>
      </c>
      <c r="D89" s="12" t="inlineStr">
        <is>
          <t>Data Table &amp; Grid State Retention on User Location &amp; Region Screen</t>
        </is>
      </c>
      <c r="E89" s="12" t="inlineStr">
        <is>
          <t>1. Launch test runner in Staging / Web Chrome.
2. Navigate to User Location &amp; Region Screen (LocationScreen).
3. Interact with data filters or state controls on LocationScreen, navigate away and return.
4. Verify expected results and log evidence.</t>
        </is>
      </c>
      <c r="F89" s="12" t="inlineStr">
        <is>
          <t>State Payload: LocationScreen_filter</t>
        </is>
      </c>
      <c r="G89" s="12" t="inlineStr">
        <is>
          <t>Screen preserves applied filter state without unexpected reset.</t>
        </is>
      </c>
      <c r="H89" s="12" t="inlineStr">
        <is>
          <t>Pending Execution</t>
        </is>
      </c>
      <c r="I89" s="13" t="inlineStr">
        <is>
          <t>Not Executed</t>
        </is>
      </c>
      <c r="J89" s="11" t="inlineStr">
        <is>
          <t>Medium</t>
        </is>
      </c>
      <c r="K89" s="11" t="inlineStr">
        <is>
          <t>Major</t>
        </is>
      </c>
      <c r="L89" s="11" t="inlineStr">
        <is>
          <t>Script Ready</t>
        </is>
      </c>
      <c r="M89" s="12" t="inlineStr">
        <is>
          <t>Staging / Web Chrome</t>
        </is>
      </c>
      <c r="N89" s="12" t="inlineStr">
        <is>
          <t>Chrome v126 / Edge v126</t>
        </is>
      </c>
      <c r="O89" s="12" t="inlineStr">
        <is>
          <t>Screen-specific baseline case for User Location &amp; Region Screen</t>
        </is>
      </c>
    </row>
    <row r="90" ht="36" customHeight="1">
      <c r="A90" s="11" t="inlineStr">
        <is>
          <t>TC-089</t>
        </is>
      </c>
      <c r="B90" s="12" t="inlineStr">
        <is>
          <t>LocationScreen</t>
        </is>
      </c>
      <c r="C90" s="12" t="inlineStr">
        <is>
          <t>Selenium Web UI Testing</t>
        </is>
      </c>
      <c r="D90" s="12" t="inlineStr">
        <is>
          <t>Modal Backdrop &amp; Keyboard Escape on User Location &amp; Region Screen</t>
        </is>
      </c>
      <c r="E90" s="12" t="inlineStr">
        <is>
          <t>1. Launch test runner in Staging / Web Chrome.
2. Navigate to User Location &amp; Region Screen (LocationScreen).
3. Trigger pop-up dialog/modal on LocationScreen, press Escape key to dismiss.
4. Verify expected results and log evidence.</t>
        </is>
      </c>
      <c r="F90" s="12" t="inlineStr">
        <is>
          <t>Modal Target: LocationScreen</t>
        </is>
      </c>
      <c r="G90" s="12" t="inlineStr">
        <is>
          <t>Modal closes smoothly and returns focus to parent container.</t>
        </is>
      </c>
      <c r="H90" s="12" t="inlineStr">
        <is>
          <t>Pending Execution</t>
        </is>
      </c>
      <c r="I90" s="13" t="inlineStr">
        <is>
          <t>Not Executed</t>
        </is>
      </c>
      <c r="J90" s="11" t="inlineStr">
        <is>
          <t>Medium</t>
        </is>
      </c>
      <c r="K90" s="11" t="inlineStr">
        <is>
          <t>Moderate</t>
        </is>
      </c>
      <c r="L90" s="11" t="inlineStr">
        <is>
          <t>Script Ready</t>
        </is>
      </c>
      <c r="M90" s="12" t="inlineStr">
        <is>
          <t>Staging / Web Chrome</t>
        </is>
      </c>
      <c r="N90" s="12" t="inlineStr">
        <is>
          <t>Chrome v126 / Edge v126</t>
        </is>
      </c>
      <c r="O90" s="12" t="inlineStr">
        <is>
          <t>Screen-specific baseline case for User Location &amp; Region Screen</t>
        </is>
      </c>
    </row>
    <row r="91" ht="36" customHeight="1">
      <c r="A91" s="11" t="inlineStr">
        <is>
          <t>TC-090</t>
        </is>
      </c>
      <c r="B91" s="12" t="inlineStr">
        <is>
          <t>LocationScreen</t>
        </is>
      </c>
      <c r="C91" s="12" t="inlineStr">
        <is>
          <t>Selenium Web UI Testing</t>
        </is>
      </c>
      <c r="D91" s="12" t="inlineStr">
        <is>
          <t>Network Failure UI Fallback on User Location &amp; Region Screen</t>
        </is>
      </c>
      <c r="E91" s="12" t="inlineStr">
        <is>
          <t>1. Launch test runner in Staging / Web Chrome.
2. Navigate to User Location &amp; Region Screen (LocationScreen).
3. Throttled network to offline mode while viewing LocationScreen, attempt UI interaction.
4. Verify expected results and log evidence.</t>
        </is>
      </c>
      <c r="F91" s="12" t="inlineStr">
        <is>
          <t>Network: Offline, Target: LocationScreen</t>
        </is>
      </c>
      <c r="G91" s="12" t="inlineStr">
        <is>
          <t>User-friendly offline banner appears with retry button.</t>
        </is>
      </c>
      <c r="H91" s="12" t="inlineStr">
        <is>
          <t>Pending Execution</t>
        </is>
      </c>
      <c r="I91" s="13" t="inlineStr">
        <is>
          <t>Not Executed</t>
        </is>
      </c>
      <c r="J91" s="11" t="inlineStr">
        <is>
          <t>High</t>
        </is>
      </c>
      <c r="K91" s="11" t="inlineStr">
        <is>
          <t>Major</t>
        </is>
      </c>
      <c r="L91" s="11" t="inlineStr">
        <is>
          <t>Script Ready</t>
        </is>
      </c>
      <c r="M91" s="12" t="inlineStr">
        <is>
          <t>Staging / Web Chrome</t>
        </is>
      </c>
      <c r="N91" s="12" t="inlineStr">
        <is>
          <t>Chrome v126 / Edge v126</t>
        </is>
      </c>
      <c r="O91" s="12" t="inlineStr">
        <is>
          <t>Screen-specific baseline case for User Location &amp; Region Screen</t>
        </is>
      </c>
    </row>
    <row r="92" ht="36" customHeight="1">
      <c r="A92" s="11" t="inlineStr">
        <is>
          <t>TC-091</t>
        </is>
      </c>
      <c r="B92" s="12" t="inlineStr">
        <is>
          <t>NumberScreen</t>
        </is>
      </c>
      <c r="C92" s="12" t="inlineStr">
        <is>
          <t>Selenium Web UI Testing</t>
        </is>
      </c>
      <c r="D92" s="12" t="inlineStr">
        <is>
          <t>Positive Web UI Layout on Body Metrics &amp; Measurements Screen</t>
        </is>
      </c>
      <c r="E92" s="12" t="inlineStr">
        <is>
          <t>1. Launch test runner in Staging / Web Chrome.
2. Navigate to Body Metrics &amp; Measurements Screen (NumberScreen).
3. Launch browser, navigate to NumberScreen, verify grid container alignment and responsive element scaling.
4. Verify expected results and log evidence.</t>
        </is>
      </c>
      <c r="F92" s="12" t="inlineStr">
        <is>
          <t>Viewport: 1920x1080, Screen: NumberScreen</t>
        </is>
      </c>
      <c r="G92" s="12" t="inlineStr">
        <is>
          <t>UI components align cleanly without scrollbar clipping or overflow.</t>
        </is>
      </c>
      <c r="H92" s="12" t="inlineStr">
        <is>
          <t>Pending Execution</t>
        </is>
      </c>
      <c r="I92" s="13" t="inlineStr">
        <is>
          <t>Not Executed</t>
        </is>
      </c>
      <c r="J92" s="11" t="inlineStr">
        <is>
          <t>Medium</t>
        </is>
      </c>
      <c r="K92" s="11" t="inlineStr">
        <is>
          <t>Critical</t>
        </is>
      </c>
      <c r="L92" s="11" t="inlineStr">
        <is>
          <t>Script Ready</t>
        </is>
      </c>
      <c r="M92" s="12" t="inlineStr">
        <is>
          <t>Staging / Web Chrome</t>
        </is>
      </c>
      <c r="N92" s="12" t="inlineStr">
        <is>
          <t>Chrome v126 / Edge v126</t>
        </is>
      </c>
      <c r="O92" s="12" t="inlineStr">
        <is>
          <t>Screen-specific baseline case for Body Metrics &amp; Measurements Screen</t>
        </is>
      </c>
    </row>
    <row r="93" ht="36" customHeight="1">
      <c r="A93" s="11" t="inlineStr">
        <is>
          <t>TC-092</t>
        </is>
      </c>
      <c r="B93" s="12" t="inlineStr">
        <is>
          <t>NumberScreen</t>
        </is>
      </c>
      <c r="C93" s="12" t="inlineStr">
        <is>
          <t>Selenium Web UI Testing</t>
        </is>
      </c>
      <c r="D93" s="12" t="inlineStr">
        <is>
          <t>Negative Input Form Validation on Body Metrics &amp; Measurements Screen</t>
        </is>
      </c>
      <c r="E93" s="12" t="inlineStr">
        <is>
          <t>1. Launch test runner in Staging / Web Chrome.
2. Navigate to Body Metrics &amp; Measurements Screen (NumberScreen).
3. Focus input controls on NumberScreen, enter out-of-bound strings, trigger blur event.
4. Verify expected results and log evidence.</t>
        </is>
      </c>
      <c r="F93" s="12" t="inlineStr">
        <is>
          <t>Input: invalid_string, Screen: NumberScreen</t>
        </is>
      </c>
      <c r="G93" s="12" t="inlineStr">
        <is>
          <t>Validation badge displays accessible aria error message.</t>
        </is>
      </c>
      <c r="H93" s="12" t="inlineStr">
        <is>
          <t>Pending Execution</t>
        </is>
      </c>
      <c r="I93" s="13" t="inlineStr">
        <is>
          <t>Not Executed</t>
        </is>
      </c>
      <c r="J93" s="11" t="inlineStr">
        <is>
          <t>Medium</t>
        </is>
      </c>
      <c r="K93" s="11" t="inlineStr">
        <is>
          <t>Major</t>
        </is>
      </c>
      <c r="L93" s="11" t="inlineStr">
        <is>
          <t>Script Ready</t>
        </is>
      </c>
      <c r="M93" s="12" t="inlineStr">
        <is>
          <t>Staging / Web Chrome</t>
        </is>
      </c>
      <c r="N93" s="12" t="inlineStr">
        <is>
          <t>Chrome v126 / Edge v126</t>
        </is>
      </c>
      <c r="O93" s="12" t="inlineStr">
        <is>
          <t>Screen-specific baseline case for Body Metrics &amp; Measurements Screen</t>
        </is>
      </c>
    </row>
    <row r="94" ht="36" customHeight="1">
      <c r="A94" s="11" t="inlineStr">
        <is>
          <t>TC-093</t>
        </is>
      </c>
      <c r="B94" s="12" t="inlineStr">
        <is>
          <t>NumberScreen</t>
        </is>
      </c>
      <c r="C94" s="12" t="inlineStr">
        <is>
          <t>Selenium Web UI Testing</t>
        </is>
      </c>
      <c r="D94" s="12" t="inlineStr">
        <is>
          <t>Boundary Viewport Responsiveness on Body Metrics &amp; Measurements Screen</t>
        </is>
      </c>
      <c r="E94" s="12" t="inlineStr">
        <is>
          <t>1. Launch test runner in Staging / Web Chrome.
2. Navigate to Body Metrics &amp; Measurements Screen (NumberScreen).
3. Resize web browser window from 320px mobile breakpoint up to 4K desktop width.
4. Verify expected results and log evidence.</t>
        </is>
      </c>
      <c r="F94" s="12" t="inlineStr">
        <is>
          <t>Breakpoint Widths: [320, 768, 1024, 1440, 3840]</t>
        </is>
      </c>
      <c r="G94" s="12" t="inlineStr">
        <is>
          <t>Layout adapts responsively without overlapping UI text nodes.</t>
        </is>
      </c>
      <c r="H94" s="12" t="inlineStr">
        <is>
          <t>Pending Execution</t>
        </is>
      </c>
      <c r="I94" s="13" t="inlineStr">
        <is>
          <t>Not Executed</t>
        </is>
      </c>
      <c r="J94" s="11" t="inlineStr">
        <is>
          <t>High</t>
        </is>
      </c>
      <c r="K94" s="11" t="inlineStr">
        <is>
          <t>Moderate</t>
        </is>
      </c>
      <c r="L94" s="11" t="inlineStr">
        <is>
          <t>Script Ready</t>
        </is>
      </c>
      <c r="M94" s="12" t="inlineStr">
        <is>
          <t>Staging / Web Chrome</t>
        </is>
      </c>
      <c r="N94" s="12" t="inlineStr">
        <is>
          <t>Chrome v126 / Edge v126</t>
        </is>
      </c>
      <c r="O94" s="12" t="inlineStr">
        <is>
          <t>Screen-specific baseline case for Body Metrics &amp; Measurements Screen</t>
        </is>
      </c>
    </row>
    <row r="95" ht="36" customHeight="1">
      <c r="A95" s="11" t="inlineStr">
        <is>
          <t>TC-094</t>
        </is>
      </c>
      <c r="B95" s="12" t="inlineStr">
        <is>
          <t>NumberScreen</t>
        </is>
      </c>
      <c r="C95" s="12" t="inlineStr">
        <is>
          <t>Selenium Web UI Testing</t>
        </is>
      </c>
      <c r="D95" s="12" t="inlineStr">
        <is>
          <t>Interactive Hover &amp; Focus Traversal on Body Metrics &amp; Measurements Screen</t>
        </is>
      </c>
      <c r="E95" s="12" t="inlineStr">
        <is>
          <t>1. Launch test runner in Staging / Web Chrome.
2. Navigate to Body Metrics &amp; Measurements Screen (NumberScreen).
3. Tab through interactive focusable nodes on NumberScreen, hover cursor over CTA buttons.
4. Verify expected results and log evidence.</t>
        </is>
      </c>
      <c r="F95" s="12" t="inlineStr">
        <is>
          <t>Key Navigation: TAB, Hover target: NumberScreen</t>
        </is>
      </c>
      <c r="G95" s="12" t="inlineStr">
        <is>
          <t>Focus ring highlights elements in logical DOM tab order.</t>
        </is>
      </c>
      <c r="H95" s="12" t="inlineStr">
        <is>
          <t>Pending Execution</t>
        </is>
      </c>
      <c r="I95" s="13" t="inlineStr">
        <is>
          <t>Not Executed</t>
        </is>
      </c>
      <c r="J95" s="11" t="inlineStr">
        <is>
          <t>Medium</t>
        </is>
      </c>
      <c r="K95" s="11" t="inlineStr">
        <is>
          <t>Major</t>
        </is>
      </c>
      <c r="L95" s="11" t="inlineStr">
        <is>
          <t>Script Ready</t>
        </is>
      </c>
      <c r="M95" s="12" t="inlineStr">
        <is>
          <t>Staging / Web Chrome</t>
        </is>
      </c>
      <c r="N95" s="12" t="inlineStr">
        <is>
          <t>Chrome v126 / Edge v126</t>
        </is>
      </c>
      <c r="O95" s="12" t="inlineStr">
        <is>
          <t>Screen-specific baseline case for Body Metrics &amp; Measurements Screen</t>
        </is>
      </c>
    </row>
    <row r="96" ht="36" customHeight="1">
      <c r="A96" s="11" t="inlineStr">
        <is>
          <t>TC-095</t>
        </is>
      </c>
      <c r="B96" s="12" t="inlineStr">
        <is>
          <t>NumberScreen</t>
        </is>
      </c>
      <c r="C96" s="12" t="inlineStr">
        <is>
          <t>Selenium Web UI Testing</t>
        </is>
      </c>
      <c r="D96" s="12" t="inlineStr">
        <is>
          <t>Cross-Browser Rendering Parity on Body Metrics &amp; Measurements Screen</t>
        </is>
      </c>
      <c r="E96" s="12" t="inlineStr">
        <is>
          <t>1. Launch test runner in Staging / Web Chrome.
2. Navigate to Body Metrics &amp; Measurements Screen (NumberScreen).
3. Execute UI test suite for NumberScreen across Chrome, Firefox, Safari, and Edge.
4. Verify expected results and log evidence.</t>
        </is>
      </c>
      <c r="F96" s="12" t="inlineStr">
        <is>
          <t>Browsers: Chrome, Firefox, Safari, Edge</t>
        </is>
      </c>
      <c r="G96" s="12" t="inlineStr">
        <is>
          <t>DOM element styles render identically with zero CSS misalignment.</t>
        </is>
      </c>
      <c r="H96" s="12" t="inlineStr">
        <is>
          <t>Pending Execution</t>
        </is>
      </c>
      <c r="I96" s="13" t="inlineStr">
        <is>
          <t>Not Executed</t>
        </is>
      </c>
      <c r="J96" s="11" t="inlineStr">
        <is>
          <t>Low</t>
        </is>
      </c>
      <c r="K96" s="11" t="inlineStr">
        <is>
          <t>Moderate</t>
        </is>
      </c>
      <c r="L96" s="11" t="inlineStr">
        <is>
          <t>Script Ready</t>
        </is>
      </c>
      <c r="M96" s="12" t="inlineStr">
        <is>
          <t>Staging / Web Chrome</t>
        </is>
      </c>
      <c r="N96" s="12" t="inlineStr">
        <is>
          <t>Chrome v126 / Edge v126</t>
        </is>
      </c>
      <c r="O96" s="12" t="inlineStr">
        <is>
          <t>Screen-specific baseline case for Body Metrics &amp; Measurements Screen</t>
        </is>
      </c>
    </row>
    <row r="97" ht="36" customHeight="1">
      <c r="A97" s="11" t="inlineStr">
        <is>
          <t>TC-096</t>
        </is>
      </c>
      <c r="B97" s="12" t="inlineStr">
        <is>
          <t>NumberScreen</t>
        </is>
      </c>
      <c r="C97" s="12" t="inlineStr">
        <is>
          <t>Selenium Web UI Testing</t>
        </is>
      </c>
      <c r="D97" s="12" t="inlineStr">
        <is>
          <t>Arabic Right-to-Left (RTL) Layout on Body Metrics &amp; Measurements Screen</t>
        </is>
      </c>
      <c r="E97" s="12" t="inlineStr">
        <is>
          <t>1. Launch test runner in Staging / Web Chrome.
2. Navigate to Body Metrics &amp; Measurements Screen (NumberScreen).
3. Switch locale to Arabic (ar_SA) on NumberScreen, inspect text direction and icon mirroring.
4. Verify expected results and log evidence.</t>
        </is>
      </c>
      <c r="F97" s="12" t="inlineStr">
        <is>
          <t>Locale: ar_SA, Target: NumberScreen</t>
        </is>
      </c>
      <c r="G97" s="12" t="inlineStr">
        <is>
          <t>UI flips to right-to-left layout with mirrored icons and aligned text.</t>
        </is>
      </c>
      <c r="H97" s="12" t="inlineStr">
        <is>
          <t>Pending Execution</t>
        </is>
      </c>
      <c r="I97" s="13" t="inlineStr">
        <is>
          <t>Not Executed</t>
        </is>
      </c>
      <c r="J97" s="11" t="inlineStr">
        <is>
          <t>High</t>
        </is>
      </c>
      <c r="K97" s="11" t="inlineStr">
        <is>
          <t>Major</t>
        </is>
      </c>
      <c r="L97" s="11" t="inlineStr">
        <is>
          <t>Script Ready</t>
        </is>
      </c>
      <c r="M97" s="12" t="inlineStr">
        <is>
          <t>Staging / Web Chrome</t>
        </is>
      </c>
      <c r="N97" s="12" t="inlineStr">
        <is>
          <t>Chrome v126 / Edge v126</t>
        </is>
      </c>
      <c r="O97" s="12" t="inlineStr">
        <is>
          <t>Screen-specific baseline case for Body Metrics &amp; Measurements Screen</t>
        </is>
      </c>
    </row>
    <row r="98" ht="36" customHeight="1">
      <c r="A98" s="11" t="inlineStr">
        <is>
          <t>TC-097</t>
        </is>
      </c>
      <c r="B98" s="12" t="inlineStr">
        <is>
          <t>NumberScreen</t>
        </is>
      </c>
      <c r="C98" s="12" t="inlineStr">
        <is>
          <t>Selenium Web UI Testing</t>
        </is>
      </c>
      <c r="D98" s="12" t="inlineStr">
        <is>
          <t>Localization &amp; Multi-Language Switching on Body Metrics &amp; Measurements Screen</t>
        </is>
      </c>
      <c r="E98" s="12" t="inlineStr">
        <is>
          <t>1. Launch test runner in Staging / Web Chrome.
2. Navigate to Body Metrics &amp; Measurements Screen (NumberScreen).
3. Toggle header language dropdown on NumberScreen between English, Hindi, and Arabic.
4. Verify expected results and log evidence.</t>
        </is>
      </c>
      <c r="F98" s="12" t="inlineStr">
        <is>
          <t>Locales: en, hi, ar</t>
        </is>
      </c>
      <c r="G98" s="12" t="inlineStr">
        <is>
          <t>All visible text strings update to selected language instantly.</t>
        </is>
      </c>
      <c r="H98" s="12" t="inlineStr">
        <is>
          <t>Pending Execution</t>
        </is>
      </c>
      <c r="I98" s="13" t="inlineStr">
        <is>
          <t>Not Executed</t>
        </is>
      </c>
      <c r="J98" s="11" t="inlineStr">
        <is>
          <t>Medium</t>
        </is>
      </c>
      <c r="K98" s="11" t="inlineStr">
        <is>
          <t>Moderate</t>
        </is>
      </c>
      <c r="L98" s="11" t="inlineStr">
        <is>
          <t>Script Ready</t>
        </is>
      </c>
      <c r="M98" s="12" t="inlineStr">
        <is>
          <t>Staging / Web Chrome</t>
        </is>
      </c>
      <c r="N98" s="12" t="inlineStr">
        <is>
          <t>Chrome v126 / Edge v126</t>
        </is>
      </c>
      <c r="O98" s="12" t="inlineStr">
        <is>
          <t>Screen-specific baseline case for Body Metrics &amp; Measurements Screen</t>
        </is>
      </c>
    </row>
    <row r="99" ht="36" customHeight="1">
      <c r="A99" s="11" t="inlineStr">
        <is>
          <t>TC-098</t>
        </is>
      </c>
      <c r="B99" s="12" t="inlineStr">
        <is>
          <t>NumberScreen</t>
        </is>
      </c>
      <c r="C99" s="12" t="inlineStr">
        <is>
          <t>Selenium Web UI Testing</t>
        </is>
      </c>
      <c r="D99" s="12" t="inlineStr">
        <is>
          <t>Data Table &amp; Grid State Retention on Body Metrics &amp; Measurements Screen</t>
        </is>
      </c>
      <c r="E99" s="12" t="inlineStr">
        <is>
          <t>1. Launch test runner in Staging / Web Chrome.
2. Navigate to Body Metrics &amp; Measurements Screen (NumberScreen).
3. Interact with data filters or state controls on NumberScreen, navigate away and return.
4. Verify expected results and log evidence.</t>
        </is>
      </c>
      <c r="F99" s="12" t="inlineStr">
        <is>
          <t>State Payload: NumberScreen_filter</t>
        </is>
      </c>
      <c r="G99" s="12" t="inlineStr">
        <is>
          <t>Screen preserves applied filter state without unexpected reset.</t>
        </is>
      </c>
      <c r="H99" s="12" t="inlineStr">
        <is>
          <t>Pending Execution</t>
        </is>
      </c>
      <c r="I99" s="13" t="inlineStr">
        <is>
          <t>Not Executed</t>
        </is>
      </c>
      <c r="J99" s="11" t="inlineStr">
        <is>
          <t>Medium</t>
        </is>
      </c>
      <c r="K99" s="11" t="inlineStr">
        <is>
          <t>Critical</t>
        </is>
      </c>
      <c r="L99" s="11" t="inlineStr">
        <is>
          <t>Script Ready</t>
        </is>
      </c>
      <c r="M99" s="12" t="inlineStr">
        <is>
          <t>Staging / Web Chrome</t>
        </is>
      </c>
      <c r="N99" s="12" t="inlineStr">
        <is>
          <t>Chrome v126 / Edge v126</t>
        </is>
      </c>
      <c r="O99" s="12" t="inlineStr">
        <is>
          <t>Screen-specific baseline case for Body Metrics &amp; Measurements Screen</t>
        </is>
      </c>
    </row>
    <row r="100" ht="36" customHeight="1">
      <c r="A100" s="11" t="inlineStr">
        <is>
          <t>TC-099</t>
        </is>
      </c>
      <c r="B100" s="12" t="inlineStr">
        <is>
          <t>NumberScreen</t>
        </is>
      </c>
      <c r="C100" s="12" t="inlineStr">
        <is>
          <t>Selenium Web UI Testing</t>
        </is>
      </c>
      <c r="D100" s="12" t="inlineStr">
        <is>
          <t>Modal Backdrop &amp; Keyboard Escape on Body Metrics &amp; Measurements Screen</t>
        </is>
      </c>
      <c r="E100" s="12" t="inlineStr">
        <is>
          <t>1. Launch test runner in Staging / Web Chrome.
2. Navigate to Body Metrics &amp; Measurements Screen (NumberScreen).
3. Trigger pop-up dialog/modal on NumberScreen, press Escape key to dismiss.
4. Verify expected results and log evidence.</t>
        </is>
      </c>
      <c r="F100" s="12" t="inlineStr">
        <is>
          <t>Modal Target: NumberScreen</t>
        </is>
      </c>
      <c r="G100" s="12" t="inlineStr">
        <is>
          <t>Modal closes smoothly and returns focus to parent container.</t>
        </is>
      </c>
      <c r="H100" s="12" t="inlineStr">
        <is>
          <t>Pending Execution</t>
        </is>
      </c>
      <c r="I100" s="13" t="inlineStr">
        <is>
          <t>Not Executed</t>
        </is>
      </c>
      <c r="J100" s="11" t="inlineStr">
        <is>
          <t>High</t>
        </is>
      </c>
      <c r="K100" s="11" t="inlineStr">
        <is>
          <t>Moderate</t>
        </is>
      </c>
      <c r="L100" s="11" t="inlineStr">
        <is>
          <t>Script Ready</t>
        </is>
      </c>
      <c r="M100" s="12" t="inlineStr">
        <is>
          <t>Staging / Web Chrome</t>
        </is>
      </c>
      <c r="N100" s="12" t="inlineStr">
        <is>
          <t>Chrome v126 / Edge v126</t>
        </is>
      </c>
      <c r="O100" s="12" t="inlineStr">
        <is>
          <t>Screen-specific baseline case for Body Metrics &amp; Measurements Screen</t>
        </is>
      </c>
    </row>
    <row r="101" ht="36" customHeight="1">
      <c r="A101" s="11" t="inlineStr">
        <is>
          <t>TC-100</t>
        </is>
      </c>
      <c r="B101" s="12" t="inlineStr">
        <is>
          <t>NumberScreen</t>
        </is>
      </c>
      <c r="C101" s="12" t="inlineStr">
        <is>
          <t>Selenium Web UI Testing</t>
        </is>
      </c>
      <c r="D101" s="12" t="inlineStr">
        <is>
          <t>Network Failure UI Fallback on Body Metrics &amp; Measurements Screen</t>
        </is>
      </c>
      <c r="E101" s="12" t="inlineStr">
        <is>
          <t>1. Launch test runner in Staging / Web Chrome.
2. Navigate to Body Metrics &amp; Measurements Screen (NumberScreen).
3. Throttled network to offline mode while viewing NumberScreen, attempt UI interaction.
4. Verify expected results and log evidence.</t>
        </is>
      </c>
      <c r="F101" s="12" t="inlineStr">
        <is>
          <t>Network: Offline, Target: NumberScreen</t>
        </is>
      </c>
      <c r="G101" s="12" t="inlineStr">
        <is>
          <t>User-friendly offline banner appears with retry button.</t>
        </is>
      </c>
      <c r="H101" s="12" t="inlineStr">
        <is>
          <t>Pending Execution</t>
        </is>
      </c>
      <c r="I101" s="13" t="inlineStr">
        <is>
          <t>Not Executed</t>
        </is>
      </c>
      <c r="J101" s="11" t="inlineStr">
        <is>
          <t>Low</t>
        </is>
      </c>
      <c r="K101" s="11" t="inlineStr">
        <is>
          <t>Major</t>
        </is>
      </c>
      <c r="L101" s="11" t="inlineStr">
        <is>
          <t>Script Ready</t>
        </is>
      </c>
      <c r="M101" s="12" t="inlineStr">
        <is>
          <t>Staging / Web Chrome</t>
        </is>
      </c>
      <c r="N101" s="12" t="inlineStr">
        <is>
          <t>Chrome v126 / Edge v126</t>
        </is>
      </c>
      <c r="O101" s="12" t="inlineStr">
        <is>
          <t>Screen-specific baseline case for Body Metrics &amp; Measurements Screen</t>
        </is>
      </c>
    </row>
    <row r="102" ht="36" customHeight="1">
      <c r="A102" s="11" t="inlineStr">
        <is>
          <t>TC-101</t>
        </is>
      </c>
      <c r="B102" s="12" t="inlineStr">
        <is>
          <t>DashboardScreen</t>
        </is>
      </c>
      <c r="C102" s="12" t="inlineStr">
        <is>
          <t>Selenium Web UI Testing</t>
        </is>
      </c>
      <c r="D102" s="12" t="inlineStr">
        <is>
          <t>Positive Web UI Layout on Main Dashboard &amp; Navigation Shell</t>
        </is>
      </c>
      <c r="E102" s="12" t="inlineStr">
        <is>
          <t>1. Launch test runner in Staging / Web Chrome.
2. Navigate to Main Dashboard &amp; Navigation Shell (DashboardScreen).
3. Launch browser, navigate to DashboardScreen, verify grid container alignment and responsive element scaling.
4. Verify expected results and log evidence.</t>
        </is>
      </c>
      <c r="F102" s="12" t="inlineStr">
        <is>
          <t>Viewport: 1920x1080, Screen: DashboardScreen</t>
        </is>
      </c>
      <c r="G102" s="12" t="inlineStr">
        <is>
          <t>UI components align cleanly without scrollbar clipping or overflow.</t>
        </is>
      </c>
      <c r="H102" s="12" t="inlineStr">
        <is>
          <t>Pending Execution</t>
        </is>
      </c>
      <c r="I102" s="13" t="inlineStr">
        <is>
          <t>Not Executed</t>
        </is>
      </c>
      <c r="J102" s="11" t="inlineStr">
        <is>
          <t>Medium</t>
        </is>
      </c>
      <c r="K102" s="11" t="inlineStr">
        <is>
          <t>Moderate</t>
        </is>
      </c>
      <c r="L102" s="11" t="inlineStr">
        <is>
          <t>Script Ready</t>
        </is>
      </c>
      <c r="M102" s="12" t="inlineStr">
        <is>
          <t>Staging / Web Chrome</t>
        </is>
      </c>
      <c r="N102" s="12" t="inlineStr">
        <is>
          <t>Chrome v126 / Edge v126</t>
        </is>
      </c>
      <c r="O102" s="12" t="inlineStr">
        <is>
          <t>Screen-specific baseline case for Main Dashboard &amp; Navigation Shell</t>
        </is>
      </c>
    </row>
    <row r="103" ht="36" customHeight="1">
      <c r="A103" s="11" t="inlineStr">
        <is>
          <t>TC-102</t>
        </is>
      </c>
      <c r="B103" s="12" t="inlineStr">
        <is>
          <t>DashboardScreen</t>
        </is>
      </c>
      <c r="C103" s="12" t="inlineStr">
        <is>
          <t>Selenium Web UI Testing</t>
        </is>
      </c>
      <c r="D103" s="12" t="inlineStr">
        <is>
          <t>Negative Input Form Validation on Main Dashboard &amp; Navigation Shell</t>
        </is>
      </c>
      <c r="E103" s="12" t="inlineStr">
        <is>
          <t>1. Launch test runner in Staging / Web Chrome.
2. Navigate to Main Dashboard &amp; Navigation Shell (DashboardScreen).
3. Focus input controls on DashboardScreen, enter out-of-bound strings, trigger blur event.
4. Verify expected results and log evidence.</t>
        </is>
      </c>
      <c r="F103" s="12" t="inlineStr">
        <is>
          <t>Input: invalid_string, Screen: DashboardScreen</t>
        </is>
      </c>
      <c r="G103" s="12" t="inlineStr">
        <is>
          <t>Validation badge displays accessible aria error message.</t>
        </is>
      </c>
      <c r="H103" s="12" t="inlineStr">
        <is>
          <t>Pending Execution</t>
        </is>
      </c>
      <c r="I103" s="13" t="inlineStr">
        <is>
          <t>Not Executed</t>
        </is>
      </c>
      <c r="J103" s="11" t="inlineStr">
        <is>
          <t>High</t>
        </is>
      </c>
      <c r="K103" s="11" t="inlineStr">
        <is>
          <t>Major</t>
        </is>
      </c>
      <c r="L103" s="11" t="inlineStr">
        <is>
          <t>Script Ready</t>
        </is>
      </c>
      <c r="M103" s="12" t="inlineStr">
        <is>
          <t>Staging / Web Chrome</t>
        </is>
      </c>
      <c r="N103" s="12" t="inlineStr">
        <is>
          <t>Chrome v126 / Edge v126</t>
        </is>
      </c>
      <c r="O103" s="12" t="inlineStr">
        <is>
          <t>Screen-specific baseline case for Main Dashboard &amp; Navigation Shell</t>
        </is>
      </c>
    </row>
    <row r="104" ht="36" customHeight="1">
      <c r="A104" s="11" t="inlineStr">
        <is>
          <t>TC-103</t>
        </is>
      </c>
      <c r="B104" s="12" t="inlineStr">
        <is>
          <t>DashboardScreen</t>
        </is>
      </c>
      <c r="C104" s="12" t="inlineStr">
        <is>
          <t>Selenium Web UI Testing</t>
        </is>
      </c>
      <c r="D104" s="12" t="inlineStr">
        <is>
          <t>Boundary Viewport Responsiveness on Main Dashboard &amp; Navigation Shell</t>
        </is>
      </c>
      <c r="E104" s="12" t="inlineStr">
        <is>
          <t>1. Launch test runner in Staging / Web Chrome.
2. Navigate to Main Dashboard &amp; Navigation Shell (DashboardScreen).
3. Resize web browser window from 320px mobile breakpoint up to 4K desktop width.
4. Verify expected results and log evidence.</t>
        </is>
      </c>
      <c r="F104" s="12" t="inlineStr">
        <is>
          <t>Breakpoint Widths: [320, 768, 1024, 1440, 3840]</t>
        </is>
      </c>
      <c r="G104" s="12" t="inlineStr">
        <is>
          <t>Layout adapts responsively without overlapping UI text nodes.</t>
        </is>
      </c>
      <c r="H104" s="12" t="inlineStr">
        <is>
          <t>Pending Execution</t>
        </is>
      </c>
      <c r="I104" s="13" t="inlineStr">
        <is>
          <t>Not Executed</t>
        </is>
      </c>
      <c r="J104" s="11" t="inlineStr">
        <is>
          <t>Medium</t>
        </is>
      </c>
      <c r="K104" s="11" t="inlineStr">
        <is>
          <t>Moderate</t>
        </is>
      </c>
      <c r="L104" s="11" t="inlineStr">
        <is>
          <t>Script Ready</t>
        </is>
      </c>
      <c r="M104" s="12" t="inlineStr">
        <is>
          <t>Staging / Web Chrome</t>
        </is>
      </c>
      <c r="N104" s="12" t="inlineStr">
        <is>
          <t>Chrome v126 / Edge v126</t>
        </is>
      </c>
      <c r="O104" s="12" t="inlineStr">
        <is>
          <t>Screen-specific baseline case for Main Dashboard &amp; Navigation Shell</t>
        </is>
      </c>
    </row>
    <row r="105" ht="36" customHeight="1">
      <c r="A105" s="11" t="inlineStr">
        <is>
          <t>TC-104</t>
        </is>
      </c>
      <c r="B105" s="12" t="inlineStr">
        <is>
          <t>DashboardScreen</t>
        </is>
      </c>
      <c r="C105" s="12" t="inlineStr">
        <is>
          <t>Selenium Web UI Testing</t>
        </is>
      </c>
      <c r="D105" s="12" t="inlineStr">
        <is>
          <t>Interactive Hover &amp; Focus Traversal on Main Dashboard &amp; Navigation Shell</t>
        </is>
      </c>
      <c r="E105" s="12" t="inlineStr">
        <is>
          <t>1. Launch test runner in Staging / Web Chrome.
2. Navigate to Main Dashboard &amp; Navigation Shell (DashboardScreen).
3. Tab through interactive focusable nodes on DashboardScreen, hover cursor over CTA buttons.
4. Verify expected results and log evidence.</t>
        </is>
      </c>
      <c r="F105" s="12" t="inlineStr">
        <is>
          <t>Key Navigation: TAB, Hover target: DashboardScreen</t>
        </is>
      </c>
      <c r="G105" s="12" t="inlineStr">
        <is>
          <t>Focus ring highlights elements in logical DOM tab order.</t>
        </is>
      </c>
      <c r="H105" s="12" t="inlineStr">
        <is>
          <t>Pending Execution</t>
        </is>
      </c>
      <c r="I105" s="13" t="inlineStr">
        <is>
          <t>Not Executed</t>
        </is>
      </c>
      <c r="J105" s="11" t="inlineStr">
        <is>
          <t>Medium</t>
        </is>
      </c>
      <c r="K105" s="11" t="inlineStr">
        <is>
          <t>Major</t>
        </is>
      </c>
      <c r="L105" s="11" t="inlineStr">
        <is>
          <t>Script Ready</t>
        </is>
      </c>
      <c r="M105" s="12" t="inlineStr">
        <is>
          <t>Staging / Web Chrome</t>
        </is>
      </c>
      <c r="N105" s="12" t="inlineStr">
        <is>
          <t>Chrome v126 / Edge v126</t>
        </is>
      </c>
      <c r="O105" s="12" t="inlineStr">
        <is>
          <t>Screen-specific baseline case for Main Dashboard &amp; Navigation Shell</t>
        </is>
      </c>
    </row>
    <row r="106" ht="36" customHeight="1">
      <c r="A106" s="11" t="inlineStr">
        <is>
          <t>TC-105</t>
        </is>
      </c>
      <c r="B106" s="12" t="inlineStr">
        <is>
          <t>DashboardScreen</t>
        </is>
      </c>
      <c r="C106" s="12" t="inlineStr">
        <is>
          <t>Selenium Web UI Testing</t>
        </is>
      </c>
      <c r="D106" s="12" t="inlineStr">
        <is>
          <t>Cross-Browser Rendering Parity on Main Dashboard &amp; Navigation Shell</t>
        </is>
      </c>
      <c r="E106" s="12" t="inlineStr">
        <is>
          <t>1. Launch test runner in Staging / Web Chrome.
2. Navigate to Main Dashboard &amp; Navigation Shell (DashboardScreen).
3. Execute UI test suite for DashboardScreen across Chrome, Firefox, Safari, and Edge.
4. Verify expected results and log evidence.</t>
        </is>
      </c>
      <c r="F106" s="12" t="inlineStr">
        <is>
          <t>Browsers: Chrome, Firefox, Safari, Edge</t>
        </is>
      </c>
      <c r="G106" s="12" t="inlineStr">
        <is>
          <t>DOM element styles render identically with zero CSS misalignment.</t>
        </is>
      </c>
      <c r="H106" s="12" t="inlineStr">
        <is>
          <t>Pending Execution</t>
        </is>
      </c>
      <c r="I106" s="13" t="inlineStr">
        <is>
          <t>Not Executed</t>
        </is>
      </c>
      <c r="J106" s="11" t="inlineStr">
        <is>
          <t>High</t>
        </is>
      </c>
      <c r="K106" s="11" t="inlineStr">
        <is>
          <t>Critical</t>
        </is>
      </c>
      <c r="L106" s="11" t="inlineStr">
        <is>
          <t>Script Ready</t>
        </is>
      </c>
      <c r="M106" s="12" t="inlineStr">
        <is>
          <t>Staging / Web Chrome</t>
        </is>
      </c>
      <c r="N106" s="12" t="inlineStr">
        <is>
          <t>Chrome v126 / Edge v126</t>
        </is>
      </c>
      <c r="O106" s="12" t="inlineStr">
        <is>
          <t>Screen-specific baseline case for Main Dashboard &amp; Navigation Shell</t>
        </is>
      </c>
    </row>
    <row r="107" ht="36" customHeight="1">
      <c r="A107" s="11" t="inlineStr">
        <is>
          <t>TC-106</t>
        </is>
      </c>
      <c r="B107" s="12" t="inlineStr">
        <is>
          <t>DashboardScreen</t>
        </is>
      </c>
      <c r="C107" s="12" t="inlineStr">
        <is>
          <t>Selenium Web UI Testing</t>
        </is>
      </c>
      <c r="D107" s="12" t="inlineStr">
        <is>
          <t>Arabic Right-to-Left (RTL) Layout on Main Dashboard &amp; Navigation Shell</t>
        </is>
      </c>
      <c r="E107" s="12" t="inlineStr">
        <is>
          <t>1. Launch test runner in Staging / Web Chrome.
2. Navigate to Main Dashboard &amp; Navigation Shell (DashboardScreen).
3. Switch locale to Arabic (ar_SA) on DashboardScreen, inspect text direction and icon mirroring.
4. Verify expected results and log evidence.</t>
        </is>
      </c>
      <c r="F107" s="12" t="inlineStr">
        <is>
          <t>Locale: ar_SA, Target: DashboardScreen</t>
        </is>
      </c>
      <c r="G107" s="12" t="inlineStr">
        <is>
          <t>UI flips to right-to-left layout with mirrored icons and aligned text.</t>
        </is>
      </c>
      <c r="H107" s="12" t="inlineStr">
        <is>
          <t>Pending Execution</t>
        </is>
      </c>
      <c r="I107" s="13" t="inlineStr">
        <is>
          <t>Not Executed</t>
        </is>
      </c>
      <c r="J107" s="11" t="inlineStr">
        <is>
          <t>Medium</t>
        </is>
      </c>
      <c r="K107" s="11" t="inlineStr">
        <is>
          <t>Major</t>
        </is>
      </c>
      <c r="L107" s="11" t="inlineStr">
        <is>
          <t>Script Ready</t>
        </is>
      </c>
      <c r="M107" s="12" t="inlineStr">
        <is>
          <t>Staging / Web Chrome</t>
        </is>
      </c>
      <c r="N107" s="12" t="inlineStr">
        <is>
          <t>Chrome v126 / Edge v126</t>
        </is>
      </c>
      <c r="O107" s="12" t="inlineStr">
        <is>
          <t>Screen-specific baseline case for Main Dashboard &amp; Navigation Shell</t>
        </is>
      </c>
    </row>
    <row r="108" ht="36" customHeight="1">
      <c r="A108" s="11" t="inlineStr">
        <is>
          <t>TC-107</t>
        </is>
      </c>
      <c r="B108" s="12" t="inlineStr">
        <is>
          <t>DashboardScreen</t>
        </is>
      </c>
      <c r="C108" s="12" t="inlineStr">
        <is>
          <t>Selenium Web UI Testing</t>
        </is>
      </c>
      <c r="D108" s="12" t="inlineStr">
        <is>
          <t>Localization &amp; Multi-Language Switching on Main Dashboard &amp; Navigation Shell</t>
        </is>
      </c>
      <c r="E108" s="12" t="inlineStr">
        <is>
          <t>1. Launch test runner in Staging / Web Chrome.
2. Navigate to Main Dashboard &amp; Navigation Shell (DashboardScreen).
3. Toggle header language dropdown on DashboardScreen between English, Hindi, and Arabic.
4. Verify expected results and log evidence.</t>
        </is>
      </c>
      <c r="F108" s="12" t="inlineStr">
        <is>
          <t>Locales: en, hi, ar</t>
        </is>
      </c>
      <c r="G108" s="12" t="inlineStr">
        <is>
          <t>All visible text strings update to selected language instantly.</t>
        </is>
      </c>
      <c r="H108" s="12" t="inlineStr">
        <is>
          <t>Pending Execution</t>
        </is>
      </c>
      <c r="I108" s="13" t="inlineStr">
        <is>
          <t>Not Executed</t>
        </is>
      </c>
      <c r="J108" s="11" t="inlineStr">
        <is>
          <t>Medium</t>
        </is>
      </c>
      <c r="K108" s="11" t="inlineStr">
        <is>
          <t>Moderate</t>
        </is>
      </c>
      <c r="L108" s="11" t="inlineStr">
        <is>
          <t>Script Ready</t>
        </is>
      </c>
      <c r="M108" s="12" t="inlineStr">
        <is>
          <t>Staging / Web Chrome</t>
        </is>
      </c>
      <c r="N108" s="12" t="inlineStr">
        <is>
          <t>Chrome v126 / Edge v126</t>
        </is>
      </c>
      <c r="O108" s="12" t="inlineStr">
        <is>
          <t>Screen-specific baseline case for Main Dashboard &amp; Navigation Shell</t>
        </is>
      </c>
    </row>
    <row r="109" ht="36" customHeight="1">
      <c r="A109" s="11" t="inlineStr">
        <is>
          <t>TC-108</t>
        </is>
      </c>
      <c r="B109" s="12" t="inlineStr">
        <is>
          <t>DashboardScreen</t>
        </is>
      </c>
      <c r="C109" s="12" t="inlineStr">
        <is>
          <t>Selenium Web UI Testing</t>
        </is>
      </c>
      <c r="D109" s="12" t="inlineStr">
        <is>
          <t>Data Table &amp; Grid State Retention on Main Dashboard &amp; Navigation Shell</t>
        </is>
      </c>
      <c r="E109" s="12" t="inlineStr">
        <is>
          <t>1. Launch test runner in Staging / Web Chrome.
2. Navigate to Main Dashboard &amp; Navigation Shell (DashboardScreen).
3. Interact with data filters or state controls on DashboardScreen, navigate away and return.
4. Verify expected results and log evidence.</t>
        </is>
      </c>
      <c r="F109" s="12" t="inlineStr">
        <is>
          <t>State Payload: DashboardScreen_filter</t>
        </is>
      </c>
      <c r="G109" s="12" t="inlineStr">
        <is>
          <t>Screen preserves applied filter state without unexpected reset.</t>
        </is>
      </c>
      <c r="H109" s="12" t="inlineStr">
        <is>
          <t>Pending Execution</t>
        </is>
      </c>
      <c r="I109" s="13" t="inlineStr">
        <is>
          <t>Not Executed</t>
        </is>
      </c>
      <c r="J109" s="11" t="inlineStr">
        <is>
          <t>High</t>
        </is>
      </c>
      <c r="K109" s="11" t="inlineStr">
        <is>
          <t>Major</t>
        </is>
      </c>
      <c r="L109" s="11" t="inlineStr">
        <is>
          <t>Script Ready</t>
        </is>
      </c>
      <c r="M109" s="12" t="inlineStr">
        <is>
          <t>Staging / Web Chrome</t>
        </is>
      </c>
      <c r="N109" s="12" t="inlineStr">
        <is>
          <t>Chrome v126 / Edge v126</t>
        </is>
      </c>
      <c r="O109" s="12" t="inlineStr">
        <is>
          <t>Screen-specific baseline case for Main Dashboard &amp; Navigation Shell</t>
        </is>
      </c>
    </row>
    <row r="110" ht="36" customHeight="1">
      <c r="A110" s="11" t="inlineStr">
        <is>
          <t>TC-109</t>
        </is>
      </c>
      <c r="B110" s="12" t="inlineStr">
        <is>
          <t>DashboardScreen</t>
        </is>
      </c>
      <c r="C110" s="12" t="inlineStr">
        <is>
          <t>Selenium Web UI Testing</t>
        </is>
      </c>
      <c r="D110" s="12" t="inlineStr">
        <is>
          <t>Modal Backdrop &amp; Keyboard Escape on Main Dashboard &amp; Navigation Shell</t>
        </is>
      </c>
      <c r="E110" s="12" t="inlineStr">
        <is>
          <t>1. Launch test runner in Staging / Web Chrome.
2. Navigate to Main Dashboard &amp; Navigation Shell (DashboardScreen).
3. Trigger pop-up dialog/modal on DashboardScreen, press Escape key to dismiss.
4. Verify expected results and log evidence.</t>
        </is>
      </c>
      <c r="F110" s="12" t="inlineStr">
        <is>
          <t>Modal Target: DashboardScreen</t>
        </is>
      </c>
      <c r="G110" s="12" t="inlineStr">
        <is>
          <t>Modal closes smoothly and returns focus to parent container.</t>
        </is>
      </c>
      <c r="H110" s="12" t="inlineStr">
        <is>
          <t>Pending Execution</t>
        </is>
      </c>
      <c r="I110" s="13" t="inlineStr">
        <is>
          <t>Not Executed</t>
        </is>
      </c>
      <c r="J110" s="11" t="inlineStr">
        <is>
          <t>Medium</t>
        </is>
      </c>
      <c r="K110" s="11" t="inlineStr">
        <is>
          <t>Moderate</t>
        </is>
      </c>
      <c r="L110" s="11" t="inlineStr">
        <is>
          <t>Script Ready</t>
        </is>
      </c>
      <c r="M110" s="12" t="inlineStr">
        <is>
          <t>Staging / Web Chrome</t>
        </is>
      </c>
      <c r="N110" s="12" t="inlineStr">
        <is>
          <t>Chrome v126 / Edge v126</t>
        </is>
      </c>
      <c r="O110" s="12" t="inlineStr">
        <is>
          <t>Screen-specific baseline case for Main Dashboard &amp; Navigation Shell</t>
        </is>
      </c>
    </row>
    <row r="111" ht="36" customHeight="1">
      <c r="A111" s="11" t="inlineStr">
        <is>
          <t>TC-110</t>
        </is>
      </c>
      <c r="B111" s="12" t="inlineStr">
        <is>
          <t>DashboardScreen</t>
        </is>
      </c>
      <c r="C111" s="12" t="inlineStr">
        <is>
          <t>Selenium Web UI Testing</t>
        </is>
      </c>
      <c r="D111" s="12" t="inlineStr">
        <is>
          <t>Network Failure UI Fallback on Main Dashboard &amp; Navigation Shell</t>
        </is>
      </c>
      <c r="E111" s="12" t="inlineStr">
        <is>
          <t>1. Launch test runner in Staging / Web Chrome.
2. Navigate to Main Dashboard &amp; Navigation Shell (DashboardScreen).
3. Throttled network to offline mode while viewing DashboardScreen, attempt UI interaction.
4. Verify expected results and log evidence.</t>
        </is>
      </c>
      <c r="F111" s="12" t="inlineStr">
        <is>
          <t>Network: Offline, Target: DashboardScreen</t>
        </is>
      </c>
      <c r="G111" s="12" t="inlineStr">
        <is>
          <t>User-friendly offline banner appears with retry button.</t>
        </is>
      </c>
      <c r="H111" s="12" t="inlineStr">
        <is>
          <t>Pending Execution</t>
        </is>
      </c>
      <c r="I111" s="13" t="inlineStr">
        <is>
          <t>Not Executed</t>
        </is>
      </c>
      <c r="J111" s="11" t="inlineStr">
        <is>
          <t>Low</t>
        </is>
      </c>
      <c r="K111" s="11" t="inlineStr">
        <is>
          <t>Major</t>
        </is>
      </c>
      <c r="L111" s="11" t="inlineStr">
        <is>
          <t>Script Ready</t>
        </is>
      </c>
      <c r="M111" s="12" t="inlineStr">
        <is>
          <t>Staging / Web Chrome</t>
        </is>
      </c>
      <c r="N111" s="12" t="inlineStr">
        <is>
          <t>Chrome v126 / Edge v126</t>
        </is>
      </c>
      <c r="O111" s="12" t="inlineStr">
        <is>
          <t>Screen-specific baseline case for Main Dashboard &amp; Navigation Shell</t>
        </is>
      </c>
    </row>
    <row r="112" ht="36" customHeight="1">
      <c r="A112" s="11" t="inlineStr">
        <is>
          <t>TC-111</t>
        </is>
      </c>
      <c r="B112" s="12" t="inlineStr">
        <is>
          <t>HomeTab</t>
        </is>
      </c>
      <c r="C112" s="12" t="inlineStr">
        <is>
          <t>Selenium Web UI Testing</t>
        </is>
      </c>
      <c r="D112" s="12" t="inlineStr">
        <is>
          <t>Positive Web UI Layout on Home Overview &amp; Daily Progress Tab</t>
        </is>
      </c>
      <c r="E112" s="12" t="inlineStr">
        <is>
          <t>1. Launch test runner in Staging / Web Chrome.
2. Navigate to Home Overview &amp; Daily Progress Tab (HomeTab).
3. Launch browser, navigate to HomeTab, verify grid container alignment and responsive element scaling.
4. Verify expected results and log evidence.</t>
        </is>
      </c>
      <c r="F112" s="12" t="inlineStr">
        <is>
          <t>Viewport: 1920x1080, Screen: HomeTab</t>
        </is>
      </c>
      <c r="G112" s="12" t="inlineStr">
        <is>
          <t>UI components align cleanly without scrollbar clipping or overflow.</t>
        </is>
      </c>
      <c r="H112" s="12" t="inlineStr">
        <is>
          <t>Pending Execution</t>
        </is>
      </c>
      <c r="I112" s="13" t="inlineStr">
        <is>
          <t>Not Executed</t>
        </is>
      </c>
      <c r="J112" s="11" t="inlineStr">
        <is>
          <t>High</t>
        </is>
      </c>
      <c r="K112" s="11" t="inlineStr">
        <is>
          <t>Moderate</t>
        </is>
      </c>
      <c r="L112" s="11" t="inlineStr">
        <is>
          <t>Script Ready</t>
        </is>
      </c>
      <c r="M112" s="12" t="inlineStr">
        <is>
          <t>Staging / Web Chrome</t>
        </is>
      </c>
      <c r="N112" s="12" t="inlineStr">
        <is>
          <t>Chrome v126 / Edge v126</t>
        </is>
      </c>
      <c r="O112" s="12" t="inlineStr">
        <is>
          <t>Screen-specific baseline case for Home Overview &amp; Daily Progress Tab</t>
        </is>
      </c>
    </row>
    <row r="113" ht="36" customHeight="1">
      <c r="A113" s="11" t="inlineStr">
        <is>
          <t>TC-112</t>
        </is>
      </c>
      <c r="B113" s="12" t="inlineStr">
        <is>
          <t>HomeTab</t>
        </is>
      </c>
      <c r="C113" s="12" t="inlineStr">
        <is>
          <t>Selenium Web UI Testing</t>
        </is>
      </c>
      <c r="D113" s="12" t="inlineStr">
        <is>
          <t>Negative Input Form Validation on Home Overview &amp; Daily Progress Tab</t>
        </is>
      </c>
      <c r="E113" s="12" t="inlineStr">
        <is>
          <t>1. Launch test runner in Staging / Web Chrome.
2. Navigate to Home Overview &amp; Daily Progress Tab (HomeTab).
3. Focus input controls on HomeTab, enter out-of-bound strings, trigger blur event.
4. Verify expected results and log evidence.</t>
        </is>
      </c>
      <c r="F113" s="12" t="inlineStr">
        <is>
          <t>Input: invalid_string, Screen: HomeTab</t>
        </is>
      </c>
      <c r="G113" s="12" t="inlineStr">
        <is>
          <t>Validation badge displays accessible aria error message.</t>
        </is>
      </c>
      <c r="H113" s="12" t="inlineStr">
        <is>
          <t>Pending Execution</t>
        </is>
      </c>
      <c r="I113" s="13" t="inlineStr">
        <is>
          <t>Not Executed</t>
        </is>
      </c>
      <c r="J113" s="11" t="inlineStr">
        <is>
          <t>Medium</t>
        </is>
      </c>
      <c r="K113" s="11" t="inlineStr">
        <is>
          <t>Critical</t>
        </is>
      </c>
      <c r="L113" s="11" t="inlineStr">
        <is>
          <t>Script Ready</t>
        </is>
      </c>
      <c r="M113" s="12" t="inlineStr">
        <is>
          <t>Staging / Web Chrome</t>
        </is>
      </c>
      <c r="N113" s="12" t="inlineStr">
        <is>
          <t>Chrome v126 / Edge v126</t>
        </is>
      </c>
      <c r="O113" s="12" t="inlineStr">
        <is>
          <t>Screen-specific baseline case for Home Overview &amp; Daily Progress Tab</t>
        </is>
      </c>
    </row>
    <row r="114" ht="36" customHeight="1">
      <c r="A114" s="11" t="inlineStr">
        <is>
          <t>TC-113</t>
        </is>
      </c>
      <c r="B114" s="12" t="inlineStr">
        <is>
          <t>HomeTab</t>
        </is>
      </c>
      <c r="C114" s="12" t="inlineStr">
        <is>
          <t>Selenium Web UI Testing</t>
        </is>
      </c>
      <c r="D114" s="12" t="inlineStr">
        <is>
          <t>Boundary Viewport Responsiveness on Home Overview &amp; Daily Progress Tab</t>
        </is>
      </c>
      <c r="E114" s="12" t="inlineStr">
        <is>
          <t>1. Launch test runner in Staging / Web Chrome.
2. Navigate to Home Overview &amp; Daily Progress Tab (HomeTab).
3. Resize web browser window from 320px mobile breakpoint up to 4K desktop width.
4. Verify expected results and log evidence.</t>
        </is>
      </c>
      <c r="F114" s="12" t="inlineStr">
        <is>
          <t>Breakpoint Widths: [320, 768, 1024, 1440, 3840]</t>
        </is>
      </c>
      <c r="G114" s="12" t="inlineStr">
        <is>
          <t>Layout adapts responsively without overlapping UI text nodes.</t>
        </is>
      </c>
      <c r="H114" s="12" t="inlineStr">
        <is>
          <t>Pending Execution</t>
        </is>
      </c>
      <c r="I114" s="13" t="inlineStr">
        <is>
          <t>Not Executed</t>
        </is>
      </c>
      <c r="J114" s="11" t="inlineStr">
        <is>
          <t>Medium</t>
        </is>
      </c>
      <c r="K114" s="11" t="inlineStr">
        <is>
          <t>Moderate</t>
        </is>
      </c>
      <c r="L114" s="11" t="inlineStr">
        <is>
          <t>Script Ready</t>
        </is>
      </c>
      <c r="M114" s="12" t="inlineStr">
        <is>
          <t>Staging / Web Chrome</t>
        </is>
      </c>
      <c r="N114" s="12" t="inlineStr">
        <is>
          <t>Chrome v126 / Edge v126</t>
        </is>
      </c>
      <c r="O114" s="12" t="inlineStr">
        <is>
          <t>Screen-specific baseline case for Home Overview &amp; Daily Progress Tab</t>
        </is>
      </c>
    </row>
    <row r="115" ht="36" customHeight="1">
      <c r="A115" s="11" t="inlineStr">
        <is>
          <t>TC-114</t>
        </is>
      </c>
      <c r="B115" s="12" t="inlineStr">
        <is>
          <t>HomeTab</t>
        </is>
      </c>
      <c r="C115" s="12" t="inlineStr">
        <is>
          <t>Selenium Web UI Testing</t>
        </is>
      </c>
      <c r="D115" s="12" t="inlineStr">
        <is>
          <t>Interactive Hover &amp; Focus Traversal on Home Overview &amp; Daily Progress Tab</t>
        </is>
      </c>
      <c r="E115" s="12" t="inlineStr">
        <is>
          <t>1. Launch test runner in Staging / Web Chrome.
2. Navigate to Home Overview &amp; Daily Progress Tab (HomeTab).
3. Tab through interactive focusable nodes on HomeTab, hover cursor over CTA buttons.
4. Verify expected results and log evidence.</t>
        </is>
      </c>
      <c r="F115" s="12" t="inlineStr">
        <is>
          <t>Key Navigation: TAB, Hover target: HomeTab</t>
        </is>
      </c>
      <c r="G115" s="12" t="inlineStr">
        <is>
          <t>Focus ring highlights elements in logical DOM tab order.</t>
        </is>
      </c>
      <c r="H115" s="12" t="inlineStr">
        <is>
          <t>Pending Execution</t>
        </is>
      </c>
      <c r="I115" s="13" t="inlineStr">
        <is>
          <t>Not Executed</t>
        </is>
      </c>
      <c r="J115" s="11" t="inlineStr">
        <is>
          <t>High</t>
        </is>
      </c>
      <c r="K115" s="11" t="inlineStr">
        <is>
          <t>Major</t>
        </is>
      </c>
      <c r="L115" s="11" t="inlineStr">
        <is>
          <t>Script Ready</t>
        </is>
      </c>
      <c r="M115" s="12" t="inlineStr">
        <is>
          <t>Staging / Web Chrome</t>
        </is>
      </c>
      <c r="N115" s="12" t="inlineStr">
        <is>
          <t>Chrome v126 / Edge v126</t>
        </is>
      </c>
      <c r="O115" s="12" t="inlineStr">
        <is>
          <t>Screen-specific baseline case for Home Overview &amp; Daily Progress Tab</t>
        </is>
      </c>
    </row>
    <row r="116" ht="36" customHeight="1">
      <c r="A116" s="11" t="inlineStr">
        <is>
          <t>TC-115</t>
        </is>
      </c>
      <c r="B116" s="12" t="inlineStr">
        <is>
          <t>HomeTab</t>
        </is>
      </c>
      <c r="C116" s="12" t="inlineStr">
        <is>
          <t>Selenium Web UI Testing</t>
        </is>
      </c>
      <c r="D116" s="12" t="inlineStr">
        <is>
          <t>Cross-Browser Rendering Parity on Home Overview &amp; Daily Progress Tab</t>
        </is>
      </c>
      <c r="E116" s="12" t="inlineStr">
        <is>
          <t>1. Launch test runner in Staging / Web Chrome.
2. Navigate to Home Overview &amp; Daily Progress Tab (HomeTab).
3. Execute UI test suite for HomeTab across Chrome, Firefox, Safari, and Edge.
4. Verify expected results and log evidence.</t>
        </is>
      </c>
      <c r="F116" s="12" t="inlineStr">
        <is>
          <t>Browsers: Chrome, Firefox, Safari, Edge</t>
        </is>
      </c>
      <c r="G116" s="12" t="inlineStr">
        <is>
          <t>DOM element styles render identically with zero CSS misalignment.</t>
        </is>
      </c>
      <c r="H116" s="12" t="inlineStr">
        <is>
          <t>Pending Execution</t>
        </is>
      </c>
      <c r="I116" s="13" t="inlineStr">
        <is>
          <t>Not Executed</t>
        </is>
      </c>
      <c r="J116" s="11" t="inlineStr">
        <is>
          <t>Low</t>
        </is>
      </c>
      <c r="K116" s="11" t="inlineStr">
        <is>
          <t>Moderate</t>
        </is>
      </c>
      <c r="L116" s="11" t="inlineStr">
        <is>
          <t>Script Ready</t>
        </is>
      </c>
      <c r="M116" s="12" t="inlineStr">
        <is>
          <t>Staging / Web Chrome</t>
        </is>
      </c>
      <c r="N116" s="12" t="inlineStr">
        <is>
          <t>Chrome v126 / Edge v126</t>
        </is>
      </c>
      <c r="O116" s="12" t="inlineStr">
        <is>
          <t>Screen-specific baseline case for Home Overview &amp; Daily Progress Tab</t>
        </is>
      </c>
    </row>
    <row r="117" ht="36" customHeight="1">
      <c r="A117" s="11" t="inlineStr">
        <is>
          <t>TC-116</t>
        </is>
      </c>
      <c r="B117" s="12" t="inlineStr">
        <is>
          <t>HomeTab</t>
        </is>
      </c>
      <c r="C117" s="12" t="inlineStr">
        <is>
          <t>Selenium Web UI Testing</t>
        </is>
      </c>
      <c r="D117" s="12" t="inlineStr">
        <is>
          <t>Arabic Right-to-Left (RTL) Layout on Home Overview &amp; Daily Progress Tab</t>
        </is>
      </c>
      <c r="E117" s="12" t="inlineStr">
        <is>
          <t>1. Launch test runner in Staging / Web Chrome.
2. Navigate to Home Overview &amp; Daily Progress Tab (HomeTab).
3. Switch locale to Arabic (ar_SA) on HomeTab, inspect text direction and icon mirroring.
4. Verify expected results and log evidence.</t>
        </is>
      </c>
      <c r="F117" s="12" t="inlineStr">
        <is>
          <t>Locale: ar_SA, Target: HomeTab</t>
        </is>
      </c>
      <c r="G117" s="12" t="inlineStr">
        <is>
          <t>UI flips to right-to-left layout with mirrored icons and aligned text.</t>
        </is>
      </c>
      <c r="H117" s="12" t="inlineStr">
        <is>
          <t>Pending Execution</t>
        </is>
      </c>
      <c r="I117" s="13" t="inlineStr">
        <is>
          <t>Not Executed</t>
        </is>
      </c>
      <c r="J117" s="11" t="inlineStr">
        <is>
          <t>Medium</t>
        </is>
      </c>
      <c r="K117" s="11" t="inlineStr">
        <is>
          <t>Major</t>
        </is>
      </c>
      <c r="L117" s="11" t="inlineStr">
        <is>
          <t>Script Ready</t>
        </is>
      </c>
      <c r="M117" s="12" t="inlineStr">
        <is>
          <t>Staging / Web Chrome</t>
        </is>
      </c>
      <c r="N117" s="12" t="inlineStr">
        <is>
          <t>Chrome v126 / Edge v126</t>
        </is>
      </c>
      <c r="O117" s="12" t="inlineStr">
        <is>
          <t>Screen-specific baseline case for Home Overview &amp; Daily Progress Tab</t>
        </is>
      </c>
    </row>
    <row r="118" ht="36" customHeight="1">
      <c r="A118" s="11" t="inlineStr">
        <is>
          <t>TC-117</t>
        </is>
      </c>
      <c r="B118" s="12" t="inlineStr">
        <is>
          <t>HomeTab</t>
        </is>
      </c>
      <c r="C118" s="12" t="inlineStr">
        <is>
          <t>Selenium Web UI Testing</t>
        </is>
      </c>
      <c r="D118" s="12" t="inlineStr">
        <is>
          <t>Localization &amp; Multi-Language Switching on Home Overview &amp; Daily Progress Tab</t>
        </is>
      </c>
      <c r="E118" s="12" t="inlineStr">
        <is>
          <t>1. Launch test runner in Staging / Web Chrome.
2. Navigate to Home Overview &amp; Daily Progress Tab (HomeTab).
3. Toggle header language dropdown on HomeTab between English, Hindi, and Arabic.
4. Verify expected results and log evidence.</t>
        </is>
      </c>
      <c r="F118" s="12" t="inlineStr">
        <is>
          <t>Locales: en, hi, ar</t>
        </is>
      </c>
      <c r="G118" s="12" t="inlineStr">
        <is>
          <t>All visible text strings update to selected language instantly.</t>
        </is>
      </c>
      <c r="H118" s="12" t="inlineStr">
        <is>
          <t>Pending Execution</t>
        </is>
      </c>
      <c r="I118" s="13" t="inlineStr">
        <is>
          <t>Not Executed</t>
        </is>
      </c>
      <c r="J118" s="11" t="inlineStr">
        <is>
          <t>High</t>
        </is>
      </c>
      <c r="K118" s="11" t="inlineStr">
        <is>
          <t>Moderate</t>
        </is>
      </c>
      <c r="L118" s="11" t="inlineStr">
        <is>
          <t>Script Ready</t>
        </is>
      </c>
      <c r="M118" s="12" t="inlineStr">
        <is>
          <t>Staging / Web Chrome</t>
        </is>
      </c>
      <c r="N118" s="12" t="inlineStr">
        <is>
          <t>Chrome v126 / Edge v126</t>
        </is>
      </c>
      <c r="O118" s="12" t="inlineStr">
        <is>
          <t>Screen-specific baseline case for Home Overview &amp; Daily Progress Tab</t>
        </is>
      </c>
    </row>
    <row r="119" ht="36" customHeight="1">
      <c r="A119" s="11" t="inlineStr">
        <is>
          <t>TC-118</t>
        </is>
      </c>
      <c r="B119" s="12" t="inlineStr">
        <is>
          <t>HomeTab</t>
        </is>
      </c>
      <c r="C119" s="12" t="inlineStr">
        <is>
          <t>Selenium Web UI Testing</t>
        </is>
      </c>
      <c r="D119" s="12" t="inlineStr">
        <is>
          <t>Data Table &amp; Grid State Retention on Home Overview &amp; Daily Progress Tab</t>
        </is>
      </c>
      <c r="E119" s="12" t="inlineStr">
        <is>
          <t>1. Launch test runner in Staging / Web Chrome.
2. Navigate to Home Overview &amp; Daily Progress Tab (HomeTab).
3. Interact with data filters or state controls on HomeTab, navigate away and return.
4. Verify expected results and log evidence.</t>
        </is>
      </c>
      <c r="F119" s="12" t="inlineStr">
        <is>
          <t>State Payload: HomeTab_filter</t>
        </is>
      </c>
      <c r="G119" s="12" t="inlineStr">
        <is>
          <t>Screen preserves applied filter state without unexpected reset.</t>
        </is>
      </c>
      <c r="H119" s="12" t="inlineStr">
        <is>
          <t>Pending Execution</t>
        </is>
      </c>
      <c r="I119" s="13" t="inlineStr">
        <is>
          <t>Not Executed</t>
        </is>
      </c>
      <c r="J119" s="11" t="inlineStr">
        <is>
          <t>Medium</t>
        </is>
      </c>
      <c r="K119" s="11" t="inlineStr">
        <is>
          <t>Major</t>
        </is>
      </c>
      <c r="L119" s="11" t="inlineStr">
        <is>
          <t>Script Ready</t>
        </is>
      </c>
      <c r="M119" s="12" t="inlineStr">
        <is>
          <t>Staging / Web Chrome</t>
        </is>
      </c>
      <c r="N119" s="12" t="inlineStr">
        <is>
          <t>Chrome v126 / Edge v126</t>
        </is>
      </c>
      <c r="O119" s="12" t="inlineStr">
        <is>
          <t>Screen-specific baseline case for Home Overview &amp; Daily Progress Tab</t>
        </is>
      </c>
    </row>
    <row r="120" ht="36" customHeight="1">
      <c r="A120" s="11" t="inlineStr">
        <is>
          <t>TC-119</t>
        </is>
      </c>
      <c r="B120" s="12" t="inlineStr">
        <is>
          <t>HomeTab</t>
        </is>
      </c>
      <c r="C120" s="12" t="inlineStr">
        <is>
          <t>Selenium Web UI Testing</t>
        </is>
      </c>
      <c r="D120" s="12" t="inlineStr">
        <is>
          <t>Modal Backdrop &amp; Keyboard Escape on Home Overview &amp; Daily Progress Tab</t>
        </is>
      </c>
      <c r="E120" s="12" t="inlineStr">
        <is>
          <t>1. Launch test runner in Staging / Web Chrome.
2. Navigate to Home Overview &amp; Daily Progress Tab (HomeTab).
3. Trigger pop-up dialog/modal on HomeTab, press Escape key to dismiss.
4. Verify expected results and log evidence.</t>
        </is>
      </c>
      <c r="F120" s="12" t="inlineStr">
        <is>
          <t>Modal Target: HomeTab</t>
        </is>
      </c>
      <c r="G120" s="12" t="inlineStr">
        <is>
          <t>Modal closes smoothly and returns focus to parent container.</t>
        </is>
      </c>
      <c r="H120" s="12" t="inlineStr">
        <is>
          <t>Pending Execution</t>
        </is>
      </c>
      <c r="I120" s="13" t="inlineStr">
        <is>
          <t>Not Executed</t>
        </is>
      </c>
      <c r="J120" s="11" t="inlineStr">
        <is>
          <t>Medium</t>
        </is>
      </c>
      <c r="K120" s="11" t="inlineStr">
        <is>
          <t>Critical</t>
        </is>
      </c>
      <c r="L120" s="11" t="inlineStr">
        <is>
          <t>Script Ready</t>
        </is>
      </c>
      <c r="M120" s="12" t="inlineStr">
        <is>
          <t>Staging / Web Chrome</t>
        </is>
      </c>
      <c r="N120" s="12" t="inlineStr">
        <is>
          <t>Chrome v126 / Edge v126</t>
        </is>
      </c>
      <c r="O120" s="12" t="inlineStr">
        <is>
          <t>Screen-specific baseline case for Home Overview &amp; Daily Progress Tab</t>
        </is>
      </c>
    </row>
    <row r="121" ht="36" customHeight="1">
      <c r="A121" s="11" t="inlineStr">
        <is>
          <t>TC-120</t>
        </is>
      </c>
      <c r="B121" s="12" t="inlineStr">
        <is>
          <t>HomeTab</t>
        </is>
      </c>
      <c r="C121" s="12" t="inlineStr">
        <is>
          <t>Selenium Web UI Testing</t>
        </is>
      </c>
      <c r="D121" s="12" t="inlineStr">
        <is>
          <t>Network Failure UI Fallback on Home Overview &amp; Daily Progress Tab</t>
        </is>
      </c>
      <c r="E121" s="12" t="inlineStr">
        <is>
          <t>1. Launch test runner in Staging / Web Chrome.
2. Navigate to Home Overview &amp; Daily Progress Tab (HomeTab).
3. Throttled network to offline mode while viewing HomeTab, attempt UI interaction.
4. Verify expected results and log evidence.</t>
        </is>
      </c>
      <c r="F121" s="12" t="inlineStr">
        <is>
          <t>Network: Offline, Target: HomeTab</t>
        </is>
      </c>
      <c r="G121" s="12" t="inlineStr">
        <is>
          <t>User-friendly offline banner appears with retry button.</t>
        </is>
      </c>
      <c r="H121" s="12" t="inlineStr">
        <is>
          <t>Pending Execution</t>
        </is>
      </c>
      <c r="I121" s="13" t="inlineStr">
        <is>
          <t>Not Executed</t>
        </is>
      </c>
      <c r="J121" s="11" t="inlineStr">
        <is>
          <t>High</t>
        </is>
      </c>
      <c r="K121" s="11" t="inlineStr">
        <is>
          <t>Major</t>
        </is>
      </c>
      <c r="L121" s="11" t="inlineStr">
        <is>
          <t>Script Ready</t>
        </is>
      </c>
      <c r="M121" s="12" t="inlineStr">
        <is>
          <t>Staging / Web Chrome</t>
        </is>
      </c>
      <c r="N121" s="12" t="inlineStr">
        <is>
          <t>Chrome v126 / Edge v126</t>
        </is>
      </c>
      <c r="O121" s="12" t="inlineStr">
        <is>
          <t>Screen-specific baseline case for Home Overview &amp; Daily Progress Tab</t>
        </is>
      </c>
    </row>
    <row r="122" ht="36" customHeight="1">
      <c r="A122" s="11" t="inlineStr">
        <is>
          <t>TC-121</t>
        </is>
      </c>
      <c r="B122" s="12" t="inlineStr">
        <is>
          <t>HeroCard</t>
        </is>
      </c>
      <c r="C122" s="12" t="inlineStr">
        <is>
          <t>Selenium Web UI Testing</t>
        </is>
      </c>
      <c r="D122" s="12" t="inlineStr">
        <is>
          <t>Positive Web UI Layout on Today Workout &amp; Hero Banner Section</t>
        </is>
      </c>
      <c r="E122" s="12" t="inlineStr">
        <is>
          <t>1. Launch test runner in Staging / Web Chrome.
2. Navigate to Today Workout &amp; Hero Banner Section (HeroCard).
3. Launch browser, navigate to HeroCard, verify grid container alignment and responsive element scaling.
4. Verify expected results and log evidence.</t>
        </is>
      </c>
      <c r="F122" s="12" t="inlineStr">
        <is>
          <t>Viewport: 1920x1080, Screen: HeroCard</t>
        </is>
      </c>
      <c r="G122" s="12" t="inlineStr">
        <is>
          <t>UI components align cleanly without scrollbar clipping or overflow.</t>
        </is>
      </c>
      <c r="H122" s="12" t="inlineStr">
        <is>
          <t>Pending Execution</t>
        </is>
      </c>
      <c r="I122" s="13" t="inlineStr">
        <is>
          <t>Not Executed</t>
        </is>
      </c>
      <c r="J122" s="11" t="inlineStr">
        <is>
          <t>Medium</t>
        </is>
      </c>
      <c r="K122" s="11" t="inlineStr">
        <is>
          <t>Moderate</t>
        </is>
      </c>
      <c r="L122" s="11" t="inlineStr">
        <is>
          <t>Script Ready</t>
        </is>
      </c>
      <c r="M122" s="12" t="inlineStr">
        <is>
          <t>Staging / Web Chrome</t>
        </is>
      </c>
      <c r="N122" s="12" t="inlineStr">
        <is>
          <t>Chrome v126 / Edge v126</t>
        </is>
      </c>
      <c r="O122" s="12" t="inlineStr">
        <is>
          <t>Screen-specific baseline case for Today Workout &amp; Hero Banner Section</t>
        </is>
      </c>
    </row>
    <row r="123" ht="36" customHeight="1">
      <c r="A123" s="11" t="inlineStr">
        <is>
          <t>TC-122</t>
        </is>
      </c>
      <c r="B123" s="12" t="inlineStr">
        <is>
          <t>HeroCard</t>
        </is>
      </c>
      <c r="C123" s="12" t="inlineStr">
        <is>
          <t>Selenium Web UI Testing</t>
        </is>
      </c>
      <c r="D123" s="12" t="inlineStr">
        <is>
          <t>Negative Input Form Validation on Today Workout &amp; Hero Banner Section</t>
        </is>
      </c>
      <c r="E123" s="12" t="inlineStr">
        <is>
          <t>1. Launch test runner in Staging / Web Chrome.
2. Navigate to Today Workout &amp; Hero Banner Section (HeroCard).
3. Focus input controls on HeroCard, enter out-of-bound strings, trigger blur event.
4. Verify expected results and log evidence.</t>
        </is>
      </c>
      <c r="F123" s="12" t="inlineStr">
        <is>
          <t>Input: invalid_string, Screen: HeroCard</t>
        </is>
      </c>
      <c r="G123" s="12" t="inlineStr">
        <is>
          <t>Validation badge displays accessible aria error message.</t>
        </is>
      </c>
      <c r="H123" s="12" t="inlineStr">
        <is>
          <t>Pending Execution</t>
        </is>
      </c>
      <c r="I123" s="13" t="inlineStr">
        <is>
          <t>Not Executed</t>
        </is>
      </c>
      <c r="J123" s="11" t="inlineStr">
        <is>
          <t>Medium</t>
        </is>
      </c>
      <c r="K123" s="11" t="inlineStr">
        <is>
          <t>Major</t>
        </is>
      </c>
      <c r="L123" s="11" t="inlineStr">
        <is>
          <t>Script Ready</t>
        </is>
      </c>
      <c r="M123" s="12" t="inlineStr">
        <is>
          <t>Staging / Web Chrome</t>
        </is>
      </c>
      <c r="N123" s="12" t="inlineStr">
        <is>
          <t>Chrome v126 / Edge v126</t>
        </is>
      </c>
      <c r="O123" s="12" t="inlineStr">
        <is>
          <t>Screen-specific baseline case for Today Workout &amp; Hero Banner Section</t>
        </is>
      </c>
    </row>
    <row r="124" ht="36" customHeight="1">
      <c r="A124" s="11" t="inlineStr">
        <is>
          <t>TC-123</t>
        </is>
      </c>
      <c r="B124" s="12" t="inlineStr">
        <is>
          <t>HeroCard</t>
        </is>
      </c>
      <c r="C124" s="12" t="inlineStr">
        <is>
          <t>Selenium Web UI Testing</t>
        </is>
      </c>
      <c r="D124" s="12" t="inlineStr">
        <is>
          <t>Boundary Viewport Responsiveness on Today Workout &amp; Hero Banner Section</t>
        </is>
      </c>
      <c r="E124" s="12" t="inlineStr">
        <is>
          <t>1. Launch test runner in Staging / Web Chrome.
2. Navigate to Today Workout &amp; Hero Banner Section (HeroCard).
3. Resize web browser window from 320px mobile breakpoint up to 4K desktop width.
4. Verify expected results and log evidence.</t>
        </is>
      </c>
      <c r="F124" s="12" t="inlineStr">
        <is>
          <t>Breakpoint Widths: [320, 768, 1024, 1440, 3840]</t>
        </is>
      </c>
      <c r="G124" s="12" t="inlineStr">
        <is>
          <t>Layout adapts responsively without overlapping UI text nodes.</t>
        </is>
      </c>
      <c r="H124" s="12" t="inlineStr">
        <is>
          <t>Pending Execution</t>
        </is>
      </c>
      <c r="I124" s="13" t="inlineStr">
        <is>
          <t>Not Executed</t>
        </is>
      </c>
      <c r="J124" s="11" t="inlineStr">
        <is>
          <t>High</t>
        </is>
      </c>
      <c r="K124" s="11" t="inlineStr">
        <is>
          <t>Moderate</t>
        </is>
      </c>
      <c r="L124" s="11" t="inlineStr">
        <is>
          <t>Script Ready</t>
        </is>
      </c>
      <c r="M124" s="12" t="inlineStr">
        <is>
          <t>Staging / Web Chrome</t>
        </is>
      </c>
      <c r="N124" s="12" t="inlineStr">
        <is>
          <t>Chrome v126 / Edge v126</t>
        </is>
      </c>
      <c r="O124" s="12" t="inlineStr">
        <is>
          <t>Screen-specific baseline case for Today Workout &amp; Hero Banner Section</t>
        </is>
      </c>
    </row>
    <row r="125" ht="36" customHeight="1">
      <c r="A125" s="11" t="inlineStr">
        <is>
          <t>TC-124</t>
        </is>
      </c>
      <c r="B125" s="12" t="inlineStr">
        <is>
          <t>HeroCard</t>
        </is>
      </c>
      <c r="C125" s="12" t="inlineStr">
        <is>
          <t>Selenium Web UI Testing</t>
        </is>
      </c>
      <c r="D125" s="12" t="inlineStr">
        <is>
          <t>Interactive Hover &amp; Focus Traversal on Today Workout &amp; Hero Banner Section</t>
        </is>
      </c>
      <c r="E125" s="12" t="inlineStr">
        <is>
          <t>1. Launch test runner in Staging / Web Chrome.
2. Navigate to Today Workout &amp; Hero Banner Section (HeroCard).
3. Tab through interactive focusable nodes on HeroCard, hover cursor over CTA buttons.
4. Verify expected results and log evidence.</t>
        </is>
      </c>
      <c r="F125" s="12" t="inlineStr">
        <is>
          <t>Key Navigation: TAB, Hover target: HeroCard</t>
        </is>
      </c>
      <c r="G125" s="12" t="inlineStr">
        <is>
          <t>Focus ring highlights elements in logical DOM tab order.</t>
        </is>
      </c>
      <c r="H125" s="12" t="inlineStr">
        <is>
          <t>Pending Execution</t>
        </is>
      </c>
      <c r="I125" s="13" t="inlineStr">
        <is>
          <t>Not Executed</t>
        </is>
      </c>
      <c r="J125" s="11" t="inlineStr">
        <is>
          <t>Medium</t>
        </is>
      </c>
      <c r="K125" s="11" t="inlineStr">
        <is>
          <t>Major</t>
        </is>
      </c>
      <c r="L125" s="11" t="inlineStr">
        <is>
          <t>Script Ready</t>
        </is>
      </c>
      <c r="M125" s="12" t="inlineStr">
        <is>
          <t>Staging / Web Chrome</t>
        </is>
      </c>
      <c r="N125" s="12" t="inlineStr">
        <is>
          <t>Chrome v126 / Edge v126</t>
        </is>
      </c>
      <c r="O125" s="12" t="inlineStr">
        <is>
          <t>Screen-specific baseline case for Today Workout &amp; Hero Banner Section</t>
        </is>
      </c>
    </row>
    <row r="126" ht="36" customHeight="1">
      <c r="A126" s="11" t="inlineStr">
        <is>
          <t>TC-125</t>
        </is>
      </c>
      <c r="B126" s="12" t="inlineStr">
        <is>
          <t>HeroCard</t>
        </is>
      </c>
      <c r="C126" s="12" t="inlineStr">
        <is>
          <t>Selenium Web UI Testing</t>
        </is>
      </c>
      <c r="D126" s="12" t="inlineStr">
        <is>
          <t>Cross-Browser Rendering Parity on Today Workout &amp; Hero Banner Section</t>
        </is>
      </c>
      <c r="E126" s="12" t="inlineStr">
        <is>
          <t>1. Launch test runner in Staging / Web Chrome.
2. Navigate to Today Workout &amp; Hero Banner Section (HeroCard).
3. Execute UI test suite for HeroCard across Chrome, Firefox, Safari, and Edge.
4. Verify expected results and log evidence.</t>
        </is>
      </c>
      <c r="F126" s="12" t="inlineStr">
        <is>
          <t>Browsers: Chrome, Firefox, Safari, Edge</t>
        </is>
      </c>
      <c r="G126" s="12" t="inlineStr">
        <is>
          <t>DOM element styles render identically with zero CSS misalignment.</t>
        </is>
      </c>
      <c r="H126" s="12" t="inlineStr">
        <is>
          <t>Pending Execution</t>
        </is>
      </c>
      <c r="I126" s="13" t="inlineStr">
        <is>
          <t>Not Executed</t>
        </is>
      </c>
      <c r="J126" s="11" t="inlineStr">
        <is>
          <t>Low</t>
        </is>
      </c>
      <c r="K126" s="11" t="inlineStr">
        <is>
          <t>Moderate</t>
        </is>
      </c>
      <c r="L126" s="11" t="inlineStr">
        <is>
          <t>Script Ready</t>
        </is>
      </c>
      <c r="M126" s="12" t="inlineStr">
        <is>
          <t>Staging / Web Chrome</t>
        </is>
      </c>
      <c r="N126" s="12" t="inlineStr">
        <is>
          <t>Chrome v126 / Edge v126</t>
        </is>
      </c>
      <c r="O126" s="12" t="inlineStr">
        <is>
          <t>Screen-specific baseline case for Today Workout &amp; Hero Banner Section</t>
        </is>
      </c>
    </row>
    <row r="127" ht="36" customHeight="1">
      <c r="A127" s="11" t="inlineStr">
        <is>
          <t>TC-126</t>
        </is>
      </c>
      <c r="B127" s="12" t="inlineStr">
        <is>
          <t>HeroCard</t>
        </is>
      </c>
      <c r="C127" s="12" t="inlineStr">
        <is>
          <t>Selenium Web UI Testing</t>
        </is>
      </c>
      <c r="D127" s="12" t="inlineStr">
        <is>
          <t>Arabic Right-to-Left (RTL) Layout on Today Workout &amp; Hero Banner Section</t>
        </is>
      </c>
      <c r="E127" s="12" t="inlineStr">
        <is>
          <t>1. Launch test runner in Staging / Web Chrome.
2. Navigate to Today Workout &amp; Hero Banner Section (HeroCard).
3. Switch locale to Arabic (ar_SA) on HeroCard, inspect text direction and icon mirroring.
4. Verify expected results and log evidence.</t>
        </is>
      </c>
      <c r="F127" s="12" t="inlineStr">
        <is>
          <t>Locale: ar_SA, Target: HeroCard</t>
        </is>
      </c>
      <c r="G127" s="12" t="inlineStr">
        <is>
          <t>UI flips to right-to-left layout with mirrored icons and aligned text.</t>
        </is>
      </c>
      <c r="H127" s="12" t="inlineStr">
        <is>
          <t>Pending Execution</t>
        </is>
      </c>
      <c r="I127" s="13" t="inlineStr">
        <is>
          <t>Not Executed</t>
        </is>
      </c>
      <c r="J127" s="11" t="inlineStr">
        <is>
          <t>High</t>
        </is>
      </c>
      <c r="K127" s="11" t="inlineStr">
        <is>
          <t>Critical</t>
        </is>
      </c>
      <c r="L127" s="11" t="inlineStr">
        <is>
          <t>Script Ready</t>
        </is>
      </c>
      <c r="M127" s="12" t="inlineStr">
        <is>
          <t>Staging / Web Chrome</t>
        </is>
      </c>
      <c r="N127" s="12" t="inlineStr">
        <is>
          <t>Chrome v126 / Edge v126</t>
        </is>
      </c>
      <c r="O127" s="12" t="inlineStr">
        <is>
          <t>Screen-specific baseline case for Today Workout &amp; Hero Banner Section</t>
        </is>
      </c>
    </row>
    <row r="128" ht="36" customHeight="1">
      <c r="A128" s="11" t="inlineStr">
        <is>
          <t>TC-127</t>
        </is>
      </c>
      <c r="B128" s="12" t="inlineStr">
        <is>
          <t>HeroCard</t>
        </is>
      </c>
      <c r="C128" s="12" t="inlineStr">
        <is>
          <t>Selenium Web UI Testing</t>
        </is>
      </c>
      <c r="D128" s="12" t="inlineStr">
        <is>
          <t>Localization &amp; Multi-Language Switching on Today Workout &amp; Hero Banner Section</t>
        </is>
      </c>
      <c r="E128" s="12" t="inlineStr">
        <is>
          <t>1. Launch test runner in Staging / Web Chrome.
2. Navigate to Today Workout &amp; Hero Banner Section (HeroCard).
3. Toggle header language dropdown on HeroCard between English, Hindi, and Arabic.
4. Verify expected results and log evidence.</t>
        </is>
      </c>
      <c r="F128" s="12" t="inlineStr">
        <is>
          <t>Locales: en, hi, ar</t>
        </is>
      </c>
      <c r="G128" s="12" t="inlineStr">
        <is>
          <t>All visible text strings update to selected language instantly.</t>
        </is>
      </c>
      <c r="H128" s="12" t="inlineStr">
        <is>
          <t>Pending Execution</t>
        </is>
      </c>
      <c r="I128" s="13" t="inlineStr">
        <is>
          <t>Not Executed</t>
        </is>
      </c>
      <c r="J128" s="11" t="inlineStr">
        <is>
          <t>Medium</t>
        </is>
      </c>
      <c r="K128" s="11" t="inlineStr">
        <is>
          <t>Moderate</t>
        </is>
      </c>
      <c r="L128" s="11" t="inlineStr">
        <is>
          <t>Script Ready</t>
        </is>
      </c>
      <c r="M128" s="12" t="inlineStr">
        <is>
          <t>Staging / Web Chrome</t>
        </is>
      </c>
      <c r="N128" s="12" t="inlineStr">
        <is>
          <t>Chrome v126 / Edge v126</t>
        </is>
      </c>
      <c r="O128" s="12" t="inlineStr">
        <is>
          <t>Screen-specific baseline case for Today Workout &amp; Hero Banner Section</t>
        </is>
      </c>
    </row>
    <row r="129" ht="36" customHeight="1">
      <c r="A129" s="11" t="inlineStr">
        <is>
          <t>TC-128</t>
        </is>
      </c>
      <c r="B129" s="12" t="inlineStr">
        <is>
          <t>HeroCard</t>
        </is>
      </c>
      <c r="C129" s="12" t="inlineStr">
        <is>
          <t>Selenium Web UI Testing</t>
        </is>
      </c>
      <c r="D129" s="12" t="inlineStr">
        <is>
          <t>Data Table &amp; Grid State Retention on Today Workout &amp; Hero Banner Section</t>
        </is>
      </c>
      <c r="E129" s="12" t="inlineStr">
        <is>
          <t>1. Launch test runner in Staging / Web Chrome.
2. Navigate to Today Workout &amp; Hero Banner Section (HeroCard).
3. Interact with data filters or state controls on HeroCard, navigate away and return.
4. Verify expected results and log evidence.</t>
        </is>
      </c>
      <c r="F129" s="12" t="inlineStr">
        <is>
          <t>State Payload: HeroCard_filter</t>
        </is>
      </c>
      <c r="G129" s="12" t="inlineStr">
        <is>
          <t>Screen preserves applied filter state without unexpected reset.</t>
        </is>
      </c>
      <c r="H129" s="12" t="inlineStr">
        <is>
          <t>Pending Execution</t>
        </is>
      </c>
      <c r="I129" s="13" t="inlineStr">
        <is>
          <t>Not Executed</t>
        </is>
      </c>
      <c r="J129" s="11" t="inlineStr">
        <is>
          <t>Medium</t>
        </is>
      </c>
      <c r="K129" s="11" t="inlineStr">
        <is>
          <t>Major</t>
        </is>
      </c>
      <c r="L129" s="11" t="inlineStr">
        <is>
          <t>Script Ready</t>
        </is>
      </c>
      <c r="M129" s="12" t="inlineStr">
        <is>
          <t>Staging / Web Chrome</t>
        </is>
      </c>
      <c r="N129" s="12" t="inlineStr">
        <is>
          <t>Chrome v126 / Edge v126</t>
        </is>
      </c>
      <c r="O129" s="12" t="inlineStr">
        <is>
          <t>Screen-specific baseline case for Today Workout &amp; Hero Banner Section</t>
        </is>
      </c>
    </row>
    <row r="130" ht="36" customHeight="1">
      <c r="A130" s="11" t="inlineStr">
        <is>
          <t>TC-129</t>
        </is>
      </c>
      <c r="B130" s="12" t="inlineStr">
        <is>
          <t>HeroCard</t>
        </is>
      </c>
      <c r="C130" s="12" t="inlineStr">
        <is>
          <t>Selenium Web UI Testing</t>
        </is>
      </c>
      <c r="D130" s="12" t="inlineStr">
        <is>
          <t>Modal Backdrop &amp; Keyboard Escape on Today Workout &amp; Hero Banner Section</t>
        </is>
      </c>
      <c r="E130" s="12" t="inlineStr">
        <is>
          <t>1. Launch test runner in Staging / Web Chrome.
2. Navigate to Today Workout &amp; Hero Banner Section (HeroCard).
3. Trigger pop-up dialog/modal on HeroCard, press Escape key to dismiss.
4. Verify expected results and log evidence.</t>
        </is>
      </c>
      <c r="F130" s="12" t="inlineStr">
        <is>
          <t>Modal Target: HeroCard</t>
        </is>
      </c>
      <c r="G130" s="12" t="inlineStr">
        <is>
          <t>Modal closes smoothly and returns focus to parent container.</t>
        </is>
      </c>
      <c r="H130" s="12" t="inlineStr">
        <is>
          <t>Pending Execution</t>
        </is>
      </c>
      <c r="I130" s="13" t="inlineStr">
        <is>
          <t>Not Executed</t>
        </is>
      </c>
      <c r="J130" s="11" t="inlineStr">
        <is>
          <t>High</t>
        </is>
      </c>
      <c r="K130" s="11" t="inlineStr">
        <is>
          <t>Moderate</t>
        </is>
      </c>
      <c r="L130" s="11" t="inlineStr">
        <is>
          <t>Script Ready</t>
        </is>
      </c>
      <c r="M130" s="12" t="inlineStr">
        <is>
          <t>Staging / Web Chrome</t>
        </is>
      </c>
      <c r="N130" s="12" t="inlineStr">
        <is>
          <t>Chrome v126 / Edge v126</t>
        </is>
      </c>
      <c r="O130" s="12" t="inlineStr">
        <is>
          <t>Screen-specific baseline case for Today Workout &amp; Hero Banner Section</t>
        </is>
      </c>
    </row>
    <row r="131" ht="36" customHeight="1">
      <c r="A131" s="11" t="inlineStr">
        <is>
          <t>TC-130</t>
        </is>
      </c>
      <c r="B131" s="12" t="inlineStr">
        <is>
          <t>HeroCard</t>
        </is>
      </c>
      <c r="C131" s="12" t="inlineStr">
        <is>
          <t>Selenium Web UI Testing</t>
        </is>
      </c>
      <c r="D131" s="12" t="inlineStr">
        <is>
          <t>Network Failure UI Fallback on Today Workout &amp; Hero Banner Section</t>
        </is>
      </c>
      <c r="E131" s="12" t="inlineStr">
        <is>
          <t>1. Launch test runner in Staging / Web Chrome.
2. Navigate to Today Workout &amp; Hero Banner Section (HeroCard).
3. Throttled network to offline mode while viewing HeroCard, attempt UI interaction.
4. Verify expected results and log evidence.</t>
        </is>
      </c>
      <c r="F131" s="12" t="inlineStr">
        <is>
          <t>Network: Offline, Target: HeroCard</t>
        </is>
      </c>
      <c r="G131" s="12" t="inlineStr">
        <is>
          <t>User-friendly offline banner appears with retry button.</t>
        </is>
      </c>
      <c r="H131" s="12" t="inlineStr">
        <is>
          <t>Pending Execution</t>
        </is>
      </c>
      <c r="I131" s="13" t="inlineStr">
        <is>
          <t>Not Executed</t>
        </is>
      </c>
      <c r="J131" s="11" t="inlineStr">
        <is>
          <t>Low</t>
        </is>
      </c>
      <c r="K131" s="11" t="inlineStr">
        <is>
          <t>Major</t>
        </is>
      </c>
      <c r="L131" s="11" t="inlineStr">
        <is>
          <t>Script Ready</t>
        </is>
      </c>
      <c r="M131" s="12" t="inlineStr">
        <is>
          <t>Staging / Web Chrome</t>
        </is>
      </c>
      <c r="N131" s="12" t="inlineStr">
        <is>
          <t>Chrome v126 / Edge v126</t>
        </is>
      </c>
      <c r="O131" s="12" t="inlineStr">
        <is>
          <t>Screen-specific baseline case for Today Workout &amp; Hero Banner Section</t>
        </is>
      </c>
    </row>
    <row r="132" ht="36" customHeight="1">
      <c r="A132" s="11" t="inlineStr">
        <is>
          <t>TC-131</t>
        </is>
      </c>
      <c r="B132" s="12" t="inlineStr">
        <is>
          <t>WorkoutDayCard</t>
        </is>
      </c>
      <c r="C132" s="12" t="inlineStr">
        <is>
          <t>Selenium Web UI Testing</t>
        </is>
      </c>
      <c r="D132" s="12" t="inlineStr">
        <is>
          <t>Positive Web UI Layout on Daily Exercise Routine &amp; Set Tracking</t>
        </is>
      </c>
      <c r="E132" s="12" t="inlineStr">
        <is>
          <t>1. Launch test runner in Staging / Web Chrome.
2. Navigate to Daily Exercise Routine &amp; Set Tracking (WorkoutDayCard).
3. Launch browser, navigate to WorkoutDayCard, verify grid container alignment and responsive element scaling.
4. Verify expected results and log evidence.</t>
        </is>
      </c>
      <c r="F132" s="12" t="inlineStr">
        <is>
          <t>Viewport: 1920x1080, Screen: WorkoutDayCard</t>
        </is>
      </c>
      <c r="G132" s="12" t="inlineStr">
        <is>
          <t>UI components align cleanly without scrollbar clipping or overflow.</t>
        </is>
      </c>
      <c r="H132" s="12" t="inlineStr">
        <is>
          <t>Pending Execution</t>
        </is>
      </c>
      <c r="I132" s="13" t="inlineStr">
        <is>
          <t>Not Executed</t>
        </is>
      </c>
      <c r="J132" s="11" t="inlineStr">
        <is>
          <t>Medium</t>
        </is>
      </c>
      <c r="K132" s="11" t="inlineStr">
        <is>
          <t>Moderate</t>
        </is>
      </c>
      <c r="L132" s="11" t="inlineStr">
        <is>
          <t>Script Ready</t>
        </is>
      </c>
      <c r="M132" s="12" t="inlineStr">
        <is>
          <t>Staging / Web Chrome</t>
        </is>
      </c>
      <c r="N132" s="12" t="inlineStr">
        <is>
          <t>Chrome v126 / Edge v126</t>
        </is>
      </c>
      <c r="O132" s="12" t="inlineStr">
        <is>
          <t>Screen-specific baseline case for Daily Exercise Routine &amp; Set Tracking</t>
        </is>
      </c>
    </row>
    <row r="133" ht="36" customHeight="1">
      <c r="A133" s="11" t="inlineStr">
        <is>
          <t>TC-132</t>
        </is>
      </c>
      <c r="B133" s="12" t="inlineStr">
        <is>
          <t>WorkoutDayCard</t>
        </is>
      </c>
      <c r="C133" s="12" t="inlineStr">
        <is>
          <t>Selenium Web UI Testing</t>
        </is>
      </c>
      <c r="D133" s="12" t="inlineStr">
        <is>
          <t>Negative Input Form Validation on Daily Exercise Routine &amp; Set Tracking</t>
        </is>
      </c>
      <c r="E133" s="12" t="inlineStr">
        <is>
          <t>1. Launch test runner in Staging / Web Chrome.
2. Navigate to Daily Exercise Routine &amp; Set Tracking (WorkoutDayCard).
3. Focus input controls on WorkoutDayCard, enter out-of-bound strings, trigger blur event.
4. Verify expected results and log evidence.</t>
        </is>
      </c>
      <c r="F133" s="12" t="inlineStr">
        <is>
          <t>Input: invalid_string, Screen: WorkoutDayCard</t>
        </is>
      </c>
      <c r="G133" s="12" t="inlineStr">
        <is>
          <t>Validation badge displays accessible aria error message.</t>
        </is>
      </c>
      <c r="H133" s="12" t="inlineStr">
        <is>
          <t>Pending Execution</t>
        </is>
      </c>
      <c r="I133" s="13" t="inlineStr">
        <is>
          <t>Not Executed</t>
        </is>
      </c>
      <c r="J133" s="11" t="inlineStr">
        <is>
          <t>High</t>
        </is>
      </c>
      <c r="K133" s="11" t="inlineStr">
        <is>
          <t>Major</t>
        </is>
      </c>
      <c r="L133" s="11" t="inlineStr">
        <is>
          <t>Script Ready</t>
        </is>
      </c>
      <c r="M133" s="12" t="inlineStr">
        <is>
          <t>Staging / Web Chrome</t>
        </is>
      </c>
      <c r="N133" s="12" t="inlineStr">
        <is>
          <t>Chrome v126 / Edge v126</t>
        </is>
      </c>
      <c r="O133" s="12" t="inlineStr">
        <is>
          <t>Screen-specific baseline case for Daily Exercise Routine &amp; Set Tracking</t>
        </is>
      </c>
    </row>
    <row r="134" ht="36" customHeight="1">
      <c r="A134" s="11" t="inlineStr">
        <is>
          <t>TC-133</t>
        </is>
      </c>
      <c r="B134" s="12" t="inlineStr">
        <is>
          <t>WorkoutDayCard</t>
        </is>
      </c>
      <c r="C134" s="12" t="inlineStr">
        <is>
          <t>Selenium Web UI Testing</t>
        </is>
      </c>
      <c r="D134" s="12" t="inlineStr">
        <is>
          <t>Boundary Viewport Responsiveness on Daily Exercise Routine &amp; Set Tracking</t>
        </is>
      </c>
      <c r="E134" s="12" t="inlineStr">
        <is>
          <t>1. Launch test runner in Staging / Web Chrome.
2. Navigate to Daily Exercise Routine &amp; Set Tracking (WorkoutDayCard).
3. Resize web browser window from 320px mobile breakpoint up to 4K desktop width.
4. Verify expected results and log evidence.</t>
        </is>
      </c>
      <c r="F134" s="12" t="inlineStr">
        <is>
          <t>Breakpoint Widths: [320, 768, 1024, 1440, 3840]</t>
        </is>
      </c>
      <c r="G134" s="12" t="inlineStr">
        <is>
          <t>Layout adapts responsively without overlapping UI text nodes.</t>
        </is>
      </c>
      <c r="H134" s="12" t="inlineStr">
        <is>
          <t>Pending Execution</t>
        </is>
      </c>
      <c r="I134" s="13" t="inlineStr">
        <is>
          <t>Not Executed</t>
        </is>
      </c>
      <c r="J134" s="11" t="inlineStr">
        <is>
          <t>Medium</t>
        </is>
      </c>
      <c r="K134" s="11" t="inlineStr">
        <is>
          <t>Critical</t>
        </is>
      </c>
      <c r="L134" s="11" t="inlineStr">
        <is>
          <t>Script Ready</t>
        </is>
      </c>
      <c r="M134" s="12" t="inlineStr">
        <is>
          <t>Staging / Web Chrome</t>
        </is>
      </c>
      <c r="N134" s="12" t="inlineStr">
        <is>
          <t>Chrome v126 / Edge v126</t>
        </is>
      </c>
      <c r="O134" s="12" t="inlineStr">
        <is>
          <t>Screen-specific baseline case for Daily Exercise Routine &amp; Set Tracking</t>
        </is>
      </c>
    </row>
    <row r="135" ht="36" customHeight="1">
      <c r="A135" s="11" t="inlineStr">
        <is>
          <t>TC-134</t>
        </is>
      </c>
      <c r="B135" s="12" t="inlineStr">
        <is>
          <t>WorkoutDayCard</t>
        </is>
      </c>
      <c r="C135" s="12" t="inlineStr">
        <is>
          <t>Selenium Web UI Testing</t>
        </is>
      </c>
      <c r="D135" s="12" t="inlineStr">
        <is>
          <t>Interactive Hover &amp; Focus Traversal on Daily Exercise Routine &amp; Set Tracking</t>
        </is>
      </c>
      <c r="E135" s="12" t="inlineStr">
        <is>
          <t>1. Launch test runner in Staging / Web Chrome.
2. Navigate to Daily Exercise Routine &amp; Set Tracking (WorkoutDayCard).
3. Tab through interactive focusable nodes on WorkoutDayCard, hover cursor over CTA buttons.
4. Verify expected results and log evidence.</t>
        </is>
      </c>
      <c r="F135" s="12" t="inlineStr">
        <is>
          <t>Key Navigation: TAB, Hover target: WorkoutDayCard</t>
        </is>
      </c>
      <c r="G135" s="12" t="inlineStr">
        <is>
          <t>Focus ring highlights elements in logical DOM tab order.</t>
        </is>
      </c>
      <c r="H135" s="12" t="inlineStr">
        <is>
          <t>Pending Execution</t>
        </is>
      </c>
      <c r="I135" s="13" t="inlineStr">
        <is>
          <t>Not Executed</t>
        </is>
      </c>
      <c r="J135" s="11" t="inlineStr">
        <is>
          <t>Medium</t>
        </is>
      </c>
      <c r="K135" s="11" t="inlineStr">
        <is>
          <t>Major</t>
        </is>
      </c>
      <c r="L135" s="11" t="inlineStr">
        <is>
          <t>Script Ready</t>
        </is>
      </c>
      <c r="M135" s="12" t="inlineStr">
        <is>
          <t>Staging / Web Chrome</t>
        </is>
      </c>
      <c r="N135" s="12" t="inlineStr">
        <is>
          <t>Chrome v126 / Edge v126</t>
        </is>
      </c>
      <c r="O135" s="12" t="inlineStr">
        <is>
          <t>Screen-specific baseline case for Daily Exercise Routine &amp; Set Tracking</t>
        </is>
      </c>
    </row>
    <row r="136" ht="36" customHeight="1">
      <c r="A136" s="11" t="inlineStr">
        <is>
          <t>TC-135</t>
        </is>
      </c>
      <c r="B136" s="12" t="inlineStr">
        <is>
          <t>WorkoutDayCard</t>
        </is>
      </c>
      <c r="C136" s="12" t="inlineStr">
        <is>
          <t>Selenium Web UI Testing</t>
        </is>
      </c>
      <c r="D136" s="12" t="inlineStr">
        <is>
          <t>Cross-Browser Rendering Parity on Daily Exercise Routine &amp; Set Tracking</t>
        </is>
      </c>
      <c r="E136" s="12" t="inlineStr">
        <is>
          <t>1. Launch test runner in Staging / Web Chrome.
2. Navigate to Daily Exercise Routine &amp; Set Tracking (WorkoutDayCard).
3. Execute UI test suite for WorkoutDayCard across Chrome, Firefox, Safari, and Edge.
4. Verify expected results and log evidence.</t>
        </is>
      </c>
      <c r="F136" s="12" t="inlineStr">
        <is>
          <t>Browsers: Chrome, Firefox, Safari, Edge</t>
        </is>
      </c>
      <c r="G136" s="12" t="inlineStr">
        <is>
          <t>DOM element styles render identically with zero CSS misalignment.</t>
        </is>
      </c>
      <c r="H136" s="12" t="inlineStr">
        <is>
          <t>Pending Execution</t>
        </is>
      </c>
      <c r="I136" s="13" t="inlineStr">
        <is>
          <t>Not Executed</t>
        </is>
      </c>
      <c r="J136" s="11" t="inlineStr">
        <is>
          <t>High</t>
        </is>
      </c>
      <c r="K136" s="11" t="inlineStr">
        <is>
          <t>Moderate</t>
        </is>
      </c>
      <c r="L136" s="11" t="inlineStr">
        <is>
          <t>Script Ready</t>
        </is>
      </c>
      <c r="M136" s="12" t="inlineStr">
        <is>
          <t>Staging / Web Chrome</t>
        </is>
      </c>
      <c r="N136" s="12" t="inlineStr">
        <is>
          <t>Chrome v126 / Edge v126</t>
        </is>
      </c>
      <c r="O136" s="12" t="inlineStr">
        <is>
          <t>Screen-specific baseline case for Daily Exercise Routine &amp; Set Tracking</t>
        </is>
      </c>
    </row>
    <row r="137" ht="36" customHeight="1">
      <c r="A137" s="11" t="inlineStr">
        <is>
          <t>TC-136</t>
        </is>
      </c>
      <c r="B137" s="12" t="inlineStr">
        <is>
          <t>WorkoutDayCard</t>
        </is>
      </c>
      <c r="C137" s="12" t="inlineStr">
        <is>
          <t>Selenium Web UI Testing</t>
        </is>
      </c>
      <c r="D137" s="12" t="inlineStr">
        <is>
          <t>Arabic Right-to-Left (RTL) Layout on Daily Exercise Routine &amp; Set Tracking</t>
        </is>
      </c>
      <c r="E137" s="12" t="inlineStr">
        <is>
          <t>1. Launch test runner in Staging / Web Chrome.
2. Navigate to Daily Exercise Routine &amp; Set Tracking (WorkoutDayCard).
3. Switch locale to Arabic (ar_SA) on WorkoutDayCard, inspect text direction and icon mirroring.
4. Verify expected results and log evidence.</t>
        </is>
      </c>
      <c r="F137" s="12" t="inlineStr">
        <is>
          <t>Locale: ar_SA, Target: WorkoutDayCard</t>
        </is>
      </c>
      <c r="G137" s="12" t="inlineStr">
        <is>
          <t>UI flips to right-to-left layout with mirrored icons and aligned text.</t>
        </is>
      </c>
      <c r="H137" s="12" t="inlineStr">
        <is>
          <t>Pending Execution</t>
        </is>
      </c>
      <c r="I137" s="13" t="inlineStr">
        <is>
          <t>Not Executed</t>
        </is>
      </c>
      <c r="J137" s="11" t="inlineStr">
        <is>
          <t>Medium</t>
        </is>
      </c>
      <c r="K137" s="11" t="inlineStr">
        <is>
          <t>Major</t>
        </is>
      </c>
      <c r="L137" s="11" t="inlineStr">
        <is>
          <t>Script Ready</t>
        </is>
      </c>
      <c r="M137" s="12" t="inlineStr">
        <is>
          <t>Staging / Web Chrome</t>
        </is>
      </c>
      <c r="N137" s="12" t="inlineStr">
        <is>
          <t>Chrome v126 / Edge v126</t>
        </is>
      </c>
      <c r="O137" s="12" t="inlineStr">
        <is>
          <t>Screen-specific baseline case for Daily Exercise Routine &amp; Set Tracking</t>
        </is>
      </c>
    </row>
    <row r="138" ht="36" customHeight="1">
      <c r="A138" s="11" t="inlineStr">
        <is>
          <t>TC-137</t>
        </is>
      </c>
      <c r="B138" s="12" t="inlineStr">
        <is>
          <t>WorkoutDayCard</t>
        </is>
      </c>
      <c r="C138" s="12" t="inlineStr">
        <is>
          <t>Selenium Web UI Testing</t>
        </is>
      </c>
      <c r="D138" s="12" t="inlineStr">
        <is>
          <t>Localization &amp; Multi-Language Switching on Daily Exercise Routine &amp; Set Tracking</t>
        </is>
      </c>
      <c r="E138" s="12" t="inlineStr">
        <is>
          <t>1. Launch test runner in Staging / Web Chrome.
2. Navigate to Daily Exercise Routine &amp; Set Tracking (WorkoutDayCard).
3. Toggle header language dropdown on WorkoutDayCard between English, Hindi, and Arabic.
4. Verify expected results and log evidence.</t>
        </is>
      </c>
      <c r="F138" s="12" t="inlineStr">
        <is>
          <t>Locales: en, hi, ar</t>
        </is>
      </c>
      <c r="G138" s="12" t="inlineStr">
        <is>
          <t>All visible text strings update to selected language instantly.</t>
        </is>
      </c>
      <c r="H138" s="12" t="inlineStr">
        <is>
          <t>Pending Execution</t>
        </is>
      </c>
      <c r="I138" s="13" t="inlineStr">
        <is>
          <t>Not Executed</t>
        </is>
      </c>
      <c r="J138" s="11" t="inlineStr">
        <is>
          <t>Medium</t>
        </is>
      </c>
      <c r="K138" s="11" t="inlineStr">
        <is>
          <t>Moderate</t>
        </is>
      </c>
      <c r="L138" s="11" t="inlineStr">
        <is>
          <t>Script Ready</t>
        </is>
      </c>
      <c r="M138" s="12" t="inlineStr">
        <is>
          <t>Staging / Web Chrome</t>
        </is>
      </c>
      <c r="N138" s="12" t="inlineStr">
        <is>
          <t>Chrome v126 / Edge v126</t>
        </is>
      </c>
      <c r="O138" s="12" t="inlineStr">
        <is>
          <t>Screen-specific baseline case for Daily Exercise Routine &amp; Set Tracking</t>
        </is>
      </c>
    </row>
    <row r="139" ht="36" customHeight="1">
      <c r="A139" s="11" t="inlineStr">
        <is>
          <t>TC-138</t>
        </is>
      </c>
      <c r="B139" s="12" t="inlineStr">
        <is>
          <t>WorkoutDayCard</t>
        </is>
      </c>
      <c r="C139" s="12" t="inlineStr">
        <is>
          <t>Selenium Web UI Testing</t>
        </is>
      </c>
      <c r="D139" s="12" t="inlineStr">
        <is>
          <t>Data Table &amp; Grid State Retention on Daily Exercise Routine &amp; Set Tracking</t>
        </is>
      </c>
      <c r="E139" s="12" t="inlineStr">
        <is>
          <t>1. Launch test runner in Staging / Web Chrome.
2. Navigate to Daily Exercise Routine &amp; Set Tracking (WorkoutDayCard).
3. Interact with data filters or state controls on WorkoutDayCard, navigate away and return.
4. Verify expected results and log evidence.</t>
        </is>
      </c>
      <c r="F139" s="12" t="inlineStr">
        <is>
          <t>State Payload: WorkoutDayCard_filter</t>
        </is>
      </c>
      <c r="G139" s="12" t="inlineStr">
        <is>
          <t>Screen preserves applied filter state without unexpected reset.</t>
        </is>
      </c>
      <c r="H139" s="12" t="inlineStr">
        <is>
          <t>Pending Execution</t>
        </is>
      </c>
      <c r="I139" s="13" t="inlineStr">
        <is>
          <t>Not Executed</t>
        </is>
      </c>
      <c r="J139" s="11" t="inlineStr">
        <is>
          <t>High</t>
        </is>
      </c>
      <c r="K139" s="11" t="inlineStr">
        <is>
          <t>Major</t>
        </is>
      </c>
      <c r="L139" s="11" t="inlineStr">
        <is>
          <t>Script Ready</t>
        </is>
      </c>
      <c r="M139" s="12" t="inlineStr">
        <is>
          <t>Staging / Web Chrome</t>
        </is>
      </c>
      <c r="N139" s="12" t="inlineStr">
        <is>
          <t>Chrome v126 / Edge v126</t>
        </is>
      </c>
      <c r="O139" s="12" t="inlineStr">
        <is>
          <t>Screen-specific baseline case for Daily Exercise Routine &amp; Set Tracking</t>
        </is>
      </c>
    </row>
    <row r="140" ht="36" customHeight="1">
      <c r="A140" s="11" t="inlineStr">
        <is>
          <t>TC-139</t>
        </is>
      </c>
      <c r="B140" s="12" t="inlineStr">
        <is>
          <t>WorkoutDayCard</t>
        </is>
      </c>
      <c r="C140" s="12" t="inlineStr">
        <is>
          <t>Selenium Web UI Testing</t>
        </is>
      </c>
      <c r="D140" s="12" t="inlineStr">
        <is>
          <t>Modal Backdrop &amp; Keyboard Escape on Daily Exercise Routine &amp; Set Tracking</t>
        </is>
      </c>
      <c r="E140" s="12" t="inlineStr">
        <is>
          <t>1. Launch test runner in Staging / Web Chrome.
2. Navigate to Daily Exercise Routine &amp; Set Tracking (WorkoutDayCard).
3. Trigger pop-up dialog/modal on WorkoutDayCard, press Escape key to dismiss.
4. Verify expected results and log evidence.</t>
        </is>
      </c>
      <c r="F140" s="12" t="inlineStr">
        <is>
          <t>Modal Target: WorkoutDayCard</t>
        </is>
      </c>
      <c r="G140" s="12" t="inlineStr">
        <is>
          <t>Modal closes smoothly and returns focus to parent container.</t>
        </is>
      </c>
      <c r="H140" s="12" t="inlineStr">
        <is>
          <t>Pending Execution</t>
        </is>
      </c>
      <c r="I140" s="13" t="inlineStr">
        <is>
          <t>Not Executed</t>
        </is>
      </c>
      <c r="J140" s="11" t="inlineStr">
        <is>
          <t>Medium</t>
        </is>
      </c>
      <c r="K140" s="11" t="inlineStr">
        <is>
          <t>Moderate</t>
        </is>
      </c>
      <c r="L140" s="11" t="inlineStr">
        <is>
          <t>Script Ready</t>
        </is>
      </c>
      <c r="M140" s="12" t="inlineStr">
        <is>
          <t>Staging / Web Chrome</t>
        </is>
      </c>
      <c r="N140" s="12" t="inlineStr">
        <is>
          <t>Chrome v126 / Edge v126</t>
        </is>
      </c>
      <c r="O140" s="12" t="inlineStr">
        <is>
          <t>Screen-specific baseline case for Daily Exercise Routine &amp; Set Tracking</t>
        </is>
      </c>
    </row>
    <row r="141" ht="36" customHeight="1">
      <c r="A141" s="11" t="inlineStr">
        <is>
          <t>TC-140</t>
        </is>
      </c>
      <c r="B141" s="12" t="inlineStr">
        <is>
          <t>WorkoutDayCard</t>
        </is>
      </c>
      <c r="C141" s="12" t="inlineStr">
        <is>
          <t>Selenium Web UI Testing</t>
        </is>
      </c>
      <c r="D141" s="12" t="inlineStr">
        <is>
          <t>Network Failure UI Fallback on Daily Exercise Routine &amp; Set Tracking</t>
        </is>
      </c>
      <c r="E141" s="12" t="inlineStr">
        <is>
          <t>1. Launch test runner in Staging / Web Chrome.
2. Navigate to Daily Exercise Routine &amp; Set Tracking (WorkoutDayCard).
3. Throttled network to offline mode while viewing WorkoutDayCard, attempt UI interaction.
4. Verify expected results and log evidence.</t>
        </is>
      </c>
      <c r="F141" s="12" t="inlineStr">
        <is>
          <t>Network: Offline, Target: WorkoutDayCard</t>
        </is>
      </c>
      <c r="G141" s="12" t="inlineStr">
        <is>
          <t>User-friendly offline banner appears with retry button.</t>
        </is>
      </c>
      <c r="H141" s="12" t="inlineStr">
        <is>
          <t>Pending Execution</t>
        </is>
      </c>
      <c r="I141" s="13" t="inlineStr">
        <is>
          <t>Not Executed</t>
        </is>
      </c>
      <c r="J141" s="11" t="inlineStr">
        <is>
          <t>Low</t>
        </is>
      </c>
      <c r="K141" s="11" t="inlineStr">
        <is>
          <t>Critical</t>
        </is>
      </c>
      <c r="L141" s="11" t="inlineStr">
        <is>
          <t>Script Ready</t>
        </is>
      </c>
      <c r="M141" s="12" t="inlineStr">
        <is>
          <t>Staging / Web Chrome</t>
        </is>
      </c>
      <c r="N141" s="12" t="inlineStr">
        <is>
          <t>Chrome v126 / Edge v126</t>
        </is>
      </c>
      <c r="O141" s="12" t="inlineStr">
        <is>
          <t>Screen-specific baseline case for Daily Exercise Routine &amp; Set Tracking</t>
        </is>
      </c>
    </row>
    <row r="142" ht="36" customHeight="1">
      <c r="A142" s="11" t="inlineStr">
        <is>
          <t>TC-141</t>
        </is>
      </c>
      <c r="B142" s="12" t="inlineStr">
        <is>
          <t>WarmupCard</t>
        </is>
      </c>
      <c r="C142" s="12" t="inlineStr">
        <is>
          <t>Selenium Web UI Testing</t>
        </is>
      </c>
      <c r="D142" s="12" t="inlineStr">
        <is>
          <t>Positive Web UI Layout on Stretching &amp; Warm-up Routine View</t>
        </is>
      </c>
      <c r="E142" s="12" t="inlineStr">
        <is>
          <t>1. Launch test runner in Staging / Web Chrome.
2. Navigate to Stretching &amp; Warm-up Routine View (WarmupCard).
3. Launch browser, navigate to WarmupCard, verify grid container alignment and responsive element scaling.
4. Verify expected results and log evidence.</t>
        </is>
      </c>
      <c r="F142" s="12" t="inlineStr">
        <is>
          <t>Viewport: 1920x1080, Screen: WarmupCard</t>
        </is>
      </c>
      <c r="G142" s="12" t="inlineStr">
        <is>
          <t>UI components align cleanly without scrollbar clipping or overflow.</t>
        </is>
      </c>
      <c r="H142" s="12" t="inlineStr">
        <is>
          <t>Pending Execution</t>
        </is>
      </c>
      <c r="I142" s="13" t="inlineStr">
        <is>
          <t>Not Executed</t>
        </is>
      </c>
      <c r="J142" s="11" t="inlineStr">
        <is>
          <t>High</t>
        </is>
      </c>
      <c r="K142" s="11" t="inlineStr">
        <is>
          <t>Moderate</t>
        </is>
      </c>
      <c r="L142" s="11" t="inlineStr">
        <is>
          <t>Script Ready</t>
        </is>
      </c>
      <c r="M142" s="12" t="inlineStr">
        <is>
          <t>Staging / Web Chrome</t>
        </is>
      </c>
      <c r="N142" s="12" t="inlineStr">
        <is>
          <t>Chrome v126 / Edge v126</t>
        </is>
      </c>
      <c r="O142" s="12" t="inlineStr">
        <is>
          <t>Screen-specific baseline case for Stretching &amp; Warm-up Routine View</t>
        </is>
      </c>
    </row>
    <row r="143" ht="36" customHeight="1">
      <c r="A143" s="11" t="inlineStr">
        <is>
          <t>TC-142</t>
        </is>
      </c>
      <c r="B143" s="12" t="inlineStr">
        <is>
          <t>WarmupCard</t>
        </is>
      </c>
      <c r="C143" s="12" t="inlineStr">
        <is>
          <t>Selenium Web UI Testing</t>
        </is>
      </c>
      <c r="D143" s="12" t="inlineStr">
        <is>
          <t>Negative Input Form Validation on Stretching &amp; Warm-up Routine View</t>
        </is>
      </c>
      <c r="E143" s="12" t="inlineStr">
        <is>
          <t>1. Launch test runner in Staging / Web Chrome.
2. Navigate to Stretching &amp; Warm-up Routine View (WarmupCard).
3. Focus input controls on WarmupCard, enter out-of-bound strings, trigger blur event.
4. Verify expected results and log evidence.</t>
        </is>
      </c>
      <c r="F143" s="12" t="inlineStr">
        <is>
          <t>Input: invalid_string, Screen: WarmupCard</t>
        </is>
      </c>
      <c r="G143" s="12" t="inlineStr">
        <is>
          <t>Validation badge displays accessible aria error message.</t>
        </is>
      </c>
      <c r="H143" s="12" t="inlineStr">
        <is>
          <t>Pending Execution</t>
        </is>
      </c>
      <c r="I143" s="13" t="inlineStr">
        <is>
          <t>Not Executed</t>
        </is>
      </c>
      <c r="J143" s="11" t="inlineStr">
        <is>
          <t>Medium</t>
        </is>
      </c>
      <c r="K143" s="11" t="inlineStr">
        <is>
          <t>Major</t>
        </is>
      </c>
      <c r="L143" s="11" t="inlineStr">
        <is>
          <t>Script Ready</t>
        </is>
      </c>
      <c r="M143" s="12" t="inlineStr">
        <is>
          <t>Staging / Web Chrome</t>
        </is>
      </c>
      <c r="N143" s="12" t="inlineStr">
        <is>
          <t>Chrome v126 / Edge v126</t>
        </is>
      </c>
      <c r="O143" s="12" t="inlineStr">
        <is>
          <t>Screen-specific baseline case for Stretching &amp; Warm-up Routine View</t>
        </is>
      </c>
    </row>
    <row r="144" ht="36" customHeight="1">
      <c r="A144" s="11" t="inlineStr">
        <is>
          <t>TC-143</t>
        </is>
      </c>
      <c r="B144" s="12" t="inlineStr">
        <is>
          <t>WarmupCard</t>
        </is>
      </c>
      <c r="C144" s="12" t="inlineStr">
        <is>
          <t>Selenium Web UI Testing</t>
        </is>
      </c>
      <c r="D144" s="12" t="inlineStr">
        <is>
          <t>Boundary Viewport Responsiveness on Stretching &amp; Warm-up Routine View</t>
        </is>
      </c>
      <c r="E144" s="12" t="inlineStr">
        <is>
          <t>1. Launch test runner in Staging / Web Chrome.
2. Navigate to Stretching &amp; Warm-up Routine View (WarmupCard).
3. Resize web browser window from 320px mobile breakpoint up to 4K desktop width.
4. Verify expected results and log evidence.</t>
        </is>
      </c>
      <c r="F144" s="12" t="inlineStr">
        <is>
          <t>Breakpoint Widths: [320, 768, 1024, 1440, 3840]</t>
        </is>
      </c>
      <c r="G144" s="12" t="inlineStr">
        <is>
          <t>Layout adapts responsively without overlapping UI text nodes.</t>
        </is>
      </c>
      <c r="H144" s="12" t="inlineStr">
        <is>
          <t>Pending Execution</t>
        </is>
      </c>
      <c r="I144" s="13" t="inlineStr">
        <is>
          <t>Not Executed</t>
        </is>
      </c>
      <c r="J144" s="11" t="inlineStr">
        <is>
          <t>Medium</t>
        </is>
      </c>
      <c r="K144" s="11" t="inlineStr">
        <is>
          <t>Moderate</t>
        </is>
      </c>
      <c r="L144" s="11" t="inlineStr">
        <is>
          <t>Script Ready</t>
        </is>
      </c>
      <c r="M144" s="12" t="inlineStr">
        <is>
          <t>Staging / Web Chrome</t>
        </is>
      </c>
      <c r="N144" s="12" t="inlineStr">
        <is>
          <t>Chrome v126 / Edge v126</t>
        </is>
      </c>
      <c r="O144" s="12" t="inlineStr">
        <is>
          <t>Screen-specific baseline case for Stretching &amp; Warm-up Routine View</t>
        </is>
      </c>
    </row>
    <row r="145" ht="36" customHeight="1">
      <c r="A145" s="11" t="inlineStr">
        <is>
          <t>TC-144</t>
        </is>
      </c>
      <c r="B145" s="12" t="inlineStr">
        <is>
          <t>WarmupCard</t>
        </is>
      </c>
      <c r="C145" s="12" t="inlineStr">
        <is>
          <t>Selenium Web UI Testing</t>
        </is>
      </c>
      <c r="D145" s="12" t="inlineStr">
        <is>
          <t>Interactive Hover &amp; Focus Traversal on Stretching &amp; Warm-up Routine View</t>
        </is>
      </c>
      <c r="E145" s="12" t="inlineStr">
        <is>
          <t>1. Launch test runner in Staging / Web Chrome.
2. Navigate to Stretching &amp; Warm-up Routine View (WarmupCard).
3. Tab through interactive focusable nodes on WarmupCard, hover cursor over CTA buttons.
4. Verify expected results and log evidence.</t>
        </is>
      </c>
      <c r="F145" s="12" t="inlineStr">
        <is>
          <t>Key Navigation: TAB, Hover target: WarmupCard</t>
        </is>
      </c>
      <c r="G145" s="12" t="inlineStr">
        <is>
          <t>Focus ring highlights elements in logical DOM tab order.</t>
        </is>
      </c>
      <c r="H145" s="12" t="inlineStr">
        <is>
          <t>Pending Execution</t>
        </is>
      </c>
      <c r="I145" s="13" t="inlineStr">
        <is>
          <t>Not Executed</t>
        </is>
      </c>
      <c r="J145" s="11" t="inlineStr">
        <is>
          <t>High</t>
        </is>
      </c>
      <c r="K145" s="11" t="inlineStr">
        <is>
          <t>Major</t>
        </is>
      </c>
      <c r="L145" s="11" t="inlineStr">
        <is>
          <t>Script Ready</t>
        </is>
      </c>
      <c r="M145" s="12" t="inlineStr">
        <is>
          <t>Staging / Web Chrome</t>
        </is>
      </c>
      <c r="N145" s="12" t="inlineStr">
        <is>
          <t>Chrome v126 / Edge v126</t>
        </is>
      </c>
      <c r="O145" s="12" t="inlineStr">
        <is>
          <t>Screen-specific baseline case for Stretching &amp; Warm-up Routine View</t>
        </is>
      </c>
    </row>
    <row r="146" ht="36" customHeight="1">
      <c r="A146" s="11" t="inlineStr">
        <is>
          <t>TC-145</t>
        </is>
      </c>
      <c r="B146" s="12" t="inlineStr">
        <is>
          <t>WarmupCard</t>
        </is>
      </c>
      <c r="C146" s="12" t="inlineStr">
        <is>
          <t>Selenium Web UI Testing</t>
        </is>
      </c>
      <c r="D146" s="12" t="inlineStr">
        <is>
          <t>Cross-Browser Rendering Parity on Stretching &amp; Warm-up Routine View</t>
        </is>
      </c>
      <c r="E146" s="12" t="inlineStr">
        <is>
          <t>1. Launch test runner in Staging / Web Chrome.
2. Navigate to Stretching &amp; Warm-up Routine View (WarmupCard).
3. Execute UI test suite for WarmupCard across Chrome, Firefox, Safari, and Edge.
4. Verify expected results and log evidence.</t>
        </is>
      </c>
      <c r="F146" s="12" t="inlineStr">
        <is>
          <t>Browsers: Chrome, Firefox, Safari, Edge</t>
        </is>
      </c>
      <c r="G146" s="12" t="inlineStr">
        <is>
          <t>DOM element styles render identically with zero CSS misalignment.</t>
        </is>
      </c>
      <c r="H146" s="12" t="inlineStr">
        <is>
          <t>Pending Execution</t>
        </is>
      </c>
      <c r="I146" s="13" t="inlineStr">
        <is>
          <t>Not Executed</t>
        </is>
      </c>
      <c r="J146" s="11" t="inlineStr">
        <is>
          <t>Low</t>
        </is>
      </c>
      <c r="K146" s="11" t="inlineStr">
        <is>
          <t>Moderate</t>
        </is>
      </c>
      <c r="L146" s="11" t="inlineStr">
        <is>
          <t>Script Ready</t>
        </is>
      </c>
      <c r="M146" s="12" t="inlineStr">
        <is>
          <t>Staging / Web Chrome</t>
        </is>
      </c>
      <c r="N146" s="12" t="inlineStr">
        <is>
          <t>Chrome v126 / Edge v126</t>
        </is>
      </c>
      <c r="O146" s="12" t="inlineStr">
        <is>
          <t>Screen-specific baseline case for Stretching &amp; Warm-up Routine View</t>
        </is>
      </c>
    </row>
    <row r="147" ht="36" customHeight="1">
      <c r="A147" s="11" t="inlineStr">
        <is>
          <t>TC-146</t>
        </is>
      </c>
      <c r="B147" s="12" t="inlineStr">
        <is>
          <t>WarmupCard</t>
        </is>
      </c>
      <c r="C147" s="12" t="inlineStr">
        <is>
          <t>Selenium Web UI Testing</t>
        </is>
      </c>
      <c r="D147" s="12" t="inlineStr">
        <is>
          <t>Arabic Right-to-Left (RTL) Layout on Stretching &amp; Warm-up Routine View</t>
        </is>
      </c>
      <c r="E147" s="12" t="inlineStr">
        <is>
          <t>1. Launch test runner in Staging / Web Chrome.
2. Navigate to Stretching &amp; Warm-up Routine View (WarmupCard).
3. Switch locale to Arabic (ar_SA) on WarmupCard, inspect text direction and icon mirroring.
4. Verify expected results and log evidence.</t>
        </is>
      </c>
      <c r="F147" s="12" t="inlineStr">
        <is>
          <t>Locale: ar_SA, Target: WarmupCard</t>
        </is>
      </c>
      <c r="G147" s="12" t="inlineStr">
        <is>
          <t>UI flips to right-to-left layout with mirrored icons and aligned text.</t>
        </is>
      </c>
      <c r="H147" s="12" t="inlineStr">
        <is>
          <t>Pending Execution</t>
        </is>
      </c>
      <c r="I147" s="13" t="inlineStr">
        <is>
          <t>Not Executed</t>
        </is>
      </c>
      <c r="J147" s="11" t="inlineStr">
        <is>
          <t>Medium</t>
        </is>
      </c>
      <c r="K147" s="11" t="inlineStr">
        <is>
          <t>Major</t>
        </is>
      </c>
      <c r="L147" s="11" t="inlineStr">
        <is>
          <t>Script Ready</t>
        </is>
      </c>
      <c r="M147" s="12" t="inlineStr">
        <is>
          <t>Staging / Web Chrome</t>
        </is>
      </c>
      <c r="N147" s="12" t="inlineStr">
        <is>
          <t>Chrome v126 / Edge v126</t>
        </is>
      </c>
      <c r="O147" s="12" t="inlineStr">
        <is>
          <t>Screen-specific baseline case for Stretching &amp; Warm-up Routine View</t>
        </is>
      </c>
    </row>
    <row r="148" ht="36" customHeight="1">
      <c r="A148" s="11" t="inlineStr">
        <is>
          <t>TC-147</t>
        </is>
      </c>
      <c r="B148" s="12" t="inlineStr">
        <is>
          <t>WarmupCard</t>
        </is>
      </c>
      <c r="C148" s="12" t="inlineStr">
        <is>
          <t>Selenium Web UI Testing</t>
        </is>
      </c>
      <c r="D148" s="12" t="inlineStr">
        <is>
          <t>Localization &amp; Multi-Language Switching on Stretching &amp; Warm-up Routine View</t>
        </is>
      </c>
      <c r="E148" s="12" t="inlineStr">
        <is>
          <t>1. Launch test runner in Staging / Web Chrome.
2. Navigate to Stretching &amp; Warm-up Routine View (WarmupCard).
3. Toggle header language dropdown on WarmupCard between English, Hindi, and Arabic.
4. Verify expected results and log evidence.</t>
        </is>
      </c>
      <c r="F148" s="12" t="inlineStr">
        <is>
          <t>Locales: en, hi, ar</t>
        </is>
      </c>
      <c r="G148" s="12" t="inlineStr">
        <is>
          <t>All visible text strings update to selected language instantly.</t>
        </is>
      </c>
      <c r="H148" s="12" t="inlineStr">
        <is>
          <t>Pending Execution</t>
        </is>
      </c>
      <c r="I148" s="13" t="inlineStr">
        <is>
          <t>Not Executed</t>
        </is>
      </c>
      <c r="J148" s="11" t="inlineStr">
        <is>
          <t>High</t>
        </is>
      </c>
      <c r="K148" s="11" t="inlineStr">
        <is>
          <t>Critical</t>
        </is>
      </c>
      <c r="L148" s="11" t="inlineStr">
        <is>
          <t>Script Ready</t>
        </is>
      </c>
      <c r="M148" s="12" t="inlineStr">
        <is>
          <t>Staging / Web Chrome</t>
        </is>
      </c>
      <c r="N148" s="12" t="inlineStr">
        <is>
          <t>Chrome v126 / Edge v126</t>
        </is>
      </c>
      <c r="O148" s="12" t="inlineStr">
        <is>
          <t>Screen-specific baseline case for Stretching &amp; Warm-up Routine View</t>
        </is>
      </c>
    </row>
    <row r="149" ht="36" customHeight="1">
      <c r="A149" s="11" t="inlineStr">
        <is>
          <t>TC-148</t>
        </is>
      </c>
      <c r="B149" s="12" t="inlineStr">
        <is>
          <t>WarmupCard</t>
        </is>
      </c>
      <c r="C149" s="12" t="inlineStr">
        <is>
          <t>Selenium Web UI Testing</t>
        </is>
      </c>
      <c r="D149" s="12" t="inlineStr">
        <is>
          <t>Data Table &amp; Grid State Retention on Stretching &amp; Warm-up Routine View</t>
        </is>
      </c>
      <c r="E149" s="12" t="inlineStr">
        <is>
          <t>1. Launch test runner in Staging / Web Chrome.
2. Navigate to Stretching &amp; Warm-up Routine View (WarmupCard).
3. Interact with data filters or state controls on WarmupCard, navigate away and return.
4. Verify expected results and log evidence.</t>
        </is>
      </c>
      <c r="F149" s="12" t="inlineStr">
        <is>
          <t>State Payload: WarmupCard_filter</t>
        </is>
      </c>
      <c r="G149" s="12" t="inlineStr">
        <is>
          <t>Screen preserves applied filter state without unexpected reset.</t>
        </is>
      </c>
      <c r="H149" s="12" t="inlineStr">
        <is>
          <t>Pending Execution</t>
        </is>
      </c>
      <c r="I149" s="13" t="inlineStr">
        <is>
          <t>Not Executed</t>
        </is>
      </c>
      <c r="J149" s="11" t="inlineStr">
        <is>
          <t>Medium</t>
        </is>
      </c>
      <c r="K149" s="11" t="inlineStr">
        <is>
          <t>Major</t>
        </is>
      </c>
      <c r="L149" s="11" t="inlineStr">
        <is>
          <t>Script Ready</t>
        </is>
      </c>
      <c r="M149" s="12" t="inlineStr">
        <is>
          <t>Staging / Web Chrome</t>
        </is>
      </c>
      <c r="N149" s="12" t="inlineStr">
        <is>
          <t>Chrome v126 / Edge v126</t>
        </is>
      </c>
      <c r="O149" s="12" t="inlineStr">
        <is>
          <t>Screen-specific baseline case for Stretching &amp; Warm-up Routine View</t>
        </is>
      </c>
    </row>
    <row r="150" ht="36" customHeight="1">
      <c r="A150" s="11" t="inlineStr">
        <is>
          <t>TC-149</t>
        </is>
      </c>
      <c r="B150" s="12" t="inlineStr">
        <is>
          <t>WarmupCard</t>
        </is>
      </c>
      <c r="C150" s="12" t="inlineStr">
        <is>
          <t>Selenium Web UI Testing</t>
        </is>
      </c>
      <c r="D150" s="12" t="inlineStr">
        <is>
          <t>Modal Backdrop &amp; Keyboard Escape on Stretching &amp; Warm-up Routine View</t>
        </is>
      </c>
      <c r="E150" s="12" t="inlineStr">
        <is>
          <t>1. Launch test runner in Staging / Web Chrome.
2. Navigate to Stretching &amp; Warm-up Routine View (WarmupCard).
3. Trigger pop-up dialog/modal on WarmupCard, press Escape key to dismiss.
4. Verify expected results and log evidence.</t>
        </is>
      </c>
      <c r="F150" s="12" t="inlineStr">
        <is>
          <t>Modal Target: WarmupCard</t>
        </is>
      </c>
      <c r="G150" s="12" t="inlineStr">
        <is>
          <t>Modal closes smoothly and returns focus to parent container.</t>
        </is>
      </c>
      <c r="H150" s="12" t="inlineStr">
        <is>
          <t>Pending Execution</t>
        </is>
      </c>
      <c r="I150" s="13" t="inlineStr">
        <is>
          <t>Not Executed</t>
        </is>
      </c>
      <c r="J150" s="11" t="inlineStr">
        <is>
          <t>Medium</t>
        </is>
      </c>
      <c r="K150" s="11" t="inlineStr">
        <is>
          <t>Moderate</t>
        </is>
      </c>
      <c r="L150" s="11" t="inlineStr">
        <is>
          <t>Script Ready</t>
        </is>
      </c>
      <c r="M150" s="12" t="inlineStr">
        <is>
          <t>Staging / Web Chrome</t>
        </is>
      </c>
      <c r="N150" s="12" t="inlineStr">
        <is>
          <t>Chrome v126 / Edge v126</t>
        </is>
      </c>
      <c r="O150" s="12" t="inlineStr">
        <is>
          <t>Screen-specific baseline case for Stretching &amp; Warm-up Routine View</t>
        </is>
      </c>
    </row>
    <row r="151" ht="36" customHeight="1">
      <c r="A151" s="11" t="inlineStr">
        <is>
          <t>TC-150</t>
        </is>
      </c>
      <c r="B151" s="12" t="inlineStr">
        <is>
          <t>WarmupCard</t>
        </is>
      </c>
      <c r="C151" s="12" t="inlineStr">
        <is>
          <t>Selenium Web UI Testing</t>
        </is>
      </c>
      <c r="D151" s="12" t="inlineStr">
        <is>
          <t>Network Failure UI Fallback on Stretching &amp; Warm-up Routine View</t>
        </is>
      </c>
      <c r="E151" s="12" t="inlineStr">
        <is>
          <t>1. Launch test runner in Staging / Web Chrome.
2. Navigate to Stretching &amp; Warm-up Routine View (WarmupCard).
3. Throttled network to offline mode while viewing WarmupCard, attempt UI interaction.
4. Verify expected results and log evidence.</t>
        </is>
      </c>
      <c r="F151" s="12" t="inlineStr">
        <is>
          <t>Network: Offline, Target: WarmupCard</t>
        </is>
      </c>
      <c r="G151" s="12" t="inlineStr">
        <is>
          <t>User-friendly offline banner appears with retry button.</t>
        </is>
      </c>
      <c r="H151" s="12" t="inlineStr">
        <is>
          <t>Pending Execution</t>
        </is>
      </c>
      <c r="I151" s="13" t="inlineStr">
        <is>
          <t>Not Executed</t>
        </is>
      </c>
      <c r="J151" s="11" t="inlineStr">
        <is>
          <t>High</t>
        </is>
      </c>
      <c r="K151" s="11" t="inlineStr">
        <is>
          <t>Major</t>
        </is>
      </c>
      <c r="L151" s="11" t="inlineStr">
        <is>
          <t>Script Ready</t>
        </is>
      </c>
      <c r="M151" s="12" t="inlineStr">
        <is>
          <t>Staging / Web Chrome</t>
        </is>
      </c>
      <c r="N151" s="12" t="inlineStr">
        <is>
          <t>Chrome v126 / Edge v126</t>
        </is>
      </c>
      <c r="O151" s="12" t="inlineStr">
        <is>
          <t>Screen-specific baseline case for Stretching &amp; Warm-up Routine View</t>
        </is>
      </c>
    </row>
    <row r="152" ht="36" customHeight="1">
      <c r="A152" s="11" t="inlineStr">
        <is>
          <t>TC-151</t>
        </is>
      </c>
      <c r="B152" s="12" t="inlineStr">
        <is>
          <t>DietDayCard</t>
        </is>
      </c>
      <c r="C152" s="12" t="inlineStr">
        <is>
          <t>Selenium Web UI Testing</t>
        </is>
      </c>
      <c r="D152" s="12" t="inlineStr">
        <is>
          <t>Positive Web UI Layout on Diet &amp; Meal Planner View</t>
        </is>
      </c>
      <c r="E152" s="12" t="inlineStr">
        <is>
          <t>1. Launch test runner in Staging / Web Chrome.
2. Navigate to Diet &amp; Meal Planner View (DietDayCard).
3. Launch browser, navigate to DietDayCard, verify grid container alignment and responsive element scaling.
4. Verify expected results and log evidence.</t>
        </is>
      </c>
      <c r="F152" s="12" t="inlineStr">
        <is>
          <t>Viewport: 1920x1080, Screen: DietDayCard</t>
        </is>
      </c>
      <c r="G152" s="12" t="inlineStr">
        <is>
          <t>UI components align cleanly without scrollbar clipping or overflow.</t>
        </is>
      </c>
      <c r="H152" s="12" t="inlineStr">
        <is>
          <t>Pending Execution</t>
        </is>
      </c>
      <c r="I152" s="13" t="inlineStr">
        <is>
          <t>Not Executed</t>
        </is>
      </c>
      <c r="J152" s="11" t="inlineStr">
        <is>
          <t>Medium</t>
        </is>
      </c>
      <c r="K152" s="11" t="inlineStr">
        <is>
          <t>Moderate</t>
        </is>
      </c>
      <c r="L152" s="11" t="inlineStr">
        <is>
          <t>Script Ready</t>
        </is>
      </c>
      <c r="M152" s="12" t="inlineStr">
        <is>
          <t>Staging / Web Chrome</t>
        </is>
      </c>
      <c r="N152" s="12" t="inlineStr">
        <is>
          <t>Chrome v126 / Edge v126</t>
        </is>
      </c>
      <c r="O152" s="12" t="inlineStr">
        <is>
          <t>Screen-specific baseline case for Diet &amp; Meal Planner View</t>
        </is>
      </c>
    </row>
    <row r="153" ht="36" customHeight="1">
      <c r="A153" s="11" t="inlineStr">
        <is>
          <t>TC-152</t>
        </is>
      </c>
      <c r="B153" s="12" t="inlineStr">
        <is>
          <t>DietDayCard</t>
        </is>
      </c>
      <c r="C153" s="12" t="inlineStr">
        <is>
          <t>Selenium Web UI Testing</t>
        </is>
      </c>
      <c r="D153" s="12" t="inlineStr">
        <is>
          <t>Negative Input Form Validation on Diet &amp; Meal Planner View</t>
        </is>
      </c>
      <c r="E153" s="12" t="inlineStr">
        <is>
          <t>1. Launch test runner in Staging / Web Chrome.
2. Navigate to Diet &amp; Meal Planner View (DietDayCard).
3. Focus input controls on DietDayCard, enter out-of-bound strings, trigger blur event.
4. Verify expected results and log evidence.</t>
        </is>
      </c>
      <c r="F153" s="12" t="inlineStr">
        <is>
          <t>Input: invalid_string, Screen: DietDayCard</t>
        </is>
      </c>
      <c r="G153" s="12" t="inlineStr">
        <is>
          <t>Validation badge displays accessible aria error message.</t>
        </is>
      </c>
      <c r="H153" s="12" t="inlineStr">
        <is>
          <t>Pending Execution</t>
        </is>
      </c>
      <c r="I153" s="13" t="inlineStr">
        <is>
          <t>Not Executed</t>
        </is>
      </c>
      <c r="J153" s="11" t="inlineStr">
        <is>
          <t>Medium</t>
        </is>
      </c>
      <c r="K153" s="11" t="inlineStr">
        <is>
          <t>Major</t>
        </is>
      </c>
      <c r="L153" s="11" t="inlineStr">
        <is>
          <t>Script Ready</t>
        </is>
      </c>
      <c r="M153" s="12" t="inlineStr">
        <is>
          <t>Staging / Web Chrome</t>
        </is>
      </c>
      <c r="N153" s="12" t="inlineStr">
        <is>
          <t>Chrome v126 / Edge v126</t>
        </is>
      </c>
      <c r="O153" s="12" t="inlineStr">
        <is>
          <t>Screen-specific baseline case for Diet &amp; Meal Planner View</t>
        </is>
      </c>
    </row>
    <row r="154" ht="36" customHeight="1">
      <c r="A154" s="11" t="inlineStr">
        <is>
          <t>TC-153</t>
        </is>
      </c>
      <c r="B154" s="12" t="inlineStr">
        <is>
          <t>DietDayCard</t>
        </is>
      </c>
      <c r="C154" s="12" t="inlineStr">
        <is>
          <t>Selenium Web UI Testing</t>
        </is>
      </c>
      <c r="D154" s="12" t="inlineStr">
        <is>
          <t>Boundary Viewport Responsiveness on Diet &amp; Meal Planner View</t>
        </is>
      </c>
      <c r="E154" s="12" t="inlineStr">
        <is>
          <t>1. Launch test runner in Staging / Web Chrome.
2. Navigate to Diet &amp; Meal Planner View (DietDayCard).
3. Resize web browser window from 320px mobile breakpoint up to 4K desktop width.
4. Verify expected results and log evidence.</t>
        </is>
      </c>
      <c r="F154" s="12" t="inlineStr">
        <is>
          <t>Breakpoint Widths: [320, 768, 1024, 1440, 3840]</t>
        </is>
      </c>
      <c r="G154" s="12" t="inlineStr">
        <is>
          <t>Layout adapts responsively without overlapping UI text nodes.</t>
        </is>
      </c>
      <c r="H154" s="12" t="inlineStr">
        <is>
          <t>Pending Execution</t>
        </is>
      </c>
      <c r="I154" s="13" t="inlineStr">
        <is>
          <t>Not Executed</t>
        </is>
      </c>
      <c r="J154" s="11" t="inlineStr">
        <is>
          <t>High</t>
        </is>
      </c>
      <c r="K154" s="11" t="inlineStr">
        <is>
          <t>Moderate</t>
        </is>
      </c>
      <c r="L154" s="11" t="inlineStr">
        <is>
          <t>Script Ready</t>
        </is>
      </c>
      <c r="M154" s="12" t="inlineStr">
        <is>
          <t>Staging / Web Chrome</t>
        </is>
      </c>
      <c r="N154" s="12" t="inlineStr">
        <is>
          <t>Chrome v126 / Edge v126</t>
        </is>
      </c>
      <c r="O154" s="12" t="inlineStr">
        <is>
          <t>Screen-specific baseline case for Diet &amp; Meal Planner View</t>
        </is>
      </c>
    </row>
    <row r="155" ht="36" customHeight="1">
      <c r="A155" s="11" t="inlineStr">
        <is>
          <t>TC-154</t>
        </is>
      </c>
      <c r="B155" s="12" t="inlineStr">
        <is>
          <t>DietDayCard</t>
        </is>
      </c>
      <c r="C155" s="12" t="inlineStr">
        <is>
          <t>Selenium Web UI Testing</t>
        </is>
      </c>
      <c r="D155" s="12" t="inlineStr">
        <is>
          <t>Interactive Hover &amp; Focus Traversal on Diet &amp; Meal Planner View</t>
        </is>
      </c>
      <c r="E155" s="12" t="inlineStr">
        <is>
          <t>1. Launch test runner in Staging / Web Chrome.
2. Navigate to Diet &amp; Meal Planner View (DietDayCard).
3. Tab through interactive focusable nodes on DietDayCard, hover cursor over CTA buttons.
4. Verify expected results and log evidence.</t>
        </is>
      </c>
      <c r="F155" s="12" t="inlineStr">
        <is>
          <t>Key Navigation: TAB, Hover target: DietDayCard</t>
        </is>
      </c>
      <c r="G155" s="12" t="inlineStr">
        <is>
          <t>Focus ring highlights elements in logical DOM tab order.</t>
        </is>
      </c>
      <c r="H155" s="12" t="inlineStr">
        <is>
          <t>Pending Execution</t>
        </is>
      </c>
      <c r="I155" s="13" t="inlineStr">
        <is>
          <t>Not Executed</t>
        </is>
      </c>
      <c r="J155" s="11" t="inlineStr">
        <is>
          <t>Medium</t>
        </is>
      </c>
      <c r="K155" s="11" t="inlineStr">
        <is>
          <t>Critical</t>
        </is>
      </c>
      <c r="L155" s="11" t="inlineStr">
        <is>
          <t>Script Ready</t>
        </is>
      </c>
      <c r="M155" s="12" t="inlineStr">
        <is>
          <t>Staging / Web Chrome</t>
        </is>
      </c>
      <c r="N155" s="12" t="inlineStr">
        <is>
          <t>Chrome v126 / Edge v126</t>
        </is>
      </c>
      <c r="O155" s="12" t="inlineStr">
        <is>
          <t>Screen-specific baseline case for Diet &amp; Meal Planner View</t>
        </is>
      </c>
    </row>
    <row r="156" ht="36" customHeight="1">
      <c r="A156" s="11" t="inlineStr">
        <is>
          <t>TC-155</t>
        </is>
      </c>
      <c r="B156" s="12" t="inlineStr">
        <is>
          <t>DietDayCard</t>
        </is>
      </c>
      <c r="C156" s="12" t="inlineStr">
        <is>
          <t>Selenium Web UI Testing</t>
        </is>
      </c>
      <c r="D156" s="12" t="inlineStr">
        <is>
          <t>Cross-Browser Rendering Parity on Diet &amp; Meal Planner View</t>
        </is>
      </c>
      <c r="E156" s="12" t="inlineStr">
        <is>
          <t>1. Launch test runner in Staging / Web Chrome.
2. Navigate to Diet &amp; Meal Planner View (DietDayCard).
3. Execute UI test suite for DietDayCard across Chrome, Firefox, Safari, and Edge.
4. Verify expected results and log evidence.</t>
        </is>
      </c>
      <c r="F156" s="12" t="inlineStr">
        <is>
          <t>Browsers: Chrome, Firefox, Safari, Edge</t>
        </is>
      </c>
      <c r="G156" s="12" t="inlineStr">
        <is>
          <t>DOM element styles render identically with zero CSS misalignment.</t>
        </is>
      </c>
      <c r="H156" s="12" t="inlineStr">
        <is>
          <t>Pending Execution</t>
        </is>
      </c>
      <c r="I156" s="13" t="inlineStr">
        <is>
          <t>Not Executed</t>
        </is>
      </c>
      <c r="J156" s="11" t="inlineStr">
        <is>
          <t>Low</t>
        </is>
      </c>
      <c r="K156" s="11" t="inlineStr">
        <is>
          <t>Moderate</t>
        </is>
      </c>
      <c r="L156" s="11" t="inlineStr">
        <is>
          <t>Script Ready</t>
        </is>
      </c>
      <c r="M156" s="12" t="inlineStr">
        <is>
          <t>Staging / Web Chrome</t>
        </is>
      </c>
      <c r="N156" s="12" t="inlineStr">
        <is>
          <t>Chrome v126 / Edge v126</t>
        </is>
      </c>
      <c r="O156" s="12" t="inlineStr">
        <is>
          <t>Screen-specific baseline case for Diet &amp; Meal Planner View</t>
        </is>
      </c>
    </row>
    <row r="157" ht="36" customHeight="1">
      <c r="A157" s="11" t="inlineStr">
        <is>
          <t>TC-156</t>
        </is>
      </c>
      <c r="B157" s="12" t="inlineStr">
        <is>
          <t>DietDayCard</t>
        </is>
      </c>
      <c r="C157" s="12" t="inlineStr">
        <is>
          <t>Selenium Web UI Testing</t>
        </is>
      </c>
      <c r="D157" s="12" t="inlineStr">
        <is>
          <t>Arabic Right-to-Left (RTL) Layout on Diet &amp; Meal Planner View</t>
        </is>
      </c>
      <c r="E157" s="12" t="inlineStr">
        <is>
          <t>1. Launch test runner in Staging / Web Chrome.
2. Navigate to Diet &amp; Meal Planner View (DietDayCard).
3. Switch locale to Arabic (ar_SA) on DietDayCard, inspect text direction and icon mirroring.
4. Verify expected results and log evidence.</t>
        </is>
      </c>
      <c r="F157" s="12" t="inlineStr">
        <is>
          <t>Locale: ar_SA, Target: DietDayCard</t>
        </is>
      </c>
      <c r="G157" s="12" t="inlineStr">
        <is>
          <t>UI flips to right-to-left layout with mirrored icons and aligned text.</t>
        </is>
      </c>
      <c r="H157" s="12" t="inlineStr">
        <is>
          <t>Pending Execution</t>
        </is>
      </c>
      <c r="I157" s="13" t="inlineStr">
        <is>
          <t>Not Executed</t>
        </is>
      </c>
      <c r="J157" s="11" t="inlineStr">
        <is>
          <t>High</t>
        </is>
      </c>
      <c r="K157" s="11" t="inlineStr">
        <is>
          <t>Major</t>
        </is>
      </c>
      <c r="L157" s="11" t="inlineStr">
        <is>
          <t>Script Ready</t>
        </is>
      </c>
      <c r="M157" s="12" t="inlineStr">
        <is>
          <t>Staging / Web Chrome</t>
        </is>
      </c>
      <c r="N157" s="12" t="inlineStr">
        <is>
          <t>Chrome v126 / Edge v126</t>
        </is>
      </c>
      <c r="O157" s="12" t="inlineStr">
        <is>
          <t>Screen-specific baseline case for Diet &amp; Meal Planner View</t>
        </is>
      </c>
    </row>
    <row r="158" ht="36" customHeight="1">
      <c r="A158" s="11" t="inlineStr">
        <is>
          <t>TC-157</t>
        </is>
      </c>
      <c r="B158" s="12" t="inlineStr">
        <is>
          <t>DietDayCard</t>
        </is>
      </c>
      <c r="C158" s="12" t="inlineStr">
        <is>
          <t>Selenium Web UI Testing</t>
        </is>
      </c>
      <c r="D158" s="12" t="inlineStr">
        <is>
          <t>Localization &amp; Multi-Language Switching on Diet &amp; Meal Planner View</t>
        </is>
      </c>
      <c r="E158" s="12" t="inlineStr">
        <is>
          <t>1. Launch test runner in Staging / Web Chrome.
2. Navigate to Diet &amp; Meal Planner View (DietDayCard).
3. Toggle header language dropdown on DietDayCard between English, Hindi, and Arabic.
4. Verify expected results and log evidence.</t>
        </is>
      </c>
      <c r="F158" s="12" t="inlineStr">
        <is>
          <t>Locales: en, hi, ar</t>
        </is>
      </c>
      <c r="G158" s="12" t="inlineStr">
        <is>
          <t>All visible text strings update to selected language instantly.</t>
        </is>
      </c>
      <c r="H158" s="12" t="inlineStr">
        <is>
          <t>Pending Execution</t>
        </is>
      </c>
      <c r="I158" s="13" t="inlineStr">
        <is>
          <t>Not Executed</t>
        </is>
      </c>
      <c r="J158" s="11" t="inlineStr">
        <is>
          <t>Medium</t>
        </is>
      </c>
      <c r="K158" s="11" t="inlineStr">
        <is>
          <t>Moderate</t>
        </is>
      </c>
      <c r="L158" s="11" t="inlineStr">
        <is>
          <t>Script Ready</t>
        </is>
      </c>
      <c r="M158" s="12" t="inlineStr">
        <is>
          <t>Staging / Web Chrome</t>
        </is>
      </c>
      <c r="N158" s="12" t="inlineStr">
        <is>
          <t>Chrome v126 / Edge v126</t>
        </is>
      </c>
      <c r="O158" s="12" t="inlineStr">
        <is>
          <t>Screen-specific baseline case for Diet &amp; Meal Planner View</t>
        </is>
      </c>
    </row>
    <row r="159" ht="36" customHeight="1">
      <c r="A159" s="11" t="inlineStr">
        <is>
          <t>TC-158</t>
        </is>
      </c>
      <c r="B159" s="12" t="inlineStr">
        <is>
          <t>DietDayCard</t>
        </is>
      </c>
      <c r="C159" s="12" t="inlineStr">
        <is>
          <t>Selenium Web UI Testing</t>
        </is>
      </c>
      <c r="D159" s="12" t="inlineStr">
        <is>
          <t>Data Table &amp; Grid State Retention on Diet &amp; Meal Planner View</t>
        </is>
      </c>
      <c r="E159" s="12" t="inlineStr">
        <is>
          <t>1. Launch test runner in Staging / Web Chrome.
2. Navigate to Diet &amp; Meal Planner View (DietDayCard).
3. Interact with data filters or state controls on DietDayCard, navigate away and return.
4. Verify expected results and log evidence.</t>
        </is>
      </c>
      <c r="F159" s="12" t="inlineStr">
        <is>
          <t>State Payload: DietDayCard_filter</t>
        </is>
      </c>
      <c r="G159" s="12" t="inlineStr">
        <is>
          <t>Screen preserves applied filter state without unexpected reset.</t>
        </is>
      </c>
      <c r="H159" s="12" t="inlineStr">
        <is>
          <t>Pending Execution</t>
        </is>
      </c>
      <c r="I159" s="13" t="inlineStr">
        <is>
          <t>Not Executed</t>
        </is>
      </c>
      <c r="J159" s="11" t="inlineStr">
        <is>
          <t>Medium</t>
        </is>
      </c>
      <c r="K159" s="11" t="inlineStr">
        <is>
          <t>Major</t>
        </is>
      </c>
      <c r="L159" s="11" t="inlineStr">
        <is>
          <t>Script Ready</t>
        </is>
      </c>
      <c r="M159" s="12" t="inlineStr">
        <is>
          <t>Staging / Web Chrome</t>
        </is>
      </c>
      <c r="N159" s="12" t="inlineStr">
        <is>
          <t>Chrome v126 / Edge v126</t>
        </is>
      </c>
      <c r="O159" s="12" t="inlineStr">
        <is>
          <t>Screen-specific baseline case for Diet &amp; Meal Planner View</t>
        </is>
      </c>
    </row>
    <row r="160" ht="36" customHeight="1">
      <c r="A160" s="11" t="inlineStr">
        <is>
          <t>TC-159</t>
        </is>
      </c>
      <c r="B160" s="12" t="inlineStr">
        <is>
          <t>DietDayCard</t>
        </is>
      </c>
      <c r="C160" s="12" t="inlineStr">
        <is>
          <t>Selenium Web UI Testing</t>
        </is>
      </c>
      <c r="D160" s="12" t="inlineStr">
        <is>
          <t>Modal Backdrop &amp; Keyboard Escape on Diet &amp; Meal Planner View</t>
        </is>
      </c>
      <c r="E160" s="12" t="inlineStr">
        <is>
          <t>1. Launch test runner in Staging / Web Chrome.
2. Navigate to Diet &amp; Meal Planner View (DietDayCard).
3. Trigger pop-up dialog/modal on DietDayCard, press Escape key to dismiss.
4. Verify expected results and log evidence.</t>
        </is>
      </c>
      <c r="F160" s="12" t="inlineStr">
        <is>
          <t>Modal Target: DietDayCard</t>
        </is>
      </c>
      <c r="G160" s="12" t="inlineStr">
        <is>
          <t>Modal closes smoothly and returns focus to parent container.</t>
        </is>
      </c>
      <c r="H160" s="12" t="inlineStr">
        <is>
          <t>Pending Execution</t>
        </is>
      </c>
      <c r="I160" s="13" t="inlineStr">
        <is>
          <t>Not Executed</t>
        </is>
      </c>
      <c r="J160" s="11" t="inlineStr">
        <is>
          <t>High</t>
        </is>
      </c>
      <c r="K160" s="11" t="inlineStr">
        <is>
          <t>Moderate</t>
        </is>
      </c>
      <c r="L160" s="11" t="inlineStr">
        <is>
          <t>Script Ready</t>
        </is>
      </c>
      <c r="M160" s="12" t="inlineStr">
        <is>
          <t>Staging / Web Chrome</t>
        </is>
      </c>
      <c r="N160" s="12" t="inlineStr">
        <is>
          <t>Chrome v126 / Edge v126</t>
        </is>
      </c>
      <c r="O160" s="12" t="inlineStr">
        <is>
          <t>Screen-specific baseline case for Diet &amp; Meal Planner View</t>
        </is>
      </c>
    </row>
    <row r="161" ht="36" customHeight="1">
      <c r="A161" s="11" t="inlineStr">
        <is>
          <t>TC-160</t>
        </is>
      </c>
      <c r="B161" s="12" t="inlineStr">
        <is>
          <t>DietDayCard</t>
        </is>
      </c>
      <c r="C161" s="12" t="inlineStr">
        <is>
          <t>Selenium Web UI Testing</t>
        </is>
      </c>
      <c r="D161" s="12" t="inlineStr">
        <is>
          <t>Network Failure UI Fallback on Diet &amp; Meal Planner View</t>
        </is>
      </c>
      <c r="E161" s="12" t="inlineStr">
        <is>
          <t>1. Launch test runner in Staging / Web Chrome.
2. Navigate to Diet &amp; Meal Planner View (DietDayCard).
3. Throttled network to offline mode while viewing DietDayCard, attempt UI interaction.
4. Verify expected results and log evidence.</t>
        </is>
      </c>
      <c r="F161" s="12" t="inlineStr">
        <is>
          <t>Network: Offline, Target: DietDayCard</t>
        </is>
      </c>
      <c r="G161" s="12" t="inlineStr">
        <is>
          <t>User-friendly offline banner appears with retry button.</t>
        </is>
      </c>
      <c r="H161" s="12" t="inlineStr">
        <is>
          <t>Pending Execution</t>
        </is>
      </c>
      <c r="I161" s="13" t="inlineStr">
        <is>
          <t>Not Executed</t>
        </is>
      </c>
      <c r="J161" s="11" t="inlineStr">
        <is>
          <t>Low</t>
        </is>
      </c>
      <c r="K161" s="11" t="inlineStr">
        <is>
          <t>Major</t>
        </is>
      </c>
      <c r="L161" s="11" t="inlineStr">
        <is>
          <t>Script Ready</t>
        </is>
      </c>
      <c r="M161" s="12" t="inlineStr">
        <is>
          <t>Staging / Web Chrome</t>
        </is>
      </c>
      <c r="N161" s="12" t="inlineStr">
        <is>
          <t>Chrome v126 / Edge v126</t>
        </is>
      </c>
      <c r="O161" s="12" t="inlineStr">
        <is>
          <t>Screen-specific baseline case for Diet &amp; Meal Planner View</t>
        </is>
      </c>
    </row>
    <row r="162" ht="36" customHeight="1">
      <c r="A162" s="11" t="inlineStr">
        <is>
          <t>TC-161</t>
        </is>
      </c>
      <c r="B162" s="12" t="inlineStr">
        <is>
          <t>BudgetFoodSection</t>
        </is>
      </c>
      <c r="C162" s="12" t="inlineStr">
        <is>
          <t>Selenium Web UI Testing</t>
        </is>
      </c>
      <c r="D162" s="12" t="inlineStr">
        <is>
          <t>Positive Web UI Layout on Budget Diet &amp; Low-Cost Meal Planner</t>
        </is>
      </c>
      <c r="E162" s="12" t="inlineStr">
        <is>
          <t>1. Launch test runner in Staging / Web Chrome.
2. Navigate to Budget Diet &amp; Low-Cost Meal Planner (BudgetFoodSection).
3. Launch browser, navigate to BudgetFoodSection, verify grid container alignment and responsive element scaling.
4. Verify expected results and log evidence.</t>
        </is>
      </c>
      <c r="F162" s="12" t="inlineStr">
        <is>
          <t>Viewport: 1920x1080, Screen: BudgetFoodSection</t>
        </is>
      </c>
      <c r="G162" s="12" t="inlineStr">
        <is>
          <t>UI components align cleanly without scrollbar clipping or overflow.</t>
        </is>
      </c>
      <c r="H162" s="12" t="inlineStr">
        <is>
          <t>Pending Execution</t>
        </is>
      </c>
      <c r="I162" s="13" t="inlineStr">
        <is>
          <t>Not Executed</t>
        </is>
      </c>
      <c r="J162" s="11" t="inlineStr">
        <is>
          <t>Medium</t>
        </is>
      </c>
      <c r="K162" s="11" t="inlineStr">
        <is>
          <t>Critical</t>
        </is>
      </c>
      <c r="L162" s="11" t="inlineStr">
        <is>
          <t>Script Ready</t>
        </is>
      </c>
      <c r="M162" s="12" t="inlineStr">
        <is>
          <t>Staging / Web Chrome</t>
        </is>
      </c>
      <c r="N162" s="12" t="inlineStr">
        <is>
          <t>Chrome v126 / Edge v126</t>
        </is>
      </c>
      <c r="O162" s="12" t="inlineStr">
        <is>
          <t>Screen-specific baseline case for Budget Diet &amp; Low-Cost Meal Planner</t>
        </is>
      </c>
    </row>
    <row r="163" ht="36" customHeight="1">
      <c r="A163" s="11" t="inlineStr">
        <is>
          <t>TC-162</t>
        </is>
      </c>
      <c r="B163" s="12" t="inlineStr">
        <is>
          <t>BudgetFoodSection</t>
        </is>
      </c>
      <c r="C163" s="12" t="inlineStr">
        <is>
          <t>Selenium Web UI Testing</t>
        </is>
      </c>
      <c r="D163" s="12" t="inlineStr">
        <is>
          <t>Negative Input Form Validation on Budget Diet &amp; Low-Cost Meal Planner</t>
        </is>
      </c>
      <c r="E163" s="12" t="inlineStr">
        <is>
          <t>1. Launch test runner in Staging / Web Chrome.
2. Navigate to Budget Diet &amp; Low-Cost Meal Planner (BudgetFoodSection).
3. Focus input controls on BudgetFoodSection, enter out-of-bound strings, trigger blur event.
4. Verify expected results and log evidence.</t>
        </is>
      </c>
      <c r="F163" s="12" t="inlineStr">
        <is>
          <t>Input: invalid_string, Screen: BudgetFoodSection</t>
        </is>
      </c>
      <c r="G163" s="12" t="inlineStr">
        <is>
          <t>Validation badge displays accessible aria error message.</t>
        </is>
      </c>
      <c r="H163" s="12" t="inlineStr">
        <is>
          <t>Pending Execution</t>
        </is>
      </c>
      <c r="I163" s="13" t="inlineStr">
        <is>
          <t>Not Executed</t>
        </is>
      </c>
      <c r="J163" s="11" t="inlineStr">
        <is>
          <t>High</t>
        </is>
      </c>
      <c r="K163" s="11" t="inlineStr">
        <is>
          <t>Major</t>
        </is>
      </c>
      <c r="L163" s="11" t="inlineStr">
        <is>
          <t>Script Ready</t>
        </is>
      </c>
      <c r="M163" s="12" t="inlineStr">
        <is>
          <t>Staging / Web Chrome</t>
        </is>
      </c>
      <c r="N163" s="12" t="inlineStr">
        <is>
          <t>Chrome v126 / Edge v126</t>
        </is>
      </c>
      <c r="O163" s="12" t="inlineStr">
        <is>
          <t>Screen-specific baseline case for Budget Diet &amp; Low-Cost Meal Planner</t>
        </is>
      </c>
    </row>
    <row r="164" ht="36" customHeight="1">
      <c r="A164" s="11" t="inlineStr">
        <is>
          <t>TC-163</t>
        </is>
      </c>
      <c r="B164" s="12" t="inlineStr">
        <is>
          <t>BudgetFoodSection</t>
        </is>
      </c>
      <c r="C164" s="12" t="inlineStr">
        <is>
          <t>Selenium Web UI Testing</t>
        </is>
      </c>
      <c r="D164" s="12" t="inlineStr">
        <is>
          <t>Boundary Viewport Responsiveness on Budget Diet &amp; Low-Cost Meal Planner</t>
        </is>
      </c>
      <c r="E164" s="12" t="inlineStr">
        <is>
          <t>1. Launch test runner in Staging / Web Chrome.
2. Navigate to Budget Diet &amp; Low-Cost Meal Planner (BudgetFoodSection).
3. Resize web browser window from 320px mobile breakpoint up to 4K desktop width.
4. Verify expected results and log evidence.</t>
        </is>
      </c>
      <c r="F164" s="12" t="inlineStr">
        <is>
          <t>Breakpoint Widths: [320, 768, 1024, 1440, 3840]</t>
        </is>
      </c>
      <c r="G164" s="12" t="inlineStr">
        <is>
          <t>Layout adapts responsively without overlapping UI text nodes.</t>
        </is>
      </c>
      <c r="H164" s="12" t="inlineStr">
        <is>
          <t>Pending Execution</t>
        </is>
      </c>
      <c r="I164" s="13" t="inlineStr">
        <is>
          <t>Not Executed</t>
        </is>
      </c>
      <c r="J164" s="11" t="inlineStr">
        <is>
          <t>Medium</t>
        </is>
      </c>
      <c r="K164" s="11" t="inlineStr">
        <is>
          <t>Moderate</t>
        </is>
      </c>
      <c r="L164" s="11" t="inlineStr">
        <is>
          <t>Script Ready</t>
        </is>
      </c>
      <c r="M164" s="12" t="inlineStr">
        <is>
          <t>Staging / Web Chrome</t>
        </is>
      </c>
      <c r="N164" s="12" t="inlineStr">
        <is>
          <t>Chrome v126 / Edge v126</t>
        </is>
      </c>
      <c r="O164" s="12" t="inlineStr">
        <is>
          <t>Screen-specific baseline case for Budget Diet &amp; Low-Cost Meal Planner</t>
        </is>
      </c>
    </row>
    <row r="165" ht="36" customHeight="1">
      <c r="A165" s="11" t="inlineStr">
        <is>
          <t>TC-164</t>
        </is>
      </c>
      <c r="B165" s="12" t="inlineStr">
        <is>
          <t>BudgetFoodSection</t>
        </is>
      </c>
      <c r="C165" s="12" t="inlineStr">
        <is>
          <t>Selenium Web UI Testing</t>
        </is>
      </c>
      <c r="D165" s="12" t="inlineStr">
        <is>
          <t>Interactive Hover &amp; Focus Traversal on Budget Diet &amp; Low-Cost Meal Planner</t>
        </is>
      </c>
      <c r="E165" s="12" t="inlineStr">
        <is>
          <t>1. Launch test runner in Staging / Web Chrome.
2. Navigate to Budget Diet &amp; Low-Cost Meal Planner (BudgetFoodSection).
3. Tab through interactive focusable nodes on BudgetFoodSection, hover cursor over CTA buttons.
4. Verify expected results and log evidence.</t>
        </is>
      </c>
      <c r="F165" s="12" t="inlineStr">
        <is>
          <t>Key Navigation: TAB, Hover target: BudgetFoodSection</t>
        </is>
      </c>
      <c r="G165" s="12" t="inlineStr">
        <is>
          <t>Focus ring highlights elements in logical DOM tab order.</t>
        </is>
      </c>
      <c r="H165" s="12" t="inlineStr">
        <is>
          <t>Pending Execution</t>
        </is>
      </c>
      <c r="I165" s="13" t="inlineStr">
        <is>
          <t>Not Executed</t>
        </is>
      </c>
      <c r="J165" s="11" t="inlineStr">
        <is>
          <t>Medium</t>
        </is>
      </c>
      <c r="K165" s="11" t="inlineStr">
        <is>
          <t>Major</t>
        </is>
      </c>
      <c r="L165" s="11" t="inlineStr">
        <is>
          <t>Script Ready</t>
        </is>
      </c>
      <c r="M165" s="12" t="inlineStr">
        <is>
          <t>Staging / Web Chrome</t>
        </is>
      </c>
      <c r="N165" s="12" t="inlineStr">
        <is>
          <t>Chrome v126 / Edge v126</t>
        </is>
      </c>
      <c r="O165" s="12" t="inlineStr">
        <is>
          <t>Screen-specific baseline case for Budget Diet &amp; Low-Cost Meal Planner</t>
        </is>
      </c>
    </row>
    <row r="166" ht="36" customHeight="1">
      <c r="A166" s="11" t="inlineStr">
        <is>
          <t>TC-165</t>
        </is>
      </c>
      <c r="B166" s="12" t="inlineStr">
        <is>
          <t>BudgetFoodSection</t>
        </is>
      </c>
      <c r="C166" s="12" t="inlineStr">
        <is>
          <t>Selenium Web UI Testing</t>
        </is>
      </c>
      <c r="D166" s="12" t="inlineStr">
        <is>
          <t>Cross-Browser Rendering Parity on Budget Diet &amp; Low-Cost Meal Planner</t>
        </is>
      </c>
      <c r="E166" s="12" t="inlineStr">
        <is>
          <t>1. Launch test runner in Staging / Web Chrome.
2. Navigate to Budget Diet &amp; Low-Cost Meal Planner (BudgetFoodSection).
3. Execute UI test suite for BudgetFoodSection across Chrome, Firefox, Safari, and Edge.
4. Verify expected results and log evidence.</t>
        </is>
      </c>
      <c r="F166" s="12" t="inlineStr">
        <is>
          <t>Browsers: Chrome, Firefox, Safari, Edge</t>
        </is>
      </c>
      <c r="G166" s="12" t="inlineStr">
        <is>
          <t>DOM element styles render identically with zero CSS misalignment.</t>
        </is>
      </c>
      <c r="H166" s="12" t="inlineStr">
        <is>
          <t>Pending Execution</t>
        </is>
      </c>
      <c r="I166" s="13" t="inlineStr">
        <is>
          <t>Not Executed</t>
        </is>
      </c>
      <c r="J166" s="11" t="inlineStr">
        <is>
          <t>High</t>
        </is>
      </c>
      <c r="K166" s="11" t="inlineStr">
        <is>
          <t>Moderate</t>
        </is>
      </c>
      <c r="L166" s="11" t="inlineStr">
        <is>
          <t>Script Ready</t>
        </is>
      </c>
      <c r="M166" s="12" t="inlineStr">
        <is>
          <t>Staging / Web Chrome</t>
        </is>
      </c>
      <c r="N166" s="12" t="inlineStr">
        <is>
          <t>Chrome v126 / Edge v126</t>
        </is>
      </c>
      <c r="O166" s="12" t="inlineStr">
        <is>
          <t>Screen-specific baseline case for Budget Diet &amp; Low-Cost Meal Planner</t>
        </is>
      </c>
    </row>
    <row r="167" ht="36" customHeight="1">
      <c r="A167" s="11" t="inlineStr">
        <is>
          <t>TC-166</t>
        </is>
      </c>
      <c r="B167" s="12" t="inlineStr">
        <is>
          <t>BudgetFoodSection</t>
        </is>
      </c>
      <c r="C167" s="12" t="inlineStr">
        <is>
          <t>Selenium Web UI Testing</t>
        </is>
      </c>
      <c r="D167" s="12" t="inlineStr">
        <is>
          <t>Arabic Right-to-Left (RTL) Layout on Budget Diet &amp; Low-Cost Meal Planner</t>
        </is>
      </c>
      <c r="E167" s="12" t="inlineStr">
        <is>
          <t>1. Launch test runner in Staging / Web Chrome.
2. Navigate to Budget Diet &amp; Low-Cost Meal Planner (BudgetFoodSection).
3. Switch locale to Arabic (ar_SA) on BudgetFoodSection, inspect text direction and icon mirroring.
4. Verify expected results and log evidence.</t>
        </is>
      </c>
      <c r="F167" s="12" t="inlineStr">
        <is>
          <t>Locale: ar_SA, Target: BudgetFoodSection</t>
        </is>
      </c>
      <c r="G167" s="12" t="inlineStr">
        <is>
          <t>UI flips to right-to-left layout with mirrored icons and aligned text.</t>
        </is>
      </c>
      <c r="H167" s="12" t="inlineStr">
        <is>
          <t>Pending Execution</t>
        </is>
      </c>
      <c r="I167" s="13" t="inlineStr">
        <is>
          <t>Not Executed</t>
        </is>
      </c>
      <c r="J167" s="11" t="inlineStr">
        <is>
          <t>Medium</t>
        </is>
      </c>
      <c r="K167" s="11" t="inlineStr">
        <is>
          <t>Major</t>
        </is>
      </c>
      <c r="L167" s="11" t="inlineStr">
        <is>
          <t>Script Ready</t>
        </is>
      </c>
      <c r="M167" s="12" t="inlineStr">
        <is>
          <t>Staging / Web Chrome</t>
        </is>
      </c>
      <c r="N167" s="12" t="inlineStr">
        <is>
          <t>Chrome v126 / Edge v126</t>
        </is>
      </c>
      <c r="O167" s="12" t="inlineStr">
        <is>
          <t>Screen-specific baseline case for Budget Diet &amp; Low-Cost Meal Planner</t>
        </is>
      </c>
    </row>
    <row r="168" ht="36" customHeight="1">
      <c r="A168" s="11" t="inlineStr">
        <is>
          <t>TC-167</t>
        </is>
      </c>
      <c r="B168" s="12" t="inlineStr">
        <is>
          <t>BudgetFoodSection</t>
        </is>
      </c>
      <c r="C168" s="12" t="inlineStr">
        <is>
          <t>Selenium Web UI Testing</t>
        </is>
      </c>
      <c r="D168" s="12" t="inlineStr">
        <is>
          <t>Localization &amp; Multi-Language Switching on Budget Diet &amp; Low-Cost Meal Planner</t>
        </is>
      </c>
      <c r="E168" s="12" t="inlineStr">
        <is>
          <t>1. Launch test runner in Staging / Web Chrome.
2. Navigate to Budget Diet &amp; Low-Cost Meal Planner (BudgetFoodSection).
3. Toggle header language dropdown on BudgetFoodSection between English, Hindi, and Arabic.
4. Verify expected results and log evidence.</t>
        </is>
      </c>
      <c r="F168" s="12" t="inlineStr">
        <is>
          <t>Locales: en, hi, ar</t>
        </is>
      </c>
      <c r="G168" s="12" t="inlineStr">
        <is>
          <t>All visible text strings update to selected language instantly.</t>
        </is>
      </c>
      <c r="H168" s="12" t="inlineStr">
        <is>
          <t>Pending Execution</t>
        </is>
      </c>
      <c r="I168" s="13" t="inlineStr">
        <is>
          <t>Not Executed</t>
        </is>
      </c>
      <c r="J168" s="11" t="inlineStr">
        <is>
          <t>Medium</t>
        </is>
      </c>
      <c r="K168" s="11" t="inlineStr">
        <is>
          <t>Moderate</t>
        </is>
      </c>
      <c r="L168" s="11" t="inlineStr">
        <is>
          <t>Script Ready</t>
        </is>
      </c>
      <c r="M168" s="12" t="inlineStr">
        <is>
          <t>Staging / Web Chrome</t>
        </is>
      </c>
      <c r="N168" s="12" t="inlineStr">
        <is>
          <t>Chrome v126 / Edge v126</t>
        </is>
      </c>
      <c r="O168" s="12" t="inlineStr">
        <is>
          <t>Screen-specific baseline case for Budget Diet &amp; Low-Cost Meal Planner</t>
        </is>
      </c>
    </row>
    <row r="169" ht="36" customHeight="1">
      <c r="A169" s="11" t="inlineStr">
        <is>
          <t>TC-168</t>
        </is>
      </c>
      <c r="B169" s="12" t="inlineStr">
        <is>
          <t>BudgetFoodSection</t>
        </is>
      </c>
      <c r="C169" s="12" t="inlineStr">
        <is>
          <t>Selenium Web UI Testing</t>
        </is>
      </c>
      <c r="D169" s="12" t="inlineStr">
        <is>
          <t>Data Table &amp; Grid State Retention on Budget Diet &amp; Low-Cost Meal Planner</t>
        </is>
      </c>
      <c r="E169" s="12" t="inlineStr">
        <is>
          <t>1. Launch test runner in Staging / Web Chrome.
2. Navigate to Budget Diet &amp; Low-Cost Meal Planner (BudgetFoodSection).
3. Interact with data filters or state controls on BudgetFoodSection, navigate away and return.
4. Verify expected results and log evidence.</t>
        </is>
      </c>
      <c r="F169" s="12" t="inlineStr">
        <is>
          <t>State Payload: BudgetFoodSection_filter</t>
        </is>
      </c>
      <c r="G169" s="12" t="inlineStr">
        <is>
          <t>Screen preserves applied filter state without unexpected reset.</t>
        </is>
      </c>
      <c r="H169" s="12" t="inlineStr">
        <is>
          <t>Pending Execution</t>
        </is>
      </c>
      <c r="I169" s="13" t="inlineStr">
        <is>
          <t>Not Executed</t>
        </is>
      </c>
      <c r="J169" s="11" t="inlineStr">
        <is>
          <t>High</t>
        </is>
      </c>
      <c r="K169" s="11" t="inlineStr">
        <is>
          <t>Critical</t>
        </is>
      </c>
      <c r="L169" s="11" t="inlineStr">
        <is>
          <t>Script Ready</t>
        </is>
      </c>
      <c r="M169" s="12" t="inlineStr">
        <is>
          <t>Staging / Web Chrome</t>
        </is>
      </c>
      <c r="N169" s="12" t="inlineStr">
        <is>
          <t>Chrome v126 / Edge v126</t>
        </is>
      </c>
      <c r="O169" s="12" t="inlineStr">
        <is>
          <t>Screen-specific baseline case for Budget Diet &amp; Low-Cost Meal Planner</t>
        </is>
      </c>
    </row>
    <row r="170" ht="36" customHeight="1">
      <c r="A170" s="11" t="inlineStr">
        <is>
          <t>TC-169</t>
        </is>
      </c>
      <c r="B170" s="12" t="inlineStr">
        <is>
          <t>BudgetFoodSection</t>
        </is>
      </c>
      <c r="C170" s="12" t="inlineStr">
        <is>
          <t>Selenium Web UI Testing</t>
        </is>
      </c>
      <c r="D170" s="12" t="inlineStr">
        <is>
          <t>Modal Backdrop &amp; Keyboard Escape on Budget Diet &amp; Low-Cost Meal Planner</t>
        </is>
      </c>
      <c r="E170" s="12" t="inlineStr">
        <is>
          <t>1. Launch test runner in Staging / Web Chrome.
2. Navigate to Budget Diet &amp; Low-Cost Meal Planner (BudgetFoodSection).
3. Trigger pop-up dialog/modal on BudgetFoodSection, press Escape key to dismiss.
4. Verify expected results and log evidence.</t>
        </is>
      </c>
      <c r="F170" s="12" t="inlineStr">
        <is>
          <t>Modal Target: BudgetFoodSection</t>
        </is>
      </c>
      <c r="G170" s="12" t="inlineStr">
        <is>
          <t>Modal closes smoothly and returns focus to parent container.</t>
        </is>
      </c>
      <c r="H170" s="12" t="inlineStr">
        <is>
          <t>Pending Execution</t>
        </is>
      </c>
      <c r="I170" s="13" t="inlineStr">
        <is>
          <t>Not Executed</t>
        </is>
      </c>
      <c r="J170" s="11" t="inlineStr">
        <is>
          <t>Medium</t>
        </is>
      </c>
      <c r="K170" s="11" t="inlineStr">
        <is>
          <t>Moderate</t>
        </is>
      </c>
      <c r="L170" s="11" t="inlineStr">
        <is>
          <t>Script Ready</t>
        </is>
      </c>
      <c r="M170" s="12" t="inlineStr">
        <is>
          <t>Staging / Web Chrome</t>
        </is>
      </c>
      <c r="N170" s="12" t="inlineStr">
        <is>
          <t>Chrome v126 / Edge v126</t>
        </is>
      </c>
      <c r="O170" s="12" t="inlineStr">
        <is>
          <t>Screen-specific baseline case for Budget Diet &amp; Low-Cost Meal Planner</t>
        </is>
      </c>
    </row>
    <row r="171" ht="36" customHeight="1">
      <c r="A171" s="11" t="inlineStr">
        <is>
          <t>TC-170</t>
        </is>
      </c>
      <c r="B171" s="12" t="inlineStr">
        <is>
          <t>BudgetFoodSection</t>
        </is>
      </c>
      <c r="C171" s="12" t="inlineStr">
        <is>
          <t>Selenium Web UI Testing</t>
        </is>
      </c>
      <c r="D171" s="12" t="inlineStr">
        <is>
          <t>Network Failure UI Fallback on Budget Diet &amp; Low-Cost Meal Planner</t>
        </is>
      </c>
      <c r="E171" s="12" t="inlineStr">
        <is>
          <t>1. Launch test runner in Staging / Web Chrome.
2. Navigate to Budget Diet &amp; Low-Cost Meal Planner (BudgetFoodSection).
3. Throttled network to offline mode while viewing BudgetFoodSection, attempt UI interaction.
4. Verify expected results and log evidence.</t>
        </is>
      </c>
      <c r="F171" s="12" t="inlineStr">
        <is>
          <t>Network: Offline, Target: BudgetFoodSection</t>
        </is>
      </c>
      <c r="G171" s="12" t="inlineStr">
        <is>
          <t>User-friendly offline banner appears with retry button.</t>
        </is>
      </c>
      <c r="H171" s="12" t="inlineStr">
        <is>
          <t>Pending Execution</t>
        </is>
      </c>
      <c r="I171" s="13" t="inlineStr">
        <is>
          <t>Not Executed</t>
        </is>
      </c>
      <c r="J171" s="11" t="inlineStr">
        <is>
          <t>Low</t>
        </is>
      </c>
      <c r="K171" s="11" t="inlineStr">
        <is>
          <t>Major</t>
        </is>
      </c>
      <c r="L171" s="11" t="inlineStr">
        <is>
          <t>Script Ready</t>
        </is>
      </c>
      <c r="M171" s="12" t="inlineStr">
        <is>
          <t>Staging / Web Chrome</t>
        </is>
      </c>
      <c r="N171" s="12" t="inlineStr">
        <is>
          <t>Chrome v126 / Edge v126</t>
        </is>
      </c>
      <c r="O171" s="12" t="inlineStr">
        <is>
          <t>Screen-specific baseline case for Budget Diet &amp; Low-Cost Meal Planner</t>
        </is>
      </c>
    </row>
    <row r="172" ht="36" customHeight="1">
      <c r="A172" s="11" t="inlineStr">
        <is>
          <t>TC-171</t>
        </is>
      </c>
      <c r="B172" s="12" t="inlineStr">
        <is>
          <t>PlansTab</t>
        </is>
      </c>
      <c r="C172" s="12" t="inlineStr">
        <is>
          <t>Selenium Web UI Testing</t>
        </is>
      </c>
      <c r="D172" s="12" t="inlineStr">
        <is>
          <t>Positive Web UI Layout on Workout &amp; Meal Plans Catalog Tab</t>
        </is>
      </c>
      <c r="E172" s="12" t="inlineStr">
        <is>
          <t>1. Launch test runner in Staging / Web Chrome.
2. Navigate to Workout &amp; Meal Plans Catalog Tab (PlansTab).
3. Launch browser, navigate to PlansTab, verify grid container alignment and responsive element scaling.
4. Verify expected results and log evidence.</t>
        </is>
      </c>
      <c r="F172" s="12" t="inlineStr">
        <is>
          <t>Viewport: 1920x1080, Screen: PlansTab</t>
        </is>
      </c>
      <c r="G172" s="12" t="inlineStr">
        <is>
          <t>UI components align cleanly without scrollbar clipping or overflow.</t>
        </is>
      </c>
      <c r="H172" s="12" t="inlineStr">
        <is>
          <t>Pending Execution</t>
        </is>
      </c>
      <c r="I172" s="13" t="inlineStr">
        <is>
          <t>Not Executed</t>
        </is>
      </c>
      <c r="J172" s="11" t="inlineStr">
        <is>
          <t>High</t>
        </is>
      </c>
      <c r="K172" s="11" t="inlineStr">
        <is>
          <t>Moderate</t>
        </is>
      </c>
      <c r="L172" s="11" t="inlineStr">
        <is>
          <t>Script Ready</t>
        </is>
      </c>
      <c r="M172" s="12" t="inlineStr">
        <is>
          <t>Staging / Web Chrome</t>
        </is>
      </c>
      <c r="N172" s="12" t="inlineStr">
        <is>
          <t>Chrome v126 / Edge v126</t>
        </is>
      </c>
      <c r="O172" s="12" t="inlineStr">
        <is>
          <t>Screen-specific baseline case for Workout &amp; Meal Plans Catalog Tab</t>
        </is>
      </c>
    </row>
    <row r="173" ht="36" customHeight="1">
      <c r="A173" s="11" t="inlineStr">
        <is>
          <t>TC-172</t>
        </is>
      </c>
      <c r="B173" s="12" t="inlineStr">
        <is>
          <t>PlansTab</t>
        </is>
      </c>
      <c r="C173" s="12" t="inlineStr">
        <is>
          <t>Selenium Web UI Testing</t>
        </is>
      </c>
      <c r="D173" s="12" t="inlineStr">
        <is>
          <t>Negative Input Form Validation on Workout &amp; Meal Plans Catalog Tab</t>
        </is>
      </c>
      <c r="E173" s="12" t="inlineStr">
        <is>
          <t>1. Launch test runner in Staging / Web Chrome.
2. Navigate to Workout &amp; Meal Plans Catalog Tab (PlansTab).
3. Focus input controls on PlansTab, enter out-of-bound strings, trigger blur event.
4. Verify expected results and log evidence.</t>
        </is>
      </c>
      <c r="F173" s="12" t="inlineStr">
        <is>
          <t>Input: invalid_string, Screen: PlansTab</t>
        </is>
      </c>
      <c r="G173" s="12" t="inlineStr">
        <is>
          <t>Validation badge displays accessible aria error message.</t>
        </is>
      </c>
      <c r="H173" s="12" t="inlineStr">
        <is>
          <t>Pending Execution</t>
        </is>
      </c>
      <c r="I173" s="13" t="inlineStr">
        <is>
          <t>Not Executed</t>
        </is>
      </c>
      <c r="J173" s="11" t="inlineStr">
        <is>
          <t>Medium</t>
        </is>
      </c>
      <c r="K173" s="11" t="inlineStr">
        <is>
          <t>Major</t>
        </is>
      </c>
      <c r="L173" s="11" t="inlineStr">
        <is>
          <t>Script Ready</t>
        </is>
      </c>
      <c r="M173" s="12" t="inlineStr">
        <is>
          <t>Staging / Web Chrome</t>
        </is>
      </c>
      <c r="N173" s="12" t="inlineStr">
        <is>
          <t>Chrome v126 / Edge v126</t>
        </is>
      </c>
      <c r="O173" s="12" t="inlineStr">
        <is>
          <t>Screen-specific baseline case for Workout &amp; Meal Plans Catalog Tab</t>
        </is>
      </c>
    </row>
    <row r="174" ht="36" customHeight="1">
      <c r="A174" s="11" t="inlineStr">
        <is>
          <t>TC-173</t>
        </is>
      </c>
      <c r="B174" s="12" t="inlineStr">
        <is>
          <t>PlansTab</t>
        </is>
      </c>
      <c r="C174" s="12" t="inlineStr">
        <is>
          <t>Selenium Web UI Testing</t>
        </is>
      </c>
      <c r="D174" s="12" t="inlineStr">
        <is>
          <t>Boundary Viewport Responsiveness on Workout &amp; Meal Plans Catalog Tab</t>
        </is>
      </c>
      <c r="E174" s="12" t="inlineStr">
        <is>
          <t>1. Launch test runner in Staging / Web Chrome.
2. Navigate to Workout &amp; Meal Plans Catalog Tab (PlansTab).
3. Resize web browser window from 320px mobile breakpoint up to 4K desktop width.
4. Verify expected results and log evidence.</t>
        </is>
      </c>
      <c r="F174" s="12" t="inlineStr">
        <is>
          <t>Breakpoint Widths: [320, 768, 1024, 1440, 3840]</t>
        </is>
      </c>
      <c r="G174" s="12" t="inlineStr">
        <is>
          <t>Layout adapts responsively without overlapping UI text nodes.</t>
        </is>
      </c>
      <c r="H174" s="12" t="inlineStr">
        <is>
          <t>Pending Execution</t>
        </is>
      </c>
      <c r="I174" s="13" t="inlineStr">
        <is>
          <t>Not Executed</t>
        </is>
      </c>
      <c r="J174" s="11" t="inlineStr">
        <is>
          <t>Medium</t>
        </is>
      </c>
      <c r="K174" s="11" t="inlineStr">
        <is>
          <t>Moderate</t>
        </is>
      </c>
      <c r="L174" s="11" t="inlineStr">
        <is>
          <t>Script Ready</t>
        </is>
      </c>
      <c r="M174" s="12" t="inlineStr">
        <is>
          <t>Staging / Web Chrome</t>
        </is>
      </c>
      <c r="N174" s="12" t="inlineStr">
        <is>
          <t>Chrome v126 / Edge v126</t>
        </is>
      </c>
      <c r="O174" s="12" t="inlineStr">
        <is>
          <t>Screen-specific baseline case for Workout &amp; Meal Plans Catalog Tab</t>
        </is>
      </c>
    </row>
    <row r="175" ht="36" customHeight="1">
      <c r="A175" s="11" t="inlineStr">
        <is>
          <t>TC-174</t>
        </is>
      </c>
      <c r="B175" s="12" t="inlineStr">
        <is>
          <t>PlansTab</t>
        </is>
      </c>
      <c r="C175" s="12" t="inlineStr">
        <is>
          <t>Selenium Web UI Testing</t>
        </is>
      </c>
      <c r="D175" s="12" t="inlineStr">
        <is>
          <t>Interactive Hover &amp; Focus Traversal on Workout &amp; Meal Plans Catalog Tab</t>
        </is>
      </c>
      <c r="E175" s="12" t="inlineStr">
        <is>
          <t>1. Launch test runner in Staging / Web Chrome.
2. Navigate to Workout &amp; Meal Plans Catalog Tab (PlansTab).
3. Tab through interactive focusable nodes on PlansTab, hover cursor over CTA buttons.
4. Verify expected results and log evidence.</t>
        </is>
      </c>
      <c r="F175" s="12" t="inlineStr">
        <is>
          <t>Key Navigation: TAB, Hover target: PlansTab</t>
        </is>
      </c>
      <c r="G175" s="12" t="inlineStr">
        <is>
          <t>Focus ring highlights elements in logical DOM tab order.</t>
        </is>
      </c>
      <c r="H175" s="12" t="inlineStr">
        <is>
          <t>Pending Execution</t>
        </is>
      </c>
      <c r="I175" s="13" t="inlineStr">
        <is>
          <t>Not Executed</t>
        </is>
      </c>
      <c r="J175" s="11" t="inlineStr">
        <is>
          <t>High</t>
        </is>
      </c>
      <c r="K175" s="11" t="inlineStr">
        <is>
          <t>Major</t>
        </is>
      </c>
      <c r="L175" s="11" t="inlineStr">
        <is>
          <t>Script Ready</t>
        </is>
      </c>
      <c r="M175" s="12" t="inlineStr">
        <is>
          <t>Staging / Web Chrome</t>
        </is>
      </c>
      <c r="N175" s="12" t="inlineStr">
        <is>
          <t>Chrome v126 / Edge v126</t>
        </is>
      </c>
      <c r="O175" s="12" t="inlineStr">
        <is>
          <t>Screen-specific baseline case for Workout &amp; Meal Plans Catalog Tab</t>
        </is>
      </c>
    </row>
    <row r="176" ht="36" customHeight="1">
      <c r="A176" s="11" t="inlineStr">
        <is>
          <t>TC-175</t>
        </is>
      </c>
      <c r="B176" s="12" t="inlineStr">
        <is>
          <t>PlansTab</t>
        </is>
      </c>
      <c r="C176" s="12" t="inlineStr">
        <is>
          <t>Selenium Web UI Testing</t>
        </is>
      </c>
      <c r="D176" s="12" t="inlineStr">
        <is>
          <t>Cross-Browser Rendering Parity on Workout &amp; Meal Plans Catalog Tab</t>
        </is>
      </c>
      <c r="E176" s="12" t="inlineStr">
        <is>
          <t>1. Launch test runner in Staging / Web Chrome.
2. Navigate to Workout &amp; Meal Plans Catalog Tab (PlansTab).
3. Execute UI test suite for PlansTab across Chrome, Firefox, Safari, and Edge.
4. Verify expected results and log evidence.</t>
        </is>
      </c>
      <c r="F176" s="12" t="inlineStr">
        <is>
          <t>Browsers: Chrome, Firefox, Safari, Edge</t>
        </is>
      </c>
      <c r="G176" s="12" t="inlineStr">
        <is>
          <t>DOM element styles render identically with zero CSS misalignment.</t>
        </is>
      </c>
      <c r="H176" s="12" t="inlineStr">
        <is>
          <t>Pending Execution</t>
        </is>
      </c>
      <c r="I176" s="13" t="inlineStr">
        <is>
          <t>Not Executed</t>
        </is>
      </c>
      <c r="J176" s="11" t="inlineStr">
        <is>
          <t>Low</t>
        </is>
      </c>
      <c r="K176" s="11" t="inlineStr">
        <is>
          <t>Critical</t>
        </is>
      </c>
      <c r="L176" s="11" t="inlineStr">
        <is>
          <t>Script Ready</t>
        </is>
      </c>
      <c r="M176" s="12" t="inlineStr">
        <is>
          <t>Staging / Web Chrome</t>
        </is>
      </c>
      <c r="N176" s="12" t="inlineStr">
        <is>
          <t>Chrome v126 / Edge v126</t>
        </is>
      </c>
      <c r="O176" s="12" t="inlineStr">
        <is>
          <t>Screen-specific baseline case for Workout &amp; Meal Plans Catalog Tab</t>
        </is>
      </c>
    </row>
    <row r="177" ht="36" customHeight="1">
      <c r="A177" s="11" t="inlineStr">
        <is>
          <t>TC-176</t>
        </is>
      </c>
      <c r="B177" s="12" t="inlineStr">
        <is>
          <t>PlansTab</t>
        </is>
      </c>
      <c r="C177" s="12" t="inlineStr">
        <is>
          <t>Selenium Web UI Testing</t>
        </is>
      </c>
      <c r="D177" s="12" t="inlineStr">
        <is>
          <t>Arabic Right-to-Left (RTL) Layout on Workout &amp; Meal Plans Catalog Tab</t>
        </is>
      </c>
      <c r="E177" s="12" t="inlineStr">
        <is>
          <t>1. Launch test runner in Staging / Web Chrome.
2. Navigate to Workout &amp; Meal Plans Catalog Tab (PlansTab).
3. Switch locale to Arabic (ar_SA) on PlansTab, inspect text direction and icon mirroring.
4. Verify expected results and log evidence.</t>
        </is>
      </c>
      <c r="F177" s="12" t="inlineStr">
        <is>
          <t>Locale: ar_SA, Target: PlansTab</t>
        </is>
      </c>
      <c r="G177" s="12" t="inlineStr">
        <is>
          <t>UI flips to right-to-left layout with mirrored icons and aligned text.</t>
        </is>
      </c>
      <c r="H177" s="12" t="inlineStr">
        <is>
          <t>Pending Execution</t>
        </is>
      </c>
      <c r="I177" s="13" t="inlineStr">
        <is>
          <t>Not Executed</t>
        </is>
      </c>
      <c r="J177" s="11" t="inlineStr">
        <is>
          <t>Medium</t>
        </is>
      </c>
      <c r="K177" s="11" t="inlineStr">
        <is>
          <t>Major</t>
        </is>
      </c>
      <c r="L177" s="11" t="inlineStr">
        <is>
          <t>Script Ready</t>
        </is>
      </c>
      <c r="M177" s="12" t="inlineStr">
        <is>
          <t>Staging / Web Chrome</t>
        </is>
      </c>
      <c r="N177" s="12" t="inlineStr">
        <is>
          <t>Chrome v126 / Edge v126</t>
        </is>
      </c>
      <c r="O177" s="12" t="inlineStr">
        <is>
          <t>Screen-specific baseline case for Workout &amp; Meal Plans Catalog Tab</t>
        </is>
      </c>
    </row>
    <row r="178" ht="36" customHeight="1">
      <c r="A178" s="11" t="inlineStr">
        <is>
          <t>TC-177</t>
        </is>
      </c>
      <c r="B178" s="12" t="inlineStr">
        <is>
          <t>PlansTab</t>
        </is>
      </c>
      <c r="C178" s="12" t="inlineStr">
        <is>
          <t>Selenium Web UI Testing</t>
        </is>
      </c>
      <c r="D178" s="12" t="inlineStr">
        <is>
          <t>Localization &amp; Multi-Language Switching on Workout &amp; Meal Plans Catalog Tab</t>
        </is>
      </c>
      <c r="E178" s="12" t="inlineStr">
        <is>
          <t>1. Launch test runner in Staging / Web Chrome.
2. Navigate to Workout &amp; Meal Plans Catalog Tab (PlansTab).
3. Toggle header language dropdown on PlansTab between English, Hindi, and Arabic.
4. Verify expected results and log evidence.</t>
        </is>
      </c>
      <c r="F178" s="12" t="inlineStr">
        <is>
          <t>Locales: en, hi, ar</t>
        </is>
      </c>
      <c r="G178" s="12" t="inlineStr">
        <is>
          <t>All visible text strings update to selected language instantly.</t>
        </is>
      </c>
      <c r="H178" s="12" t="inlineStr">
        <is>
          <t>Pending Execution</t>
        </is>
      </c>
      <c r="I178" s="13" t="inlineStr">
        <is>
          <t>Not Executed</t>
        </is>
      </c>
      <c r="J178" s="11" t="inlineStr">
        <is>
          <t>High</t>
        </is>
      </c>
      <c r="K178" s="11" t="inlineStr">
        <is>
          <t>Moderate</t>
        </is>
      </c>
      <c r="L178" s="11" t="inlineStr">
        <is>
          <t>Script Ready</t>
        </is>
      </c>
      <c r="M178" s="12" t="inlineStr">
        <is>
          <t>Staging / Web Chrome</t>
        </is>
      </c>
      <c r="N178" s="12" t="inlineStr">
        <is>
          <t>Chrome v126 / Edge v126</t>
        </is>
      </c>
      <c r="O178" s="12" t="inlineStr">
        <is>
          <t>Screen-specific baseline case for Workout &amp; Meal Plans Catalog Tab</t>
        </is>
      </c>
    </row>
    <row r="179" ht="36" customHeight="1">
      <c r="A179" s="11" t="inlineStr">
        <is>
          <t>TC-178</t>
        </is>
      </c>
      <c r="B179" s="12" t="inlineStr">
        <is>
          <t>PlansTab</t>
        </is>
      </c>
      <c r="C179" s="12" t="inlineStr">
        <is>
          <t>Selenium Web UI Testing</t>
        </is>
      </c>
      <c r="D179" s="12" t="inlineStr">
        <is>
          <t>Data Table &amp; Grid State Retention on Workout &amp; Meal Plans Catalog Tab</t>
        </is>
      </c>
      <c r="E179" s="12" t="inlineStr">
        <is>
          <t>1. Launch test runner in Staging / Web Chrome.
2. Navigate to Workout &amp; Meal Plans Catalog Tab (PlansTab).
3. Interact with data filters or state controls on PlansTab, navigate away and return.
4. Verify expected results and log evidence.</t>
        </is>
      </c>
      <c r="F179" s="12" t="inlineStr">
        <is>
          <t>State Payload: PlansTab_filter</t>
        </is>
      </c>
      <c r="G179" s="12" t="inlineStr">
        <is>
          <t>Screen preserves applied filter state without unexpected reset.</t>
        </is>
      </c>
      <c r="H179" s="12" t="inlineStr">
        <is>
          <t>Pending Execution</t>
        </is>
      </c>
      <c r="I179" s="13" t="inlineStr">
        <is>
          <t>Not Executed</t>
        </is>
      </c>
      <c r="J179" s="11" t="inlineStr">
        <is>
          <t>Medium</t>
        </is>
      </c>
      <c r="K179" s="11" t="inlineStr">
        <is>
          <t>Major</t>
        </is>
      </c>
      <c r="L179" s="11" t="inlineStr">
        <is>
          <t>Script Ready</t>
        </is>
      </c>
      <c r="M179" s="12" t="inlineStr">
        <is>
          <t>Staging / Web Chrome</t>
        </is>
      </c>
      <c r="N179" s="12" t="inlineStr">
        <is>
          <t>Chrome v126 / Edge v126</t>
        </is>
      </c>
      <c r="O179" s="12" t="inlineStr">
        <is>
          <t>Screen-specific baseline case for Workout &amp; Meal Plans Catalog Tab</t>
        </is>
      </c>
    </row>
    <row r="180" ht="36" customHeight="1">
      <c r="A180" s="11" t="inlineStr">
        <is>
          <t>TC-179</t>
        </is>
      </c>
      <c r="B180" s="12" t="inlineStr">
        <is>
          <t>PlansTab</t>
        </is>
      </c>
      <c r="C180" s="12" t="inlineStr">
        <is>
          <t>Selenium Web UI Testing</t>
        </is>
      </c>
      <c r="D180" s="12" t="inlineStr">
        <is>
          <t>Modal Backdrop &amp; Keyboard Escape on Workout &amp; Meal Plans Catalog Tab</t>
        </is>
      </c>
      <c r="E180" s="12" t="inlineStr">
        <is>
          <t>1. Launch test runner in Staging / Web Chrome.
2. Navigate to Workout &amp; Meal Plans Catalog Tab (PlansTab).
3. Trigger pop-up dialog/modal on PlansTab, press Escape key to dismiss.
4. Verify expected results and log evidence.</t>
        </is>
      </c>
      <c r="F180" s="12" t="inlineStr">
        <is>
          <t>Modal Target: PlansTab</t>
        </is>
      </c>
      <c r="G180" s="12" t="inlineStr">
        <is>
          <t>Modal closes smoothly and returns focus to parent container.</t>
        </is>
      </c>
      <c r="H180" s="12" t="inlineStr">
        <is>
          <t>Pending Execution</t>
        </is>
      </c>
      <c r="I180" s="13" t="inlineStr">
        <is>
          <t>Not Executed</t>
        </is>
      </c>
      <c r="J180" s="11" t="inlineStr">
        <is>
          <t>Medium</t>
        </is>
      </c>
      <c r="K180" s="11" t="inlineStr">
        <is>
          <t>Moderate</t>
        </is>
      </c>
      <c r="L180" s="11" t="inlineStr">
        <is>
          <t>Script Ready</t>
        </is>
      </c>
      <c r="M180" s="12" t="inlineStr">
        <is>
          <t>Staging / Web Chrome</t>
        </is>
      </c>
      <c r="N180" s="12" t="inlineStr">
        <is>
          <t>Chrome v126 / Edge v126</t>
        </is>
      </c>
      <c r="O180" s="12" t="inlineStr">
        <is>
          <t>Screen-specific baseline case for Workout &amp; Meal Plans Catalog Tab</t>
        </is>
      </c>
    </row>
    <row r="181" ht="36" customHeight="1">
      <c r="A181" s="11" t="inlineStr">
        <is>
          <t>TC-180</t>
        </is>
      </c>
      <c r="B181" s="12" t="inlineStr">
        <is>
          <t>PlansTab</t>
        </is>
      </c>
      <c r="C181" s="12" t="inlineStr">
        <is>
          <t>Selenium Web UI Testing</t>
        </is>
      </c>
      <c r="D181" s="12" t="inlineStr">
        <is>
          <t>Network Failure UI Fallback on Workout &amp; Meal Plans Catalog Tab</t>
        </is>
      </c>
      <c r="E181" s="12" t="inlineStr">
        <is>
          <t>1. Launch test runner in Staging / Web Chrome.
2. Navigate to Workout &amp; Meal Plans Catalog Tab (PlansTab).
3. Throttled network to offline mode while viewing PlansTab, attempt UI interaction.
4. Verify expected results and log evidence.</t>
        </is>
      </c>
      <c r="F181" s="12" t="inlineStr">
        <is>
          <t>Network: Offline, Target: PlansTab</t>
        </is>
      </c>
      <c r="G181" s="12" t="inlineStr">
        <is>
          <t>User-friendly offline banner appears with retry button.</t>
        </is>
      </c>
      <c r="H181" s="12" t="inlineStr">
        <is>
          <t>Pending Execution</t>
        </is>
      </c>
      <c r="I181" s="13" t="inlineStr">
        <is>
          <t>Not Executed</t>
        </is>
      </c>
      <c r="J181" s="11" t="inlineStr">
        <is>
          <t>High</t>
        </is>
      </c>
      <c r="K181" s="11" t="inlineStr">
        <is>
          <t>Major</t>
        </is>
      </c>
      <c r="L181" s="11" t="inlineStr">
        <is>
          <t>Script Ready</t>
        </is>
      </c>
      <c r="M181" s="12" t="inlineStr">
        <is>
          <t>Staging / Web Chrome</t>
        </is>
      </c>
      <c r="N181" s="12" t="inlineStr">
        <is>
          <t>Chrome v126 / Edge v126</t>
        </is>
      </c>
      <c r="O181" s="12" t="inlineStr">
        <is>
          <t>Screen-specific baseline case for Workout &amp; Meal Plans Catalog Tab</t>
        </is>
      </c>
    </row>
    <row r="182" ht="36" customHeight="1">
      <c r="A182" s="11" t="inlineStr">
        <is>
          <t>TC-181</t>
        </is>
      </c>
      <c r="B182" s="12" t="inlineStr">
        <is>
          <t>TrackersTab</t>
        </is>
      </c>
      <c r="C182" s="12" t="inlineStr">
        <is>
          <t>Selenium Web UI Testing</t>
        </is>
      </c>
      <c r="D182" s="12" t="inlineStr">
        <is>
          <t>Positive Web UI Layout on Health Trackers Overview Tab</t>
        </is>
      </c>
      <c r="E182" s="12" t="inlineStr">
        <is>
          <t>1. Launch test runner in Staging / Web Chrome.
2. Navigate to Health Trackers Overview Tab (TrackersTab).
3. Launch browser, navigate to TrackersTab, verify grid container alignment and responsive element scaling.
4. Verify expected results and log evidence.</t>
        </is>
      </c>
      <c r="F182" s="12" t="inlineStr">
        <is>
          <t>Viewport: 1920x1080, Screen: TrackersTab</t>
        </is>
      </c>
      <c r="G182" s="12" t="inlineStr">
        <is>
          <t>UI components align cleanly without scrollbar clipping or overflow.</t>
        </is>
      </c>
      <c r="H182" s="12" t="inlineStr">
        <is>
          <t>Pending Execution</t>
        </is>
      </c>
      <c r="I182" s="13" t="inlineStr">
        <is>
          <t>Not Executed</t>
        </is>
      </c>
      <c r="J182" s="11" t="inlineStr">
        <is>
          <t>Medium</t>
        </is>
      </c>
      <c r="K182" s="11" t="inlineStr">
        <is>
          <t>Moderate</t>
        </is>
      </c>
      <c r="L182" s="11" t="inlineStr">
        <is>
          <t>Script Ready</t>
        </is>
      </c>
      <c r="M182" s="12" t="inlineStr">
        <is>
          <t>Staging / Web Chrome</t>
        </is>
      </c>
      <c r="N182" s="12" t="inlineStr">
        <is>
          <t>Chrome v126 / Edge v126</t>
        </is>
      </c>
      <c r="O182" s="12" t="inlineStr">
        <is>
          <t>Screen-specific baseline case for Health Trackers Overview Tab</t>
        </is>
      </c>
    </row>
    <row r="183" ht="36" customHeight="1">
      <c r="A183" s="11" t="inlineStr">
        <is>
          <t>TC-182</t>
        </is>
      </c>
      <c r="B183" s="12" t="inlineStr">
        <is>
          <t>TrackersTab</t>
        </is>
      </c>
      <c r="C183" s="12" t="inlineStr">
        <is>
          <t>Selenium Web UI Testing</t>
        </is>
      </c>
      <c r="D183" s="12" t="inlineStr">
        <is>
          <t>Negative Input Form Validation on Health Trackers Overview Tab</t>
        </is>
      </c>
      <c r="E183" s="12" t="inlineStr">
        <is>
          <t>1. Launch test runner in Staging / Web Chrome.
2. Navigate to Health Trackers Overview Tab (TrackersTab).
3. Focus input controls on TrackersTab, enter out-of-bound strings, trigger blur event.
4. Verify expected results and log evidence.</t>
        </is>
      </c>
      <c r="F183" s="12" t="inlineStr">
        <is>
          <t>Input: invalid_string, Screen: TrackersTab</t>
        </is>
      </c>
      <c r="G183" s="12" t="inlineStr">
        <is>
          <t>Validation badge displays accessible aria error message.</t>
        </is>
      </c>
      <c r="H183" s="12" t="inlineStr">
        <is>
          <t>Pending Execution</t>
        </is>
      </c>
      <c r="I183" s="13" t="inlineStr">
        <is>
          <t>Not Executed</t>
        </is>
      </c>
      <c r="J183" s="11" t="inlineStr">
        <is>
          <t>Medium</t>
        </is>
      </c>
      <c r="K183" s="11" t="inlineStr">
        <is>
          <t>Critical</t>
        </is>
      </c>
      <c r="L183" s="11" t="inlineStr">
        <is>
          <t>Script Ready</t>
        </is>
      </c>
      <c r="M183" s="12" t="inlineStr">
        <is>
          <t>Staging / Web Chrome</t>
        </is>
      </c>
      <c r="N183" s="12" t="inlineStr">
        <is>
          <t>Chrome v126 / Edge v126</t>
        </is>
      </c>
      <c r="O183" s="12" t="inlineStr">
        <is>
          <t>Screen-specific baseline case for Health Trackers Overview Tab</t>
        </is>
      </c>
    </row>
    <row r="184" ht="36" customHeight="1">
      <c r="A184" s="11" t="inlineStr">
        <is>
          <t>TC-183</t>
        </is>
      </c>
      <c r="B184" s="12" t="inlineStr">
        <is>
          <t>TrackersTab</t>
        </is>
      </c>
      <c r="C184" s="12" t="inlineStr">
        <is>
          <t>Selenium Web UI Testing</t>
        </is>
      </c>
      <c r="D184" s="12" t="inlineStr">
        <is>
          <t>Boundary Viewport Responsiveness on Health Trackers Overview Tab</t>
        </is>
      </c>
      <c r="E184" s="12" t="inlineStr">
        <is>
          <t>1. Launch test runner in Staging / Web Chrome.
2. Navigate to Health Trackers Overview Tab (TrackersTab).
3. Resize web browser window from 320px mobile breakpoint up to 4K desktop width.
4. Verify expected results and log evidence.</t>
        </is>
      </c>
      <c r="F184" s="12" t="inlineStr">
        <is>
          <t>Breakpoint Widths: [320, 768, 1024, 1440, 3840]</t>
        </is>
      </c>
      <c r="G184" s="12" t="inlineStr">
        <is>
          <t>Layout adapts responsively without overlapping UI text nodes.</t>
        </is>
      </c>
      <c r="H184" s="12" t="inlineStr">
        <is>
          <t>Pending Execution</t>
        </is>
      </c>
      <c r="I184" s="13" t="inlineStr">
        <is>
          <t>Not Executed</t>
        </is>
      </c>
      <c r="J184" s="11" t="inlineStr">
        <is>
          <t>High</t>
        </is>
      </c>
      <c r="K184" s="11" t="inlineStr">
        <is>
          <t>Moderate</t>
        </is>
      </c>
      <c r="L184" s="11" t="inlineStr">
        <is>
          <t>Script Ready</t>
        </is>
      </c>
      <c r="M184" s="12" t="inlineStr">
        <is>
          <t>Staging / Web Chrome</t>
        </is>
      </c>
      <c r="N184" s="12" t="inlineStr">
        <is>
          <t>Chrome v126 / Edge v126</t>
        </is>
      </c>
      <c r="O184" s="12" t="inlineStr">
        <is>
          <t>Screen-specific baseline case for Health Trackers Overview Tab</t>
        </is>
      </c>
    </row>
    <row r="185" ht="36" customHeight="1">
      <c r="A185" s="11" t="inlineStr">
        <is>
          <t>TC-184</t>
        </is>
      </c>
      <c r="B185" s="12" t="inlineStr">
        <is>
          <t>TrackersTab</t>
        </is>
      </c>
      <c r="C185" s="12" t="inlineStr">
        <is>
          <t>Selenium Web UI Testing</t>
        </is>
      </c>
      <c r="D185" s="12" t="inlineStr">
        <is>
          <t>Interactive Hover &amp; Focus Traversal on Health Trackers Overview Tab</t>
        </is>
      </c>
      <c r="E185" s="12" t="inlineStr">
        <is>
          <t>1. Launch test runner in Staging / Web Chrome.
2. Navigate to Health Trackers Overview Tab (TrackersTab).
3. Tab through interactive focusable nodes on TrackersTab, hover cursor over CTA buttons.
4. Verify expected results and log evidence.</t>
        </is>
      </c>
      <c r="F185" s="12" t="inlineStr">
        <is>
          <t>Key Navigation: TAB, Hover target: TrackersTab</t>
        </is>
      </c>
      <c r="G185" s="12" t="inlineStr">
        <is>
          <t>Focus ring highlights elements in logical DOM tab order.</t>
        </is>
      </c>
      <c r="H185" s="12" t="inlineStr">
        <is>
          <t>Pending Execution</t>
        </is>
      </c>
      <c r="I185" s="13" t="inlineStr">
        <is>
          <t>Not Executed</t>
        </is>
      </c>
      <c r="J185" s="11" t="inlineStr">
        <is>
          <t>Medium</t>
        </is>
      </c>
      <c r="K185" s="11" t="inlineStr">
        <is>
          <t>Major</t>
        </is>
      </c>
      <c r="L185" s="11" t="inlineStr">
        <is>
          <t>Script Ready</t>
        </is>
      </c>
      <c r="M185" s="12" t="inlineStr">
        <is>
          <t>Staging / Web Chrome</t>
        </is>
      </c>
      <c r="N185" s="12" t="inlineStr">
        <is>
          <t>Chrome v126 / Edge v126</t>
        </is>
      </c>
      <c r="O185" s="12" t="inlineStr">
        <is>
          <t>Screen-specific baseline case for Health Trackers Overview Tab</t>
        </is>
      </c>
    </row>
    <row r="186" ht="36" customHeight="1">
      <c r="A186" s="11" t="inlineStr">
        <is>
          <t>TC-185</t>
        </is>
      </c>
      <c r="B186" s="12" t="inlineStr">
        <is>
          <t>TrackersTab</t>
        </is>
      </c>
      <c r="C186" s="12" t="inlineStr">
        <is>
          <t>Selenium Web UI Testing</t>
        </is>
      </c>
      <c r="D186" s="12" t="inlineStr">
        <is>
          <t>Cross-Browser Rendering Parity on Health Trackers Overview Tab</t>
        </is>
      </c>
      <c r="E186" s="12" t="inlineStr">
        <is>
          <t>1. Launch test runner in Staging / Web Chrome.
2. Navigate to Health Trackers Overview Tab (TrackersTab).
3. Execute UI test suite for TrackersTab across Chrome, Firefox, Safari, and Edge.
4. Verify expected results and log evidence.</t>
        </is>
      </c>
      <c r="F186" s="12" t="inlineStr">
        <is>
          <t>Browsers: Chrome, Firefox, Safari, Edge</t>
        </is>
      </c>
      <c r="G186" s="12" t="inlineStr">
        <is>
          <t>DOM element styles render identically with zero CSS misalignment.</t>
        </is>
      </c>
      <c r="H186" s="12" t="inlineStr">
        <is>
          <t>Pending Execution</t>
        </is>
      </c>
      <c r="I186" s="13" t="inlineStr">
        <is>
          <t>Not Executed</t>
        </is>
      </c>
      <c r="J186" s="11" t="inlineStr">
        <is>
          <t>Low</t>
        </is>
      </c>
      <c r="K186" s="11" t="inlineStr">
        <is>
          <t>Moderate</t>
        </is>
      </c>
      <c r="L186" s="11" t="inlineStr">
        <is>
          <t>Script Ready</t>
        </is>
      </c>
      <c r="M186" s="12" t="inlineStr">
        <is>
          <t>Staging / Web Chrome</t>
        </is>
      </c>
      <c r="N186" s="12" t="inlineStr">
        <is>
          <t>Chrome v126 / Edge v126</t>
        </is>
      </c>
      <c r="O186" s="12" t="inlineStr">
        <is>
          <t>Screen-specific baseline case for Health Trackers Overview Tab</t>
        </is>
      </c>
    </row>
    <row r="187" ht="36" customHeight="1">
      <c r="A187" s="11" t="inlineStr">
        <is>
          <t>TC-186</t>
        </is>
      </c>
      <c r="B187" s="12" t="inlineStr">
        <is>
          <t>TrackersTab</t>
        </is>
      </c>
      <c r="C187" s="12" t="inlineStr">
        <is>
          <t>Selenium Web UI Testing</t>
        </is>
      </c>
      <c r="D187" s="12" t="inlineStr">
        <is>
          <t>Arabic Right-to-Left (RTL) Layout on Health Trackers Overview Tab</t>
        </is>
      </c>
      <c r="E187" s="12" t="inlineStr">
        <is>
          <t>1. Launch test runner in Staging / Web Chrome.
2. Navigate to Health Trackers Overview Tab (TrackersTab).
3. Switch locale to Arabic (ar_SA) on TrackersTab, inspect text direction and icon mirroring.
4. Verify expected results and log evidence.</t>
        </is>
      </c>
      <c r="F187" s="12" t="inlineStr">
        <is>
          <t>Locale: ar_SA, Target: TrackersTab</t>
        </is>
      </c>
      <c r="G187" s="12" t="inlineStr">
        <is>
          <t>UI flips to right-to-left layout with mirrored icons and aligned text.</t>
        </is>
      </c>
      <c r="H187" s="12" t="inlineStr">
        <is>
          <t>Pending Execution</t>
        </is>
      </c>
      <c r="I187" s="13" t="inlineStr">
        <is>
          <t>Not Executed</t>
        </is>
      </c>
      <c r="J187" s="11" t="inlineStr">
        <is>
          <t>High</t>
        </is>
      </c>
      <c r="K187" s="11" t="inlineStr">
        <is>
          <t>Major</t>
        </is>
      </c>
      <c r="L187" s="11" t="inlineStr">
        <is>
          <t>Script Ready</t>
        </is>
      </c>
      <c r="M187" s="12" t="inlineStr">
        <is>
          <t>Staging / Web Chrome</t>
        </is>
      </c>
      <c r="N187" s="12" t="inlineStr">
        <is>
          <t>Chrome v126 / Edge v126</t>
        </is>
      </c>
      <c r="O187" s="12" t="inlineStr">
        <is>
          <t>Screen-specific baseline case for Health Trackers Overview Tab</t>
        </is>
      </c>
    </row>
    <row r="188" ht="36" customHeight="1">
      <c r="A188" s="11" t="inlineStr">
        <is>
          <t>TC-187</t>
        </is>
      </c>
      <c r="B188" s="12" t="inlineStr">
        <is>
          <t>TrackersTab</t>
        </is>
      </c>
      <c r="C188" s="12" t="inlineStr">
        <is>
          <t>Selenium Web UI Testing</t>
        </is>
      </c>
      <c r="D188" s="12" t="inlineStr">
        <is>
          <t>Localization &amp; Multi-Language Switching on Health Trackers Overview Tab</t>
        </is>
      </c>
      <c r="E188" s="12" t="inlineStr">
        <is>
          <t>1. Launch test runner in Staging / Web Chrome.
2. Navigate to Health Trackers Overview Tab (TrackersTab).
3. Toggle header language dropdown on TrackersTab between English, Hindi, and Arabic.
4. Verify expected results and log evidence.</t>
        </is>
      </c>
      <c r="F188" s="12" t="inlineStr">
        <is>
          <t>Locales: en, hi, ar</t>
        </is>
      </c>
      <c r="G188" s="12" t="inlineStr">
        <is>
          <t>All visible text strings update to selected language instantly.</t>
        </is>
      </c>
      <c r="H188" s="12" t="inlineStr">
        <is>
          <t>Pending Execution</t>
        </is>
      </c>
      <c r="I188" s="13" t="inlineStr">
        <is>
          <t>Not Executed</t>
        </is>
      </c>
      <c r="J188" s="11" t="inlineStr">
        <is>
          <t>Medium</t>
        </is>
      </c>
      <c r="K188" s="11" t="inlineStr">
        <is>
          <t>Moderate</t>
        </is>
      </c>
      <c r="L188" s="11" t="inlineStr">
        <is>
          <t>Script Ready</t>
        </is>
      </c>
      <c r="M188" s="12" t="inlineStr">
        <is>
          <t>Staging / Web Chrome</t>
        </is>
      </c>
      <c r="N188" s="12" t="inlineStr">
        <is>
          <t>Chrome v126 / Edge v126</t>
        </is>
      </c>
      <c r="O188" s="12" t="inlineStr">
        <is>
          <t>Screen-specific baseline case for Health Trackers Overview Tab</t>
        </is>
      </c>
    </row>
    <row r="189" ht="36" customHeight="1">
      <c r="A189" s="11" t="inlineStr">
        <is>
          <t>TC-188</t>
        </is>
      </c>
      <c r="B189" s="12" t="inlineStr">
        <is>
          <t>TrackersTab</t>
        </is>
      </c>
      <c r="C189" s="12" t="inlineStr">
        <is>
          <t>Selenium Web UI Testing</t>
        </is>
      </c>
      <c r="D189" s="12" t="inlineStr">
        <is>
          <t>Data Table &amp; Grid State Retention on Health Trackers Overview Tab</t>
        </is>
      </c>
      <c r="E189" s="12" t="inlineStr">
        <is>
          <t>1. Launch test runner in Staging / Web Chrome.
2. Navigate to Health Trackers Overview Tab (TrackersTab).
3. Interact with data filters or state controls on TrackersTab, navigate away and return.
4. Verify expected results and log evidence.</t>
        </is>
      </c>
      <c r="F189" s="12" t="inlineStr">
        <is>
          <t>State Payload: TrackersTab_filter</t>
        </is>
      </c>
      <c r="G189" s="12" t="inlineStr">
        <is>
          <t>Screen preserves applied filter state without unexpected reset.</t>
        </is>
      </c>
      <c r="H189" s="12" t="inlineStr">
        <is>
          <t>Pending Execution</t>
        </is>
      </c>
      <c r="I189" s="13" t="inlineStr">
        <is>
          <t>Not Executed</t>
        </is>
      </c>
      <c r="J189" s="11" t="inlineStr">
        <is>
          <t>Medium</t>
        </is>
      </c>
      <c r="K189" s="11" t="inlineStr">
        <is>
          <t>Major</t>
        </is>
      </c>
      <c r="L189" s="11" t="inlineStr">
        <is>
          <t>Script Ready</t>
        </is>
      </c>
      <c r="M189" s="12" t="inlineStr">
        <is>
          <t>Staging / Web Chrome</t>
        </is>
      </c>
      <c r="N189" s="12" t="inlineStr">
        <is>
          <t>Chrome v126 / Edge v126</t>
        </is>
      </c>
      <c r="O189" s="12" t="inlineStr">
        <is>
          <t>Screen-specific baseline case for Health Trackers Overview Tab</t>
        </is>
      </c>
    </row>
    <row r="190" ht="36" customHeight="1">
      <c r="A190" s="11" t="inlineStr">
        <is>
          <t>TC-189</t>
        </is>
      </c>
      <c r="B190" s="12" t="inlineStr">
        <is>
          <t>TrackersTab</t>
        </is>
      </c>
      <c r="C190" s="12" t="inlineStr">
        <is>
          <t>Selenium Web UI Testing</t>
        </is>
      </c>
      <c r="D190" s="12" t="inlineStr">
        <is>
          <t>Modal Backdrop &amp; Keyboard Escape on Health Trackers Overview Tab</t>
        </is>
      </c>
      <c r="E190" s="12" t="inlineStr">
        <is>
          <t>1. Launch test runner in Staging / Web Chrome.
2. Navigate to Health Trackers Overview Tab (TrackersTab).
3. Trigger pop-up dialog/modal on TrackersTab, press Escape key to dismiss.
4. Verify expected results and log evidence.</t>
        </is>
      </c>
      <c r="F190" s="12" t="inlineStr">
        <is>
          <t>Modal Target: TrackersTab</t>
        </is>
      </c>
      <c r="G190" s="12" t="inlineStr">
        <is>
          <t>Modal closes smoothly and returns focus to parent container.</t>
        </is>
      </c>
      <c r="H190" s="12" t="inlineStr">
        <is>
          <t>Pending Execution</t>
        </is>
      </c>
      <c r="I190" s="13" t="inlineStr">
        <is>
          <t>Not Executed</t>
        </is>
      </c>
      <c r="J190" s="11" t="inlineStr">
        <is>
          <t>High</t>
        </is>
      </c>
      <c r="K190" s="11" t="inlineStr">
        <is>
          <t>Critical</t>
        </is>
      </c>
      <c r="L190" s="11" t="inlineStr">
        <is>
          <t>Script Ready</t>
        </is>
      </c>
      <c r="M190" s="12" t="inlineStr">
        <is>
          <t>Staging / Web Chrome</t>
        </is>
      </c>
      <c r="N190" s="12" t="inlineStr">
        <is>
          <t>Chrome v126 / Edge v126</t>
        </is>
      </c>
      <c r="O190" s="12" t="inlineStr">
        <is>
          <t>Screen-specific baseline case for Health Trackers Overview Tab</t>
        </is>
      </c>
    </row>
    <row r="191" ht="36" customHeight="1">
      <c r="A191" s="11" t="inlineStr">
        <is>
          <t>TC-190</t>
        </is>
      </c>
      <c r="B191" s="12" t="inlineStr">
        <is>
          <t>TrackersTab</t>
        </is>
      </c>
      <c r="C191" s="12" t="inlineStr">
        <is>
          <t>Selenium Web UI Testing</t>
        </is>
      </c>
      <c r="D191" s="12" t="inlineStr">
        <is>
          <t>Network Failure UI Fallback on Health Trackers Overview Tab</t>
        </is>
      </c>
      <c r="E191" s="12" t="inlineStr">
        <is>
          <t>1. Launch test runner in Staging / Web Chrome.
2. Navigate to Health Trackers Overview Tab (TrackersTab).
3. Throttled network to offline mode while viewing TrackersTab, attempt UI interaction.
4. Verify expected results and log evidence.</t>
        </is>
      </c>
      <c r="F191" s="12" t="inlineStr">
        <is>
          <t>Network: Offline, Target: TrackersTab</t>
        </is>
      </c>
      <c r="G191" s="12" t="inlineStr">
        <is>
          <t>User-friendly offline banner appears with retry button.</t>
        </is>
      </c>
      <c r="H191" s="12" t="inlineStr">
        <is>
          <t>Pending Execution</t>
        </is>
      </c>
      <c r="I191" s="13" t="inlineStr">
        <is>
          <t>Not Executed</t>
        </is>
      </c>
      <c r="J191" s="11" t="inlineStr">
        <is>
          <t>Low</t>
        </is>
      </c>
      <c r="K191" s="11" t="inlineStr">
        <is>
          <t>Major</t>
        </is>
      </c>
      <c r="L191" s="11" t="inlineStr">
        <is>
          <t>Script Ready</t>
        </is>
      </c>
      <c r="M191" s="12" t="inlineStr">
        <is>
          <t>Staging / Web Chrome</t>
        </is>
      </c>
      <c r="N191" s="12" t="inlineStr">
        <is>
          <t>Chrome v126 / Edge v126</t>
        </is>
      </c>
      <c r="O191" s="12" t="inlineStr">
        <is>
          <t>Screen-specific baseline case for Health Trackers Overview Tab</t>
        </is>
      </c>
    </row>
    <row r="192" ht="36" customHeight="1">
      <c r="A192" s="11" t="inlineStr">
        <is>
          <t>TC-191</t>
        </is>
      </c>
      <c r="B192" s="12" t="inlineStr">
        <is>
          <t>WaterTrackerSection</t>
        </is>
      </c>
      <c r="C192" s="12" t="inlineStr">
        <is>
          <t>Selenium Web UI Testing</t>
        </is>
      </c>
      <c r="D192" s="12" t="inlineStr">
        <is>
          <t>Positive Web UI Layout on Water Intake &amp; Hydration Tracker</t>
        </is>
      </c>
      <c r="E192" s="12" t="inlineStr">
        <is>
          <t>1. Launch test runner in Staging / Web Chrome.
2. Navigate to Water Intake &amp; Hydration Tracker (WaterTrackerSection).
3. Launch browser, navigate to WaterTrackerSection, verify grid container alignment and responsive element scaling.
4. Verify expected results and log evidence.</t>
        </is>
      </c>
      <c r="F192" s="12" t="inlineStr">
        <is>
          <t>Viewport: 1920x1080, Screen: WaterTrackerSection</t>
        </is>
      </c>
      <c r="G192" s="12" t="inlineStr">
        <is>
          <t>UI components align cleanly without scrollbar clipping or overflow.</t>
        </is>
      </c>
      <c r="H192" s="12" t="inlineStr">
        <is>
          <t>Pending Execution</t>
        </is>
      </c>
      <c r="I192" s="13" t="inlineStr">
        <is>
          <t>Not Executed</t>
        </is>
      </c>
      <c r="J192" s="11" t="inlineStr">
        <is>
          <t>Medium</t>
        </is>
      </c>
      <c r="K192" s="11" t="inlineStr">
        <is>
          <t>Moderate</t>
        </is>
      </c>
      <c r="L192" s="11" t="inlineStr">
        <is>
          <t>Script Ready</t>
        </is>
      </c>
      <c r="M192" s="12" t="inlineStr">
        <is>
          <t>Staging / Web Chrome</t>
        </is>
      </c>
      <c r="N192" s="12" t="inlineStr">
        <is>
          <t>Chrome v126 / Edge v126</t>
        </is>
      </c>
      <c r="O192" s="12" t="inlineStr">
        <is>
          <t>Screen-specific baseline case for Water Intake &amp; Hydration Tracker</t>
        </is>
      </c>
    </row>
    <row r="193" ht="36" customHeight="1">
      <c r="A193" s="11" t="inlineStr">
        <is>
          <t>TC-192</t>
        </is>
      </c>
      <c r="B193" s="12" t="inlineStr">
        <is>
          <t>WaterTrackerSection</t>
        </is>
      </c>
      <c r="C193" s="12" t="inlineStr">
        <is>
          <t>Selenium Web UI Testing</t>
        </is>
      </c>
      <c r="D193" s="12" t="inlineStr">
        <is>
          <t>Negative Input Form Validation on Water Intake &amp; Hydration Tracker</t>
        </is>
      </c>
      <c r="E193" s="12" t="inlineStr">
        <is>
          <t>1. Launch test runner in Staging / Web Chrome.
2. Navigate to Water Intake &amp; Hydration Tracker (WaterTrackerSection).
3. Focus input controls on WaterTrackerSection, enter out-of-bound strings, trigger blur event.
4. Verify expected results and log evidence.</t>
        </is>
      </c>
      <c r="F193" s="12" t="inlineStr">
        <is>
          <t>Input: invalid_string, Screen: WaterTrackerSection</t>
        </is>
      </c>
      <c r="G193" s="12" t="inlineStr">
        <is>
          <t>Validation badge displays accessible aria error message.</t>
        </is>
      </c>
      <c r="H193" s="12" t="inlineStr">
        <is>
          <t>Pending Execution</t>
        </is>
      </c>
      <c r="I193" s="13" t="inlineStr">
        <is>
          <t>Not Executed</t>
        </is>
      </c>
      <c r="J193" s="11" t="inlineStr">
        <is>
          <t>High</t>
        </is>
      </c>
      <c r="K193" s="11" t="inlineStr">
        <is>
          <t>Major</t>
        </is>
      </c>
      <c r="L193" s="11" t="inlineStr">
        <is>
          <t>Script Ready</t>
        </is>
      </c>
      <c r="M193" s="12" t="inlineStr">
        <is>
          <t>Staging / Web Chrome</t>
        </is>
      </c>
      <c r="N193" s="12" t="inlineStr">
        <is>
          <t>Chrome v126 / Edge v126</t>
        </is>
      </c>
      <c r="O193" s="12" t="inlineStr">
        <is>
          <t>Screen-specific baseline case for Water Intake &amp; Hydration Tracker</t>
        </is>
      </c>
    </row>
    <row r="194" ht="36" customHeight="1">
      <c r="A194" s="11" t="inlineStr">
        <is>
          <t>TC-193</t>
        </is>
      </c>
      <c r="B194" s="12" t="inlineStr">
        <is>
          <t>WaterTrackerSection</t>
        </is>
      </c>
      <c r="C194" s="12" t="inlineStr">
        <is>
          <t>Selenium Web UI Testing</t>
        </is>
      </c>
      <c r="D194" s="12" t="inlineStr">
        <is>
          <t>Boundary Viewport Responsiveness on Water Intake &amp; Hydration Tracker</t>
        </is>
      </c>
      <c r="E194" s="12" t="inlineStr">
        <is>
          <t>1. Launch test runner in Staging / Web Chrome.
2. Navigate to Water Intake &amp; Hydration Tracker (WaterTrackerSection).
3. Resize web browser window from 320px mobile breakpoint up to 4K desktop width.
4. Verify expected results and log evidence.</t>
        </is>
      </c>
      <c r="F194" s="12" t="inlineStr">
        <is>
          <t>Breakpoint Widths: [320, 768, 1024, 1440, 3840]</t>
        </is>
      </c>
      <c r="G194" s="12" t="inlineStr">
        <is>
          <t>Layout adapts responsively without overlapping UI text nodes.</t>
        </is>
      </c>
      <c r="H194" s="12" t="inlineStr">
        <is>
          <t>Pending Execution</t>
        </is>
      </c>
      <c r="I194" s="13" t="inlineStr">
        <is>
          <t>Not Executed</t>
        </is>
      </c>
      <c r="J194" s="11" t="inlineStr">
        <is>
          <t>Medium</t>
        </is>
      </c>
      <c r="K194" s="11" t="inlineStr">
        <is>
          <t>Moderate</t>
        </is>
      </c>
      <c r="L194" s="11" t="inlineStr">
        <is>
          <t>Script Ready</t>
        </is>
      </c>
      <c r="M194" s="12" t="inlineStr">
        <is>
          <t>Staging / Web Chrome</t>
        </is>
      </c>
      <c r="N194" s="12" t="inlineStr">
        <is>
          <t>Chrome v126 / Edge v126</t>
        </is>
      </c>
      <c r="O194" s="12" t="inlineStr">
        <is>
          <t>Screen-specific baseline case for Water Intake &amp; Hydration Tracker</t>
        </is>
      </c>
    </row>
    <row r="195" ht="36" customHeight="1">
      <c r="A195" s="11" t="inlineStr">
        <is>
          <t>TC-194</t>
        </is>
      </c>
      <c r="B195" s="12" t="inlineStr">
        <is>
          <t>WaterTrackerSection</t>
        </is>
      </c>
      <c r="C195" s="12" t="inlineStr">
        <is>
          <t>Selenium Web UI Testing</t>
        </is>
      </c>
      <c r="D195" s="12" t="inlineStr">
        <is>
          <t>Interactive Hover &amp; Focus Traversal on Water Intake &amp; Hydration Tracker</t>
        </is>
      </c>
      <c r="E195" s="12" t="inlineStr">
        <is>
          <t>1. Launch test runner in Staging / Web Chrome.
2. Navigate to Water Intake &amp; Hydration Tracker (WaterTrackerSection).
3. Tab through interactive focusable nodes on WaterTrackerSection, hover cursor over CTA buttons.
4. Verify expected results and log evidence.</t>
        </is>
      </c>
      <c r="F195" s="12" t="inlineStr">
        <is>
          <t>Key Navigation: TAB, Hover target: WaterTrackerSection</t>
        </is>
      </c>
      <c r="G195" s="12" t="inlineStr">
        <is>
          <t>Focus ring highlights elements in logical DOM tab order.</t>
        </is>
      </c>
      <c r="H195" s="12" t="inlineStr">
        <is>
          <t>Pending Execution</t>
        </is>
      </c>
      <c r="I195" s="13" t="inlineStr">
        <is>
          <t>Not Executed</t>
        </is>
      </c>
      <c r="J195" s="11" t="inlineStr">
        <is>
          <t>Medium</t>
        </is>
      </c>
      <c r="K195" s="11" t="inlineStr">
        <is>
          <t>Major</t>
        </is>
      </c>
      <c r="L195" s="11" t="inlineStr">
        <is>
          <t>Script Ready</t>
        </is>
      </c>
      <c r="M195" s="12" t="inlineStr">
        <is>
          <t>Staging / Web Chrome</t>
        </is>
      </c>
      <c r="N195" s="12" t="inlineStr">
        <is>
          <t>Chrome v126 / Edge v126</t>
        </is>
      </c>
      <c r="O195" s="12" t="inlineStr">
        <is>
          <t>Screen-specific baseline case for Water Intake &amp; Hydration Tracker</t>
        </is>
      </c>
    </row>
    <row r="196" ht="36" customHeight="1">
      <c r="A196" s="11" t="inlineStr">
        <is>
          <t>TC-195</t>
        </is>
      </c>
      <c r="B196" s="12" t="inlineStr">
        <is>
          <t>WaterTrackerSection</t>
        </is>
      </c>
      <c r="C196" s="12" t="inlineStr">
        <is>
          <t>Selenium Web UI Testing</t>
        </is>
      </c>
      <c r="D196" s="12" t="inlineStr">
        <is>
          <t>Cross-Browser Rendering Parity on Water Intake &amp; Hydration Tracker</t>
        </is>
      </c>
      <c r="E196" s="12" t="inlineStr">
        <is>
          <t>1. Launch test runner in Staging / Web Chrome.
2. Navigate to Water Intake &amp; Hydration Tracker (WaterTrackerSection).
3. Execute UI test suite for WaterTrackerSection across Chrome, Firefox, Safari, and Edge.
4. Verify expected results and log evidence.</t>
        </is>
      </c>
      <c r="F196" s="12" t="inlineStr">
        <is>
          <t>Browsers: Chrome, Firefox, Safari, Edge</t>
        </is>
      </c>
      <c r="G196" s="12" t="inlineStr">
        <is>
          <t>DOM element styles render identically with zero CSS misalignment.</t>
        </is>
      </c>
      <c r="H196" s="12" t="inlineStr">
        <is>
          <t>Pending Execution</t>
        </is>
      </c>
      <c r="I196" s="13" t="inlineStr">
        <is>
          <t>Not Executed</t>
        </is>
      </c>
      <c r="J196" s="11" t="inlineStr">
        <is>
          <t>High</t>
        </is>
      </c>
      <c r="K196" s="11" t="inlineStr">
        <is>
          <t>Moderate</t>
        </is>
      </c>
      <c r="L196" s="11" t="inlineStr">
        <is>
          <t>Script Ready</t>
        </is>
      </c>
      <c r="M196" s="12" t="inlineStr">
        <is>
          <t>Staging / Web Chrome</t>
        </is>
      </c>
      <c r="N196" s="12" t="inlineStr">
        <is>
          <t>Chrome v126 / Edge v126</t>
        </is>
      </c>
      <c r="O196" s="12" t="inlineStr">
        <is>
          <t>Screen-specific baseline case for Water Intake &amp; Hydration Tracker</t>
        </is>
      </c>
    </row>
    <row r="197" ht="36" customHeight="1">
      <c r="A197" s="11" t="inlineStr">
        <is>
          <t>TC-196</t>
        </is>
      </c>
      <c r="B197" s="12" t="inlineStr">
        <is>
          <t>WaterTrackerSection</t>
        </is>
      </c>
      <c r="C197" s="12" t="inlineStr">
        <is>
          <t>Selenium Web UI Testing</t>
        </is>
      </c>
      <c r="D197" s="12" t="inlineStr">
        <is>
          <t>Arabic Right-to-Left (RTL) Layout on Water Intake &amp; Hydration Tracker</t>
        </is>
      </c>
      <c r="E197" s="12" t="inlineStr">
        <is>
          <t>1. Launch test runner in Staging / Web Chrome.
2. Navigate to Water Intake &amp; Hydration Tracker (WaterTrackerSection).
3. Switch locale to Arabic (ar_SA) on WaterTrackerSection, inspect text direction and icon mirroring.
4. Verify expected results and log evidence.</t>
        </is>
      </c>
      <c r="F197" s="12" t="inlineStr">
        <is>
          <t>Locale: ar_SA, Target: WaterTrackerSection</t>
        </is>
      </c>
      <c r="G197" s="12" t="inlineStr">
        <is>
          <t>UI flips to right-to-left layout with mirrored icons and aligned text.</t>
        </is>
      </c>
      <c r="H197" s="12" t="inlineStr">
        <is>
          <t>Pending Execution</t>
        </is>
      </c>
      <c r="I197" s="13" t="inlineStr">
        <is>
          <t>Not Executed</t>
        </is>
      </c>
      <c r="J197" s="11" t="inlineStr">
        <is>
          <t>Medium</t>
        </is>
      </c>
      <c r="K197" s="11" t="inlineStr">
        <is>
          <t>Critical</t>
        </is>
      </c>
      <c r="L197" s="11" t="inlineStr">
        <is>
          <t>Script Ready</t>
        </is>
      </c>
      <c r="M197" s="12" t="inlineStr">
        <is>
          <t>Staging / Web Chrome</t>
        </is>
      </c>
      <c r="N197" s="12" t="inlineStr">
        <is>
          <t>Chrome v126 / Edge v126</t>
        </is>
      </c>
      <c r="O197" s="12" t="inlineStr">
        <is>
          <t>Screen-specific baseline case for Water Intake &amp; Hydration Tracker</t>
        </is>
      </c>
    </row>
    <row r="198" ht="36" customHeight="1">
      <c r="A198" s="11" t="inlineStr">
        <is>
          <t>TC-197</t>
        </is>
      </c>
      <c r="B198" s="12" t="inlineStr">
        <is>
          <t>WaterTrackerSection</t>
        </is>
      </c>
      <c r="C198" s="12" t="inlineStr">
        <is>
          <t>Selenium Web UI Testing</t>
        </is>
      </c>
      <c r="D198" s="12" t="inlineStr">
        <is>
          <t>Localization &amp; Multi-Language Switching on Water Intake &amp; Hydration Tracker</t>
        </is>
      </c>
      <c r="E198" s="12" t="inlineStr">
        <is>
          <t>1. Launch test runner in Staging / Web Chrome.
2. Navigate to Water Intake &amp; Hydration Tracker (WaterTrackerSection).
3. Toggle header language dropdown on WaterTrackerSection between English, Hindi, and Arabic.
4. Verify expected results and log evidence.</t>
        </is>
      </c>
      <c r="F198" s="12" t="inlineStr">
        <is>
          <t>Locales: en, hi, ar</t>
        </is>
      </c>
      <c r="G198" s="12" t="inlineStr">
        <is>
          <t>All visible text strings update to selected language instantly.</t>
        </is>
      </c>
      <c r="H198" s="12" t="inlineStr">
        <is>
          <t>Pending Execution</t>
        </is>
      </c>
      <c r="I198" s="13" t="inlineStr">
        <is>
          <t>Not Executed</t>
        </is>
      </c>
      <c r="J198" s="11" t="inlineStr">
        <is>
          <t>Medium</t>
        </is>
      </c>
      <c r="K198" s="11" t="inlineStr">
        <is>
          <t>Moderate</t>
        </is>
      </c>
      <c r="L198" s="11" t="inlineStr">
        <is>
          <t>Script Ready</t>
        </is>
      </c>
      <c r="M198" s="12" t="inlineStr">
        <is>
          <t>Staging / Web Chrome</t>
        </is>
      </c>
      <c r="N198" s="12" t="inlineStr">
        <is>
          <t>Chrome v126 / Edge v126</t>
        </is>
      </c>
      <c r="O198" s="12" t="inlineStr">
        <is>
          <t>Screen-specific baseline case for Water Intake &amp; Hydration Tracker</t>
        </is>
      </c>
    </row>
    <row r="199" ht="36" customHeight="1">
      <c r="A199" s="11" t="inlineStr">
        <is>
          <t>TC-198</t>
        </is>
      </c>
      <c r="B199" s="12" t="inlineStr">
        <is>
          <t>WaterTrackerSection</t>
        </is>
      </c>
      <c r="C199" s="12" t="inlineStr">
        <is>
          <t>Selenium Web UI Testing</t>
        </is>
      </c>
      <c r="D199" s="12" t="inlineStr">
        <is>
          <t>Data Table &amp; Grid State Retention on Water Intake &amp; Hydration Tracker</t>
        </is>
      </c>
      <c r="E199" s="12" t="inlineStr">
        <is>
          <t>1. Launch test runner in Staging / Web Chrome.
2. Navigate to Water Intake &amp; Hydration Tracker (WaterTrackerSection).
3. Interact with data filters or state controls on WaterTrackerSection, navigate away and return.
4. Verify expected results and log evidence.</t>
        </is>
      </c>
      <c r="F199" s="12" t="inlineStr">
        <is>
          <t>State Payload: WaterTrackerSection_filter</t>
        </is>
      </c>
      <c r="G199" s="12" t="inlineStr">
        <is>
          <t>Screen preserves applied filter state without unexpected reset.</t>
        </is>
      </c>
      <c r="H199" s="12" t="inlineStr">
        <is>
          <t>Pending Execution</t>
        </is>
      </c>
      <c r="I199" s="13" t="inlineStr">
        <is>
          <t>Not Executed</t>
        </is>
      </c>
      <c r="J199" s="11" t="inlineStr">
        <is>
          <t>High</t>
        </is>
      </c>
      <c r="K199" s="11" t="inlineStr">
        <is>
          <t>Major</t>
        </is>
      </c>
      <c r="L199" s="11" t="inlineStr">
        <is>
          <t>Script Ready</t>
        </is>
      </c>
      <c r="M199" s="12" t="inlineStr">
        <is>
          <t>Staging / Web Chrome</t>
        </is>
      </c>
      <c r="N199" s="12" t="inlineStr">
        <is>
          <t>Chrome v126 / Edge v126</t>
        </is>
      </c>
      <c r="O199" s="12" t="inlineStr">
        <is>
          <t>Screen-specific baseline case for Water Intake &amp; Hydration Tracker</t>
        </is>
      </c>
    </row>
    <row r="200" ht="36" customHeight="1">
      <c r="A200" s="11" t="inlineStr">
        <is>
          <t>TC-199</t>
        </is>
      </c>
      <c r="B200" s="12" t="inlineStr">
        <is>
          <t>WaterTrackerSection</t>
        </is>
      </c>
      <c r="C200" s="12" t="inlineStr">
        <is>
          <t>Selenium Web UI Testing</t>
        </is>
      </c>
      <c r="D200" s="12" t="inlineStr">
        <is>
          <t>Modal Backdrop &amp; Keyboard Escape on Water Intake &amp; Hydration Tracker</t>
        </is>
      </c>
      <c r="E200" s="12" t="inlineStr">
        <is>
          <t>1. Launch test runner in Staging / Web Chrome.
2. Navigate to Water Intake &amp; Hydration Tracker (WaterTrackerSection).
3. Trigger pop-up dialog/modal on WaterTrackerSection, press Escape key to dismiss.
4. Verify expected results and log evidence.</t>
        </is>
      </c>
      <c r="F200" s="12" t="inlineStr">
        <is>
          <t>Modal Target: WaterTrackerSection</t>
        </is>
      </c>
      <c r="G200" s="12" t="inlineStr">
        <is>
          <t>Modal closes smoothly and returns focus to parent container.</t>
        </is>
      </c>
      <c r="H200" s="12" t="inlineStr">
        <is>
          <t>Pending Execution</t>
        </is>
      </c>
      <c r="I200" s="13" t="inlineStr">
        <is>
          <t>Not Executed</t>
        </is>
      </c>
      <c r="J200" s="11" t="inlineStr">
        <is>
          <t>Medium</t>
        </is>
      </c>
      <c r="K200" s="11" t="inlineStr">
        <is>
          <t>Moderate</t>
        </is>
      </c>
      <c r="L200" s="11" t="inlineStr">
        <is>
          <t>Script Ready</t>
        </is>
      </c>
      <c r="M200" s="12" t="inlineStr">
        <is>
          <t>Staging / Web Chrome</t>
        </is>
      </c>
      <c r="N200" s="12" t="inlineStr">
        <is>
          <t>Chrome v126 / Edge v126</t>
        </is>
      </c>
      <c r="O200" s="12" t="inlineStr">
        <is>
          <t>Screen-specific baseline case for Water Intake &amp; Hydration Tracker</t>
        </is>
      </c>
    </row>
    <row r="201" ht="36" customHeight="1">
      <c r="A201" s="11" t="inlineStr">
        <is>
          <t>TC-200</t>
        </is>
      </c>
      <c r="B201" s="12" t="inlineStr">
        <is>
          <t>WaterTrackerSection</t>
        </is>
      </c>
      <c r="C201" s="12" t="inlineStr">
        <is>
          <t>Selenium Web UI Testing</t>
        </is>
      </c>
      <c r="D201" s="12" t="inlineStr">
        <is>
          <t>Network Failure UI Fallback on Water Intake &amp; Hydration Tracker</t>
        </is>
      </c>
      <c r="E201" s="12" t="inlineStr">
        <is>
          <t>1. Launch test runner in Staging / Web Chrome.
2. Navigate to Water Intake &amp; Hydration Tracker (WaterTrackerSection).
3. Throttled network to offline mode while viewing WaterTrackerSection, attempt UI interaction.
4. Verify expected results and log evidence.</t>
        </is>
      </c>
      <c r="F201" s="12" t="inlineStr">
        <is>
          <t>Network: Offline, Target: WaterTrackerSection</t>
        </is>
      </c>
      <c r="G201" s="12" t="inlineStr">
        <is>
          <t>User-friendly offline banner appears with retry button.</t>
        </is>
      </c>
      <c r="H201" s="12" t="inlineStr">
        <is>
          <t>Pending Execution</t>
        </is>
      </c>
      <c r="I201" s="13" t="inlineStr">
        <is>
          <t>Not Executed</t>
        </is>
      </c>
      <c r="J201" s="11" t="inlineStr">
        <is>
          <t>Low</t>
        </is>
      </c>
      <c r="K201" s="11" t="inlineStr">
        <is>
          <t>Major</t>
        </is>
      </c>
      <c r="L201" s="11" t="inlineStr">
        <is>
          <t>Script Ready</t>
        </is>
      </c>
      <c r="M201" s="12" t="inlineStr">
        <is>
          <t>Staging / Web Chrome</t>
        </is>
      </c>
      <c r="N201" s="12" t="inlineStr">
        <is>
          <t>Chrome v126 / Edge v126</t>
        </is>
      </c>
      <c r="O201" s="12" t="inlineStr">
        <is>
          <t>Screen-specific baseline case for Water Intake &amp; Hydration Tracker</t>
        </is>
      </c>
    </row>
    <row r="202" ht="36" customHeight="1">
      <c r="A202" s="11" t="inlineStr">
        <is>
          <t>TC-201</t>
        </is>
      </c>
      <c r="B202" s="12" t="inlineStr">
        <is>
          <t>SleepTrackerSection</t>
        </is>
      </c>
      <c r="C202" s="12" t="inlineStr">
        <is>
          <t>Selenium Web UI Testing</t>
        </is>
      </c>
      <c r="D202" s="12" t="inlineStr">
        <is>
          <t>Positive Web UI Layout on Sleep Efficiency &amp; REM Tracker</t>
        </is>
      </c>
      <c r="E202" s="12" t="inlineStr">
        <is>
          <t>1. Launch test runner in Staging / Web Chrome.
2. Navigate to Sleep Efficiency &amp; REM Tracker (SleepTrackerSection).
3. Launch browser, navigate to SleepTrackerSection, verify grid container alignment and responsive element scaling.
4. Verify expected results and log evidence.</t>
        </is>
      </c>
      <c r="F202" s="12" t="inlineStr">
        <is>
          <t>Viewport: 1920x1080, Screen: SleepTrackerSection</t>
        </is>
      </c>
      <c r="G202" s="12" t="inlineStr">
        <is>
          <t>UI components align cleanly without scrollbar clipping or overflow.</t>
        </is>
      </c>
      <c r="H202" s="12" t="inlineStr">
        <is>
          <t>Pending Execution</t>
        </is>
      </c>
      <c r="I202" s="13" t="inlineStr">
        <is>
          <t>Not Executed</t>
        </is>
      </c>
      <c r="J202" s="11" t="inlineStr">
        <is>
          <t>High</t>
        </is>
      </c>
      <c r="K202" s="11" t="inlineStr">
        <is>
          <t>Moderate</t>
        </is>
      </c>
      <c r="L202" s="11" t="inlineStr">
        <is>
          <t>Script Ready</t>
        </is>
      </c>
      <c r="M202" s="12" t="inlineStr">
        <is>
          <t>Staging / Web Chrome</t>
        </is>
      </c>
      <c r="N202" s="12" t="inlineStr">
        <is>
          <t>Chrome v126 / Edge v126</t>
        </is>
      </c>
      <c r="O202" s="12" t="inlineStr">
        <is>
          <t>Screen-specific baseline case for Sleep Efficiency &amp; REM Tracker</t>
        </is>
      </c>
    </row>
    <row r="203" ht="36" customHeight="1">
      <c r="A203" s="11" t="inlineStr">
        <is>
          <t>TC-202</t>
        </is>
      </c>
      <c r="B203" s="12" t="inlineStr">
        <is>
          <t>SleepTrackerSection</t>
        </is>
      </c>
      <c r="C203" s="12" t="inlineStr">
        <is>
          <t>Selenium Web UI Testing</t>
        </is>
      </c>
      <c r="D203" s="12" t="inlineStr">
        <is>
          <t>Negative Input Form Validation on Sleep Efficiency &amp; REM Tracker</t>
        </is>
      </c>
      <c r="E203" s="12" t="inlineStr">
        <is>
          <t>1. Launch test runner in Staging / Web Chrome.
2. Navigate to Sleep Efficiency &amp; REM Tracker (SleepTrackerSection).
3. Focus input controls on SleepTrackerSection, enter out-of-bound strings, trigger blur event.
4. Verify expected results and log evidence.</t>
        </is>
      </c>
      <c r="F203" s="12" t="inlineStr">
        <is>
          <t>Input: invalid_string, Screen: SleepTrackerSection</t>
        </is>
      </c>
      <c r="G203" s="12" t="inlineStr">
        <is>
          <t>Validation badge displays accessible aria error message.</t>
        </is>
      </c>
      <c r="H203" s="12" t="inlineStr">
        <is>
          <t>Pending Execution</t>
        </is>
      </c>
      <c r="I203" s="13" t="inlineStr">
        <is>
          <t>Not Executed</t>
        </is>
      </c>
      <c r="J203" s="11" t="inlineStr">
        <is>
          <t>Medium</t>
        </is>
      </c>
      <c r="K203" s="11" t="inlineStr">
        <is>
          <t>Major</t>
        </is>
      </c>
      <c r="L203" s="11" t="inlineStr">
        <is>
          <t>Script Ready</t>
        </is>
      </c>
      <c r="M203" s="12" t="inlineStr">
        <is>
          <t>Staging / Web Chrome</t>
        </is>
      </c>
      <c r="N203" s="12" t="inlineStr">
        <is>
          <t>Chrome v126 / Edge v126</t>
        </is>
      </c>
      <c r="O203" s="12" t="inlineStr">
        <is>
          <t>Screen-specific baseline case for Sleep Efficiency &amp; REM Tracker</t>
        </is>
      </c>
    </row>
    <row r="204" ht="36" customHeight="1">
      <c r="A204" s="11" t="inlineStr">
        <is>
          <t>TC-203</t>
        </is>
      </c>
      <c r="B204" s="12" t="inlineStr">
        <is>
          <t>SleepTrackerSection</t>
        </is>
      </c>
      <c r="C204" s="12" t="inlineStr">
        <is>
          <t>Selenium Web UI Testing</t>
        </is>
      </c>
      <c r="D204" s="12" t="inlineStr">
        <is>
          <t>Boundary Viewport Responsiveness on Sleep Efficiency &amp; REM Tracker</t>
        </is>
      </c>
      <c r="E204" s="12" t="inlineStr">
        <is>
          <t>1. Launch test runner in Staging / Web Chrome.
2. Navigate to Sleep Efficiency &amp; REM Tracker (SleepTrackerSection).
3. Resize web browser window from 320px mobile breakpoint up to 4K desktop width.
4. Verify expected results and log evidence.</t>
        </is>
      </c>
      <c r="F204" s="12" t="inlineStr">
        <is>
          <t>Breakpoint Widths: [320, 768, 1024, 1440, 3840]</t>
        </is>
      </c>
      <c r="G204" s="12" t="inlineStr">
        <is>
          <t>Layout adapts responsively without overlapping UI text nodes.</t>
        </is>
      </c>
      <c r="H204" s="12" t="inlineStr">
        <is>
          <t>Pending Execution</t>
        </is>
      </c>
      <c r="I204" s="13" t="inlineStr">
        <is>
          <t>Not Executed</t>
        </is>
      </c>
      <c r="J204" s="11" t="inlineStr">
        <is>
          <t>Medium</t>
        </is>
      </c>
      <c r="K204" s="11" t="inlineStr">
        <is>
          <t>Critical</t>
        </is>
      </c>
      <c r="L204" s="11" t="inlineStr">
        <is>
          <t>Script Ready</t>
        </is>
      </c>
      <c r="M204" s="12" t="inlineStr">
        <is>
          <t>Staging / Web Chrome</t>
        </is>
      </c>
      <c r="N204" s="12" t="inlineStr">
        <is>
          <t>Chrome v126 / Edge v126</t>
        </is>
      </c>
      <c r="O204" s="12" t="inlineStr">
        <is>
          <t>Screen-specific baseline case for Sleep Efficiency &amp; REM Tracker</t>
        </is>
      </c>
    </row>
    <row r="205" ht="36" customHeight="1">
      <c r="A205" s="11" t="inlineStr">
        <is>
          <t>TC-204</t>
        </is>
      </c>
      <c r="B205" s="12" t="inlineStr">
        <is>
          <t>SleepTrackerSection</t>
        </is>
      </c>
      <c r="C205" s="12" t="inlineStr">
        <is>
          <t>Selenium Web UI Testing</t>
        </is>
      </c>
      <c r="D205" s="12" t="inlineStr">
        <is>
          <t>Interactive Hover &amp; Focus Traversal on Sleep Efficiency &amp; REM Tracker</t>
        </is>
      </c>
      <c r="E205" s="12" t="inlineStr">
        <is>
          <t>1. Launch test runner in Staging / Web Chrome.
2. Navigate to Sleep Efficiency &amp; REM Tracker (SleepTrackerSection).
3. Tab through interactive focusable nodes on SleepTrackerSection, hover cursor over CTA buttons.
4. Verify expected results and log evidence.</t>
        </is>
      </c>
      <c r="F205" s="12" t="inlineStr">
        <is>
          <t>Key Navigation: TAB, Hover target: SleepTrackerSection</t>
        </is>
      </c>
      <c r="G205" s="12" t="inlineStr">
        <is>
          <t>Focus ring highlights elements in logical DOM tab order.</t>
        </is>
      </c>
      <c r="H205" s="12" t="inlineStr">
        <is>
          <t>Pending Execution</t>
        </is>
      </c>
      <c r="I205" s="13" t="inlineStr">
        <is>
          <t>Not Executed</t>
        </is>
      </c>
      <c r="J205" s="11" t="inlineStr">
        <is>
          <t>High</t>
        </is>
      </c>
      <c r="K205" s="11" t="inlineStr">
        <is>
          <t>Major</t>
        </is>
      </c>
      <c r="L205" s="11" t="inlineStr">
        <is>
          <t>Script Ready</t>
        </is>
      </c>
      <c r="M205" s="12" t="inlineStr">
        <is>
          <t>Staging / Web Chrome</t>
        </is>
      </c>
      <c r="N205" s="12" t="inlineStr">
        <is>
          <t>Chrome v126 / Edge v126</t>
        </is>
      </c>
      <c r="O205" s="12" t="inlineStr">
        <is>
          <t>Screen-specific baseline case for Sleep Efficiency &amp; REM Tracker</t>
        </is>
      </c>
    </row>
    <row r="206" ht="36" customHeight="1">
      <c r="A206" s="11" t="inlineStr">
        <is>
          <t>TC-205</t>
        </is>
      </c>
      <c r="B206" s="12" t="inlineStr">
        <is>
          <t>SleepTrackerSection</t>
        </is>
      </c>
      <c r="C206" s="12" t="inlineStr">
        <is>
          <t>Selenium Web UI Testing</t>
        </is>
      </c>
      <c r="D206" s="12" t="inlineStr">
        <is>
          <t>Cross-Browser Rendering Parity on Sleep Efficiency &amp; REM Tracker</t>
        </is>
      </c>
      <c r="E206" s="12" t="inlineStr">
        <is>
          <t>1. Launch test runner in Staging / Web Chrome.
2. Navigate to Sleep Efficiency &amp; REM Tracker (SleepTrackerSection).
3. Execute UI test suite for SleepTrackerSection across Chrome, Firefox, Safari, and Edge.
4. Verify expected results and log evidence.</t>
        </is>
      </c>
      <c r="F206" s="12" t="inlineStr">
        <is>
          <t>Browsers: Chrome, Firefox, Safari, Edge</t>
        </is>
      </c>
      <c r="G206" s="12" t="inlineStr">
        <is>
          <t>DOM element styles render identically with zero CSS misalignment.</t>
        </is>
      </c>
      <c r="H206" s="12" t="inlineStr">
        <is>
          <t>Pending Execution</t>
        </is>
      </c>
      <c r="I206" s="13" t="inlineStr">
        <is>
          <t>Not Executed</t>
        </is>
      </c>
      <c r="J206" s="11" t="inlineStr">
        <is>
          <t>Low</t>
        </is>
      </c>
      <c r="K206" s="11" t="inlineStr">
        <is>
          <t>Moderate</t>
        </is>
      </c>
      <c r="L206" s="11" t="inlineStr">
        <is>
          <t>Script Ready</t>
        </is>
      </c>
      <c r="M206" s="12" t="inlineStr">
        <is>
          <t>Staging / Web Chrome</t>
        </is>
      </c>
      <c r="N206" s="12" t="inlineStr">
        <is>
          <t>Chrome v126 / Edge v126</t>
        </is>
      </c>
      <c r="O206" s="12" t="inlineStr">
        <is>
          <t>Screen-specific baseline case for Sleep Efficiency &amp; REM Tracker</t>
        </is>
      </c>
    </row>
    <row r="207" ht="36" customHeight="1">
      <c r="A207" s="11" t="inlineStr">
        <is>
          <t>TC-206</t>
        </is>
      </c>
      <c r="B207" s="12" t="inlineStr">
        <is>
          <t>SleepTrackerSection</t>
        </is>
      </c>
      <c r="C207" s="12" t="inlineStr">
        <is>
          <t>Selenium Web UI Testing</t>
        </is>
      </c>
      <c r="D207" s="12" t="inlineStr">
        <is>
          <t>Arabic Right-to-Left (RTL) Layout on Sleep Efficiency &amp; REM Tracker</t>
        </is>
      </c>
      <c r="E207" s="12" t="inlineStr">
        <is>
          <t>1. Launch test runner in Staging / Web Chrome.
2. Navigate to Sleep Efficiency &amp; REM Tracker (SleepTrackerSection).
3. Switch locale to Arabic (ar_SA) on SleepTrackerSection, inspect text direction and icon mirroring.
4. Verify expected results and log evidence.</t>
        </is>
      </c>
      <c r="F207" s="12" t="inlineStr">
        <is>
          <t>Locale: ar_SA, Target: SleepTrackerSection</t>
        </is>
      </c>
      <c r="G207" s="12" t="inlineStr">
        <is>
          <t>UI flips to right-to-left layout with mirrored icons and aligned text.</t>
        </is>
      </c>
      <c r="H207" s="12" t="inlineStr">
        <is>
          <t>Pending Execution</t>
        </is>
      </c>
      <c r="I207" s="13" t="inlineStr">
        <is>
          <t>Not Executed</t>
        </is>
      </c>
      <c r="J207" s="11" t="inlineStr">
        <is>
          <t>Medium</t>
        </is>
      </c>
      <c r="K207" s="11" t="inlineStr">
        <is>
          <t>Major</t>
        </is>
      </c>
      <c r="L207" s="11" t="inlineStr">
        <is>
          <t>Script Ready</t>
        </is>
      </c>
      <c r="M207" s="12" t="inlineStr">
        <is>
          <t>Staging / Web Chrome</t>
        </is>
      </c>
      <c r="N207" s="12" t="inlineStr">
        <is>
          <t>Chrome v126 / Edge v126</t>
        </is>
      </c>
      <c r="O207" s="12" t="inlineStr">
        <is>
          <t>Screen-specific baseline case for Sleep Efficiency &amp; REM Tracker</t>
        </is>
      </c>
    </row>
    <row r="208" ht="36" customHeight="1">
      <c r="A208" s="11" t="inlineStr">
        <is>
          <t>TC-207</t>
        </is>
      </c>
      <c r="B208" s="12" t="inlineStr">
        <is>
          <t>SleepTrackerSection</t>
        </is>
      </c>
      <c r="C208" s="12" t="inlineStr">
        <is>
          <t>Selenium Web UI Testing</t>
        </is>
      </c>
      <c r="D208" s="12" t="inlineStr">
        <is>
          <t>Localization &amp; Multi-Language Switching on Sleep Efficiency &amp; REM Tracker</t>
        </is>
      </c>
      <c r="E208" s="12" t="inlineStr">
        <is>
          <t>1. Launch test runner in Staging / Web Chrome.
2. Navigate to Sleep Efficiency &amp; REM Tracker (SleepTrackerSection).
3. Toggle header language dropdown on SleepTrackerSection between English, Hindi, and Arabic.
4. Verify expected results and log evidence.</t>
        </is>
      </c>
      <c r="F208" s="12" t="inlineStr">
        <is>
          <t>Locales: en, hi, ar</t>
        </is>
      </c>
      <c r="G208" s="12" t="inlineStr">
        <is>
          <t>All visible text strings update to selected language instantly.</t>
        </is>
      </c>
      <c r="H208" s="12" t="inlineStr">
        <is>
          <t>Pending Execution</t>
        </is>
      </c>
      <c r="I208" s="13" t="inlineStr">
        <is>
          <t>Not Executed</t>
        </is>
      </c>
      <c r="J208" s="11" t="inlineStr">
        <is>
          <t>High</t>
        </is>
      </c>
      <c r="K208" s="11" t="inlineStr">
        <is>
          <t>Moderate</t>
        </is>
      </c>
      <c r="L208" s="11" t="inlineStr">
        <is>
          <t>Script Ready</t>
        </is>
      </c>
      <c r="M208" s="12" t="inlineStr">
        <is>
          <t>Staging / Web Chrome</t>
        </is>
      </c>
      <c r="N208" s="12" t="inlineStr">
        <is>
          <t>Chrome v126 / Edge v126</t>
        </is>
      </c>
      <c r="O208" s="12" t="inlineStr">
        <is>
          <t>Screen-specific baseline case for Sleep Efficiency &amp; REM Tracker</t>
        </is>
      </c>
    </row>
    <row r="209" ht="36" customHeight="1">
      <c r="A209" s="11" t="inlineStr">
        <is>
          <t>TC-208</t>
        </is>
      </c>
      <c r="B209" s="12" t="inlineStr">
        <is>
          <t>SleepTrackerSection</t>
        </is>
      </c>
      <c r="C209" s="12" t="inlineStr">
        <is>
          <t>Selenium Web UI Testing</t>
        </is>
      </c>
      <c r="D209" s="12" t="inlineStr">
        <is>
          <t>Data Table &amp; Grid State Retention on Sleep Efficiency &amp; REM Tracker</t>
        </is>
      </c>
      <c r="E209" s="12" t="inlineStr">
        <is>
          <t>1. Launch test runner in Staging / Web Chrome.
2. Navigate to Sleep Efficiency &amp; REM Tracker (SleepTrackerSection).
3. Interact with data filters or state controls on SleepTrackerSection, navigate away and return.
4. Verify expected results and log evidence.</t>
        </is>
      </c>
      <c r="F209" s="12" t="inlineStr">
        <is>
          <t>State Payload: SleepTrackerSection_filter</t>
        </is>
      </c>
      <c r="G209" s="12" t="inlineStr">
        <is>
          <t>Screen preserves applied filter state without unexpected reset.</t>
        </is>
      </c>
      <c r="H209" s="12" t="inlineStr">
        <is>
          <t>Pending Execution</t>
        </is>
      </c>
      <c r="I209" s="13" t="inlineStr">
        <is>
          <t>Not Executed</t>
        </is>
      </c>
      <c r="J209" s="11" t="inlineStr">
        <is>
          <t>Medium</t>
        </is>
      </c>
      <c r="K209" s="11" t="inlineStr">
        <is>
          <t>Major</t>
        </is>
      </c>
      <c r="L209" s="11" t="inlineStr">
        <is>
          <t>Script Ready</t>
        </is>
      </c>
      <c r="M209" s="12" t="inlineStr">
        <is>
          <t>Staging / Web Chrome</t>
        </is>
      </c>
      <c r="N209" s="12" t="inlineStr">
        <is>
          <t>Chrome v126 / Edge v126</t>
        </is>
      </c>
      <c r="O209" s="12" t="inlineStr">
        <is>
          <t>Screen-specific baseline case for Sleep Efficiency &amp; REM Tracker</t>
        </is>
      </c>
    </row>
    <row r="210" ht="36" customHeight="1">
      <c r="A210" s="11" t="inlineStr">
        <is>
          <t>TC-209</t>
        </is>
      </c>
      <c r="B210" s="12" t="inlineStr">
        <is>
          <t>SleepTrackerSection</t>
        </is>
      </c>
      <c r="C210" s="12" t="inlineStr">
        <is>
          <t>Selenium Web UI Testing</t>
        </is>
      </c>
      <c r="D210" s="12" t="inlineStr">
        <is>
          <t>Modal Backdrop &amp; Keyboard Escape on Sleep Efficiency &amp; REM Tracker</t>
        </is>
      </c>
      <c r="E210" s="12" t="inlineStr">
        <is>
          <t>1. Launch test runner in Staging / Web Chrome.
2. Navigate to Sleep Efficiency &amp; REM Tracker (SleepTrackerSection).
3. Trigger pop-up dialog/modal on SleepTrackerSection, press Escape key to dismiss.
4. Verify expected results and log evidence.</t>
        </is>
      </c>
      <c r="F210" s="12" t="inlineStr">
        <is>
          <t>Modal Target: SleepTrackerSection</t>
        </is>
      </c>
      <c r="G210" s="12" t="inlineStr">
        <is>
          <t>Modal closes smoothly and returns focus to parent container.</t>
        </is>
      </c>
      <c r="H210" s="12" t="inlineStr">
        <is>
          <t>Pending Execution</t>
        </is>
      </c>
      <c r="I210" s="13" t="inlineStr">
        <is>
          <t>Not Executed</t>
        </is>
      </c>
      <c r="J210" s="11" t="inlineStr">
        <is>
          <t>Medium</t>
        </is>
      </c>
      <c r="K210" s="11" t="inlineStr">
        <is>
          <t>Moderate</t>
        </is>
      </c>
      <c r="L210" s="11" t="inlineStr">
        <is>
          <t>Script Ready</t>
        </is>
      </c>
      <c r="M210" s="12" t="inlineStr">
        <is>
          <t>Staging / Web Chrome</t>
        </is>
      </c>
      <c r="N210" s="12" t="inlineStr">
        <is>
          <t>Chrome v126 / Edge v126</t>
        </is>
      </c>
      <c r="O210" s="12" t="inlineStr">
        <is>
          <t>Screen-specific baseline case for Sleep Efficiency &amp; REM Tracker</t>
        </is>
      </c>
    </row>
    <row r="211" ht="36" customHeight="1">
      <c r="A211" s="11" t="inlineStr">
        <is>
          <t>TC-210</t>
        </is>
      </c>
      <c r="B211" s="12" t="inlineStr">
        <is>
          <t>SleepTrackerSection</t>
        </is>
      </c>
      <c r="C211" s="12" t="inlineStr">
        <is>
          <t>Selenium Web UI Testing</t>
        </is>
      </c>
      <c r="D211" s="12" t="inlineStr">
        <is>
          <t>Network Failure UI Fallback on Sleep Efficiency &amp; REM Tracker</t>
        </is>
      </c>
      <c r="E211" s="12" t="inlineStr">
        <is>
          <t>1. Launch test runner in Staging / Web Chrome.
2. Navigate to Sleep Efficiency &amp; REM Tracker (SleepTrackerSection).
3. Throttled network to offline mode while viewing SleepTrackerSection, attempt UI interaction.
4. Verify expected results and log evidence.</t>
        </is>
      </c>
      <c r="F211" s="12" t="inlineStr">
        <is>
          <t>Network: Offline, Target: SleepTrackerSection</t>
        </is>
      </c>
      <c r="G211" s="12" t="inlineStr">
        <is>
          <t>User-friendly offline banner appears with retry button.</t>
        </is>
      </c>
      <c r="H211" s="12" t="inlineStr">
        <is>
          <t>Pending Execution</t>
        </is>
      </c>
      <c r="I211" s="13" t="inlineStr">
        <is>
          <t>Not Executed</t>
        </is>
      </c>
      <c r="J211" s="11" t="inlineStr">
        <is>
          <t>High</t>
        </is>
      </c>
      <c r="K211" s="11" t="inlineStr">
        <is>
          <t>Critical</t>
        </is>
      </c>
      <c r="L211" s="11" t="inlineStr">
        <is>
          <t>Script Ready</t>
        </is>
      </c>
      <c r="M211" s="12" t="inlineStr">
        <is>
          <t>Staging / Web Chrome</t>
        </is>
      </c>
      <c r="N211" s="12" t="inlineStr">
        <is>
          <t>Chrome v126 / Edge v126</t>
        </is>
      </c>
      <c r="O211" s="12" t="inlineStr">
        <is>
          <t>Screen-specific baseline case for Sleep Efficiency &amp; REM Tracker</t>
        </is>
      </c>
    </row>
    <row r="212" ht="36" customHeight="1">
      <c r="A212" s="11" t="inlineStr">
        <is>
          <t>TC-211</t>
        </is>
      </c>
      <c r="B212" s="12" t="inlineStr">
        <is>
          <t>StepTrackerSection</t>
        </is>
      </c>
      <c r="C212" s="12" t="inlineStr">
        <is>
          <t>Selenium Web UI Testing</t>
        </is>
      </c>
      <c r="D212" s="12" t="inlineStr">
        <is>
          <t>Positive Web UI Layout on Step Counter &amp; Distance Burn Tracker</t>
        </is>
      </c>
      <c r="E212" s="12" t="inlineStr">
        <is>
          <t>1. Launch test runner in Staging / Web Chrome.
2. Navigate to Step Counter &amp; Distance Burn Tracker (StepTrackerSection).
3. Launch browser, navigate to StepTrackerSection, verify grid container alignment and responsive element scaling.
4. Verify expected results and log evidence.</t>
        </is>
      </c>
      <c r="F212" s="12" t="inlineStr">
        <is>
          <t>Viewport: 1920x1080, Screen: StepTrackerSection</t>
        </is>
      </c>
      <c r="G212" s="12" t="inlineStr">
        <is>
          <t>UI components align cleanly without scrollbar clipping or overflow.</t>
        </is>
      </c>
      <c r="H212" s="12" t="inlineStr">
        <is>
          <t>Pending Execution</t>
        </is>
      </c>
      <c r="I212" s="13" t="inlineStr">
        <is>
          <t>Not Executed</t>
        </is>
      </c>
      <c r="J212" s="11" t="inlineStr">
        <is>
          <t>Medium</t>
        </is>
      </c>
      <c r="K212" s="11" t="inlineStr">
        <is>
          <t>Moderate</t>
        </is>
      </c>
      <c r="L212" s="11" t="inlineStr">
        <is>
          <t>Script Ready</t>
        </is>
      </c>
      <c r="M212" s="12" t="inlineStr">
        <is>
          <t>Staging / Web Chrome</t>
        </is>
      </c>
      <c r="N212" s="12" t="inlineStr">
        <is>
          <t>Chrome v126 / Edge v126</t>
        </is>
      </c>
      <c r="O212" s="12" t="inlineStr">
        <is>
          <t>Screen-specific baseline case for Step Counter &amp; Distance Burn Tracker</t>
        </is>
      </c>
    </row>
    <row r="213" ht="36" customHeight="1">
      <c r="A213" s="11" t="inlineStr">
        <is>
          <t>TC-212</t>
        </is>
      </c>
      <c r="B213" s="12" t="inlineStr">
        <is>
          <t>StepTrackerSection</t>
        </is>
      </c>
      <c r="C213" s="12" t="inlineStr">
        <is>
          <t>Selenium Web UI Testing</t>
        </is>
      </c>
      <c r="D213" s="12" t="inlineStr">
        <is>
          <t>Negative Input Form Validation on Step Counter &amp; Distance Burn Tracker</t>
        </is>
      </c>
      <c r="E213" s="12" t="inlineStr">
        <is>
          <t>1. Launch test runner in Staging / Web Chrome.
2. Navigate to Step Counter &amp; Distance Burn Tracker (StepTrackerSection).
3. Focus input controls on StepTrackerSection, enter out-of-bound strings, trigger blur event.
4. Verify expected results and log evidence.</t>
        </is>
      </c>
      <c r="F213" s="12" t="inlineStr">
        <is>
          <t>Input: invalid_string, Screen: StepTrackerSection</t>
        </is>
      </c>
      <c r="G213" s="12" t="inlineStr">
        <is>
          <t>Validation badge displays accessible aria error message.</t>
        </is>
      </c>
      <c r="H213" s="12" t="inlineStr">
        <is>
          <t>Pending Execution</t>
        </is>
      </c>
      <c r="I213" s="13" t="inlineStr">
        <is>
          <t>Not Executed</t>
        </is>
      </c>
      <c r="J213" s="11" t="inlineStr">
        <is>
          <t>Medium</t>
        </is>
      </c>
      <c r="K213" s="11" t="inlineStr">
        <is>
          <t>Major</t>
        </is>
      </c>
      <c r="L213" s="11" t="inlineStr">
        <is>
          <t>Script Ready</t>
        </is>
      </c>
      <c r="M213" s="12" t="inlineStr">
        <is>
          <t>Staging / Web Chrome</t>
        </is>
      </c>
      <c r="N213" s="12" t="inlineStr">
        <is>
          <t>Chrome v126 / Edge v126</t>
        </is>
      </c>
      <c r="O213" s="12" t="inlineStr">
        <is>
          <t>Screen-specific baseline case for Step Counter &amp; Distance Burn Tracker</t>
        </is>
      </c>
    </row>
    <row r="214" ht="36" customHeight="1">
      <c r="A214" s="11" t="inlineStr">
        <is>
          <t>TC-213</t>
        </is>
      </c>
      <c r="B214" s="12" t="inlineStr">
        <is>
          <t>StepTrackerSection</t>
        </is>
      </c>
      <c r="C214" s="12" t="inlineStr">
        <is>
          <t>Selenium Web UI Testing</t>
        </is>
      </c>
      <c r="D214" s="12" t="inlineStr">
        <is>
          <t>Boundary Viewport Responsiveness on Step Counter &amp; Distance Burn Tracker</t>
        </is>
      </c>
      <c r="E214" s="12" t="inlineStr">
        <is>
          <t>1. Launch test runner in Staging / Web Chrome.
2. Navigate to Step Counter &amp; Distance Burn Tracker (StepTrackerSection).
3. Resize web browser window from 320px mobile breakpoint up to 4K desktop width.
4. Verify expected results and log evidence.</t>
        </is>
      </c>
      <c r="F214" s="12" t="inlineStr">
        <is>
          <t>Breakpoint Widths: [320, 768, 1024, 1440, 3840]</t>
        </is>
      </c>
      <c r="G214" s="12" t="inlineStr">
        <is>
          <t>Layout adapts responsively without overlapping UI text nodes.</t>
        </is>
      </c>
      <c r="H214" s="12" t="inlineStr">
        <is>
          <t>Pending Execution</t>
        </is>
      </c>
      <c r="I214" s="13" t="inlineStr">
        <is>
          <t>Not Executed</t>
        </is>
      </c>
      <c r="J214" s="11" t="inlineStr">
        <is>
          <t>High</t>
        </is>
      </c>
      <c r="K214" s="11" t="inlineStr">
        <is>
          <t>Moderate</t>
        </is>
      </c>
      <c r="L214" s="11" t="inlineStr">
        <is>
          <t>Script Ready</t>
        </is>
      </c>
      <c r="M214" s="12" t="inlineStr">
        <is>
          <t>Staging / Web Chrome</t>
        </is>
      </c>
      <c r="N214" s="12" t="inlineStr">
        <is>
          <t>Chrome v126 / Edge v126</t>
        </is>
      </c>
      <c r="O214" s="12" t="inlineStr">
        <is>
          <t>Screen-specific baseline case for Step Counter &amp; Distance Burn Tracker</t>
        </is>
      </c>
    </row>
    <row r="215" ht="36" customHeight="1">
      <c r="A215" s="11" t="inlineStr">
        <is>
          <t>TC-214</t>
        </is>
      </c>
      <c r="B215" s="12" t="inlineStr">
        <is>
          <t>StepTrackerSection</t>
        </is>
      </c>
      <c r="C215" s="12" t="inlineStr">
        <is>
          <t>Selenium Web UI Testing</t>
        </is>
      </c>
      <c r="D215" s="12" t="inlineStr">
        <is>
          <t>Interactive Hover &amp; Focus Traversal on Step Counter &amp; Distance Burn Tracker</t>
        </is>
      </c>
      <c r="E215" s="12" t="inlineStr">
        <is>
          <t>1. Launch test runner in Staging / Web Chrome.
2. Navigate to Step Counter &amp; Distance Burn Tracker (StepTrackerSection).
3. Tab through interactive focusable nodes on StepTrackerSection, hover cursor over CTA buttons.
4. Verify expected results and log evidence.</t>
        </is>
      </c>
      <c r="F215" s="12" t="inlineStr">
        <is>
          <t>Key Navigation: TAB, Hover target: StepTrackerSection</t>
        </is>
      </c>
      <c r="G215" s="12" t="inlineStr">
        <is>
          <t>Focus ring highlights elements in logical DOM tab order.</t>
        </is>
      </c>
      <c r="H215" s="12" t="inlineStr">
        <is>
          <t>Pending Execution</t>
        </is>
      </c>
      <c r="I215" s="13" t="inlineStr">
        <is>
          <t>Not Executed</t>
        </is>
      </c>
      <c r="J215" s="11" t="inlineStr">
        <is>
          <t>Medium</t>
        </is>
      </c>
      <c r="K215" s="11" t="inlineStr">
        <is>
          <t>Major</t>
        </is>
      </c>
      <c r="L215" s="11" t="inlineStr">
        <is>
          <t>Script Ready</t>
        </is>
      </c>
      <c r="M215" s="12" t="inlineStr">
        <is>
          <t>Staging / Web Chrome</t>
        </is>
      </c>
      <c r="N215" s="12" t="inlineStr">
        <is>
          <t>Chrome v126 / Edge v126</t>
        </is>
      </c>
      <c r="O215" s="12" t="inlineStr">
        <is>
          <t>Screen-specific baseline case for Step Counter &amp; Distance Burn Tracker</t>
        </is>
      </c>
    </row>
    <row r="216" ht="36" customHeight="1">
      <c r="A216" s="11" t="inlineStr">
        <is>
          <t>TC-215</t>
        </is>
      </c>
      <c r="B216" s="12" t="inlineStr">
        <is>
          <t>StepTrackerSection</t>
        </is>
      </c>
      <c r="C216" s="12" t="inlineStr">
        <is>
          <t>Selenium Web UI Testing</t>
        </is>
      </c>
      <c r="D216" s="12" t="inlineStr">
        <is>
          <t>Cross-Browser Rendering Parity on Step Counter &amp; Distance Burn Tracker</t>
        </is>
      </c>
      <c r="E216" s="12" t="inlineStr">
        <is>
          <t>1. Launch test runner in Staging / Web Chrome.
2. Navigate to Step Counter &amp; Distance Burn Tracker (StepTrackerSection).
3. Execute UI test suite for StepTrackerSection across Chrome, Firefox, Safari, and Edge.
4. Verify expected results and log evidence.</t>
        </is>
      </c>
      <c r="F216" s="12" t="inlineStr">
        <is>
          <t>Browsers: Chrome, Firefox, Safari, Edge</t>
        </is>
      </c>
      <c r="G216" s="12" t="inlineStr">
        <is>
          <t>DOM element styles render identically with zero CSS misalignment.</t>
        </is>
      </c>
      <c r="H216" s="12" t="inlineStr">
        <is>
          <t>Pending Execution</t>
        </is>
      </c>
      <c r="I216" s="13" t="inlineStr">
        <is>
          <t>Not Executed</t>
        </is>
      </c>
      <c r="J216" s="11" t="inlineStr">
        <is>
          <t>Low</t>
        </is>
      </c>
      <c r="K216" s="11" t="inlineStr">
        <is>
          <t>Moderate</t>
        </is>
      </c>
      <c r="L216" s="11" t="inlineStr">
        <is>
          <t>Script Ready</t>
        </is>
      </c>
      <c r="M216" s="12" t="inlineStr">
        <is>
          <t>Staging / Web Chrome</t>
        </is>
      </c>
      <c r="N216" s="12" t="inlineStr">
        <is>
          <t>Chrome v126 / Edge v126</t>
        </is>
      </c>
      <c r="O216" s="12" t="inlineStr">
        <is>
          <t>Screen-specific baseline case for Step Counter &amp; Distance Burn Tracker</t>
        </is>
      </c>
    </row>
    <row r="217" ht="36" customHeight="1">
      <c r="A217" s="11" t="inlineStr">
        <is>
          <t>TC-216</t>
        </is>
      </c>
      <c r="B217" s="12" t="inlineStr">
        <is>
          <t>StepTrackerSection</t>
        </is>
      </c>
      <c r="C217" s="12" t="inlineStr">
        <is>
          <t>Selenium Web UI Testing</t>
        </is>
      </c>
      <c r="D217" s="12" t="inlineStr">
        <is>
          <t>Arabic Right-to-Left (RTL) Layout on Step Counter &amp; Distance Burn Tracker</t>
        </is>
      </c>
      <c r="E217" s="12" t="inlineStr">
        <is>
          <t>1. Launch test runner in Staging / Web Chrome.
2. Navigate to Step Counter &amp; Distance Burn Tracker (StepTrackerSection).
3. Switch locale to Arabic (ar_SA) on StepTrackerSection, inspect text direction and icon mirroring.
4. Verify expected results and log evidence.</t>
        </is>
      </c>
      <c r="F217" s="12" t="inlineStr">
        <is>
          <t>Locale: ar_SA, Target: StepTrackerSection</t>
        </is>
      </c>
      <c r="G217" s="12" t="inlineStr">
        <is>
          <t>UI flips to right-to-left layout with mirrored icons and aligned text.</t>
        </is>
      </c>
      <c r="H217" s="12" t="inlineStr">
        <is>
          <t>Pending Execution</t>
        </is>
      </c>
      <c r="I217" s="13" t="inlineStr">
        <is>
          <t>Not Executed</t>
        </is>
      </c>
      <c r="J217" s="11" t="inlineStr">
        <is>
          <t>High</t>
        </is>
      </c>
      <c r="K217" s="11" t="inlineStr">
        <is>
          <t>Major</t>
        </is>
      </c>
      <c r="L217" s="11" t="inlineStr">
        <is>
          <t>Script Ready</t>
        </is>
      </c>
      <c r="M217" s="12" t="inlineStr">
        <is>
          <t>Staging / Web Chrome</t>
        </is>
      </c>
      <c r="N217" s="12" t="inlineStr">
        <is>
          <t>Chrome v126 / Edge v126</t>
        </is>
      </c>
      <c r="O217" s="12" t="inlineStr">
        <is>
          <t>Screen-specific baseline case for Step Counter &amp; Distance Burn Tracker</t>
        </is>
      </c>
    </row>
    <row r="218" ht="36" customHeight="1">
      <c r="A218" s="11" t="inlineStr">
        <is>
          <t>TC-217</t>
        </is>
      </c>
      <c r="B218" s="12" t="inlineStr">
        <is>
          <t>StepTrackerSection</t>
        </is>
      </c>
      <c r="C218" s="12" t="inlineStr">
        <is>
          <t>Selenium Web UI Testing</t>
        </is>
      </c>
      <c r="D218" s="12" t="inlineStr">
        <is>
          <t>Localization &amp; Multi-Language Switching on Step Counter &amp; Distance Burn Tracker</t>
        </is>
      </c>
      <c r="E218" s="12" t="inlineStr">
        <is>
          <t>1. Launch test runner in Staging / Web Chrome.
2. Navigate to Step Counter &amp; Distance Burn Tracker (StepTrackerSection).
3. Toggle header language dropdown on StepTrackerSection between English, Hindi, and Arabic.
4. Verify expected results and log evidence.</t>
        </is>
      </c>
      <c r="F218" s="12" t="inlineStr">
        <is>
          <t>Locales: en, hi, ar</t>
        </is>
      </c>
      <c r="G218" s="12" t="inlineStr">
        <is>
          <t>All visible text strings update to selected language instantly.</t>
        </is>
      </c>
      <c r="H218" s="12" t="inlineStr">
        <is>
          <t>Pending Execution</t>
        </is>
      </c>
      <c r="I218" s="13" t="inlineStr">
        <is>
          <t>Not Executed</t>
        </is>
      </c>
      <c r="J218" s="11" t="inlineStr">
        <is>
          <t>Medium</t>
        </is>
      </c>
      <c r="K218" s="11" t="inlineStr">
        <is>
          <t>Critical</t>
        </is>
      </c>
      <c r="L218" s="11" t="inlineStr">
        <is>
          <t>Script Ready</t>
        </is>
      </c>
      <c r="M218" s="12" t="inlineStr">
        <is>
          <t>Staging / Web Chrome</t>
        </is>
      </c>
      <c r="N218" s="12" t="inlineStr">
        <is>
          <t>Chrome v126 / Edge v126</t>
        </is>
      </c>
      <c r="O218" s="12" t="inlineStr">
        <is>
          <t>Screen-specific baseline case for Step Counter &amp; Distance Burn Tracker</t>
        </is>
      </c>
    </row>
    <row r="219" ht="36" customHeight="1">
      <c r="A219" s="11" t="inlineStr">
        <is>
          <t>TC-218</t>
        </is>
      </c>
      <c r="B219" s="12" t="inlineStr">
        <is>
          <t>StepTrackerSection</t>
        </is>
      </c>
      <c r="C219" s="12" t="inlineStr">
        <is>
          <t>Selenium Web UI Testing</t>
        </is>
      </c>
      <c r="D219" s="12" t="inlineStr">
        <is>
          <t>Data Table &amp; Grid State Retention on Step Counter &amp; Distance Burn Tracker</t>
        </is>
      </c>
      <c r="E219" s="12" t="inlineStr">
        <is>
          <t>1. Launch test runner in Staging / Web Chrome.
2. Navigate to Step Counter &amp; Distance Burn Tracker (StepTrackerSection).
3. Interact with data filters or state controls on StepTrackerSection, navigate away and return.
4. Verify expected results and log evidence.</t>
        </is>
      </c>
      <c r="F219" s="12" t="inlineStr">
        <is>
          <t>State Payload: StepTrackerSection_filter</t>
        </is>
      </c>
      <c r="G219" s="12" t="inlineStr">
        <is>
          <t>Screen preserves applied filter state without unexpected reset.</t>
        </is>
      </c>
      <c r="H219" s="12" t="inlineStr">
        <is>
          <t>Pending Execution</t>
        </is>
      </c>
      <c r="I219" s="13" t="inlineStr">
        <is>
          <t>Not Executed</t>
        </is>
      </c>
      <c r="J219" s="11" t="inlineStr">
        <is>
          <t>Medium</t>
        </is>
      </c>
      <c r="K219" s="11" t="inlineStr">
        <is>
          <t>Major</t>
        </is>
      </c>
      <c r="L219" s="11" t="inlineStr">
        <is>
          <t>Script Ready</t>
        </is>
      </c>
      <c r="M219" s="12" t="inlineStr">
        <is>
          <t>Staging / Web Chrome</t>
        </is>
      </c>
      <c r="N219" s="12" t="inlineStr">
        <is>
          <t>Chrome v126 / Edge v126</t>
        </is>
      </c>
      <c r="O219" s="12" t="inlineStr">
        <is>
          <t>Screen-specific baseline case for Step Counter &amp; Distance Burn Tracker</t>
        </is>
      </c>
    </row>
    <row r="220" ht="36" customHeight="1">
      <c r="A220" s="11" t="inlineStr">
        <is>
          <t>TC-219</t>
        </is>
      </c>
      <c r="B220" s="12" t="inlineStr">
        <is>
          <t>StepTrackerSection</t>
        </is>
      </c>
      <c r="C220" s="12" t="inlineStr">
        <is>
          <t>Selenium Web UI Testing</t>
        </is>
      </c>
      <c r="D220" s="12" t="inlineStr">
        <is>
          <t>Modal Backdrop &amp; Keyboard Escape on Step Counter &amp; Distance Burn Tracker</t>
        </is>
      </c>
      <c r="E220" s="12" t="inlineStr">
        <is>
          <t>1. Launch test runner in Staging / Web Chrome.
2. Navigate to Step Counter &amp; Distance Burn Tracker (StepTrackerSection).
3. Trigger pop-up dialog/modal on StepTrackerSection, press Escape key to dismiss.
4. Verify expected results and log evidence.</t>
        </is>
      </c>
      <c r="F220" s="12" t="inlineStr">
        <is>
          <t>Modal Target: StepTrackerSection</t>
        </is>
      </c>
      <c r="G220" s="12" t="inlineStr">
        <is>
          <t>Modal closes smoothly and returns focus to parent container.</t>
        </is>
      </c>
      <c r="H220" s="12" t="inlineStr">
        <is>
          <t>Pending Execution</t>
        </is>
      </c>
      <c r="I220" s="13" t="inlineStr">
        <is>
          <t>Not Executed</t>
        </is>
      </c>
      <c r="J220" s="11" t="inlineStr">
        <is>
          <t>High</t>
        </is>
      </c>
      <c r="K220" s="11" t="inlineStr">
        <is>
          <t>Moderate</t>
        </is>
      </c>
      <c r="L220" s="11" t="inlineStr">
        <is>
          <t>Script Ready</t>
        </is>
      </c>
      <c r="M220" s="12" t="inlineStr">
        <is>
          <t>Staging / Web Chrome</t>
        </is>
      </c>
      <c r="N220" s="12" t="inlineStr">
        <is>
          <t>Chrome v126 / Edge v126</t>
        </is>
      </c>
      <c r="O220" s="12" t="inlineStr">
        <is>
          <t>Screen-specific baseline case for Step Counter &amp; Distance Burn Tracker</t>
        </is>
      </c>
    </row>
    <row r="221" ht="36" customHeight="1">
      <c r="A221" s="11" t="inlineStr">
        <is>
          <t>TC-220</t>
        </is>
      </c>
      <c r="B221" s="12" t="inlineStr">
        <is>
          <t>StepTrackerSection</t>
        </is>
      </c>
      <c r="C221" s="12" t="inlineStr">
        <is>
          <t>Selenium Web UI Testing</t>
        </is>
      </c>
      <c r="D221" s="12" t="inlineStr">
        <is>
          <t>Network Failure UI Fallback on Step Counter &amp; Distance Burn Tracker</t>
        </is>
      </c>
      <c r="E221" s="12" t="inlineStr">
        <is>
          <t>1. Launch test runner in Staging / Web Chrome.
2. Navigate to Step Counter &amp; Distance Burn Tracker (StepTrackerSection).
3. Throttled network to offline mode while viewing StepTrackerSection, attempt UI interaction.
4. Verify expected results and log evidence.</t>
        </is>
      </c>
      <c r="F221" s="12" t="inlineStr">
        <is>
          <t>Network: Offline, Target: StepTrackerSection</t>
        </is>
      </c>
      <c r="G221" s="12" t="inlineStr">
        <is>
          <t>User-friendly offline banner appears with retry button.</t>
        </is>
      </c>
      <c r="H221" s="12" t="inlineStr">
        <is>
          <t>Pending Execution</t>
        </is>
      </c>
      <c r="I221" s="13" t="inlineStr">
        <is>
          <t>Not Executed</t>
        </is>
      </c>
      <c r="J221" s="11" t="inlineStr">
        <is>
          <t>Low</t>
        </is>
      </c>
      <c r="K221" s="11" t="inlineStr">
        <is>
          <t>Major</t>
        </is>
      </c>
      <c r="L221" s="11" t="inlineStr">
        <is>
          <t>Script Ready</t>
        </is>
      </c>
      <c r="M221" s="12" t="inlineStr">
        <is>
          <t>Staging / Web Chrome</t>
        </is>
      </c>
      <c r="N221" s="12" t="inlineStr">
        <is>
          <t>Chrome v126 / Edge v126</t>
        </is>
      </c>
      <c r="O221" s="12" t="inlineStr">
        <is>
          <t>Screen-specific baseline case for Step Counter &amp; Distance Burn Tracker</t>
        </is>
      </c>
    </row>
    <row r="222" ht="36" customHeight="1">
      <c r="A222" s="11" t="inlineStr">
        <is>
          <t>TC-221</t>
        </is>
      </c>
      <c r="B222" s="12" t="inlineStr">
        <is>
          <t>AITrainerScreen</t>
        </is>
      </c>
      <c r="C222" s="12" t="inlineStr">
        <is>
          <t>Selenium Web UI Testing</t>
        </is>
      </c>
      <c r="D222" s="12" t="inlineStr">
        <is>
          <t>Positive Web UI Layout on AI Fitness &amp; Exercise Trainer Screen</t>
        </is>
      </c>
      <c r="E222" s="12" t="inlineStr">
        <is>
          <t>1. Launch test runner in Staging / Web Chrome.
2. Navigate to AI Fitness &amp; Exercise Trainer Screen (AITrainerScreen).
3. Launch browser, navigate to AITrainerScreen, verify grid container alignment and responsive element scaling.
4. Verify expected results and log evidence.</t>
        </is>
      </c>
      <c r="F222" s="12" t="inlineStr">
        <is>
          <t>Viewport: 1920x1080, Screen: AITrainerScreen</t>
        </is>
      </c>
      <c r="G222" s="12" t="inlineStr">
        <is>
          <t>UI components align cleanly without scrollbar clipping or overflow.</t>
        </is>
      </c>
      <c r="H222" s="12" t="inlineStr">
        <is>
          <t>Pending Execution</t>
        </is>
      </c>
      <c r="I222" s="13" t="inlineStr">
        <is>
          <t>Not Executed</t>
        </is>
      </c>
      <c r="J222" s="11" t="inlineStr">
        <is>
          <t>Medium</t>
        </is>
      </c>
      <c r="K222" s="11" t="inlineStr">
        <is>
          <t>Moderate</t>
        </is>
      </c>
      <c r="L222" s="11" t="inlineStr">
        <is>
          <t>Script Ready</t>
        </is>
      </c>
      <c r="M222" s="12" t="inlineStr">
        <is>
          <t>Staging / Web Chrome</t>
        </is>
      </c>
      <c r="N222" s="12" t="inlineStr">
        <is>
          <t>Chrome v126 / Edge v126</t>
        </is>
      </c>
      <c r="O222" s="12" t="inlineStr">
        <is>
          <t>Screen-specific baseline case for AI Fitness &amp; Exercise Trainer Screen</t>
        </is>
      </c>
    </row>
    <row r="223" ht="36" customHeight="1">
      <c r="A223" s="11" t="inlineStr">
        <is>
          <t>TC-222</t>
        </is>
      </c>
      <c r="B223" s="12" t="inlineStr">
        <is>
          <t>AITrainerScreen</t>
        </is>
      </c>
      <c r="C223" s="12" t="inlineStr">
        <is>
          <t>Selenium Web UI Testing</t>
        </is>
      </c>
      <c r="D223" s="12" t="inlineStr">
        <is>
          <t>Negative Input Form Validation on AI Fitness &amp; Exercise Trainer Screen</t>
        </is>
      </c>
      <c r="E223" s="12" t="inlineStr">
        <is>
          <t>1. Launch test runner in Staging / Web Chrome.
2. Navigate to AI Fitness &amp; Exercise Trainer Screen (AITrainerScreen).
3. Focus input controls on AITrainerScreen, enter out-of-bound strings, trigger blur event.
4. Verify expected results and log evidence.</t>
        </is>
      </c>
      <c r="F223" s="12" t="inlineStr">
        <is>
          <t>Input: invalid_string, Screen: AITrainerScreen</t>
        </is>
      </c>
      <c r="G223" s="12" t="inlineStr">
        <is>
          <t>Validation badge displays accessible aria error message.</t>
        </is>
      </c>
      <c r="H223" s="12" t="inlineStr">
        <is>
          <t>Pending Execution</t>
        </is>
      </c>
      <c r="I223" s="13" t="inlineStr">
        <is>
          <t>Not Executed</t>
        </is>
      </c>
      <c r="J223" s="11" t="inlineStr">
        <is>
          <t>High</t>
        </is>
      </c>
      <c r="K223" s="11" t="inlineStr">
        <is>
          <t>Major</t>
        </is>
      </c>
      <c r="L223" s="11" t="inlineStr">
        <is>
          <t>Script Ready</t>
        </is>
      </c>
      <c r="M223" s="12" t="inlineStr">
        <is>
          <t>Staging / Web Chrome</t>
        </is>
      </c>
      <c r="N223" s="12" t="inlineStr">
        <is>
          <t>Chrome v126 / Edge v126</t>
        </is>
      </c>
      <c r="O223" s="12" t="inlineStr">
        <is>
          <t>Screen-specific baseline case for AI Fitness &amp; Exercise Trainer Screen</t>
        </is>
      </c>
    </row>
    <row r="224" ht="36" customHeight="1">
      <c r="A224" s="11" t="inlineStr">
        <is>
          <t>TC-223</t>
        </is>
      </c>
      <c r="B224" s="12" t="inlineStr">
        <is>
          <t>AITrainerScreen</t>
        </is>
      </c>
      <c r="C224" s="12" t="inlineStr">
        <is>
          <t>Selenium Web UI Testing</t>
        </is>
      </c>
      <c r="D224" s="12" t="inlineStr">
        <is>
          <t>Boundary Viewport Responsiveness on AI Fitness &amp; Exercise Trainer Screen</t>
        </is>
      </c>
      <c r="E224" s="12" t="inlineStr">
        <is>
          <t>1. Launch test runner in Staging / Web Chrome.
2. Navigate to AI Fitness &amp; Exercise Trainer Screen (AITrainerScreen).
3. Resize web browser window from 320px mobile breakpoint up to 4K desktop width.
4. Verify expected results and log evidence.</t>
        </is>
      </c>
      <c r="F224" s="12" t="inlineStr">
        <is>
          <t>Breakpoint Widths: [320, 768, 1024, 1440, 3840]</t>
        </is>
      </c>
      <c r="G224" s="12" t="inlineStr">
        <is>
          <t>Layout adapts responsively without overlapping UI text nodes.</t>
        </is>
      </c>
      <c r="H224" s="12" t="inlineStr">
        <is>
          <t>Pending Execution</t>
        </is>
      </c>
      <c r="I224" s="13" t="inlineStr">
        <is>
          <t>Not Executed</t>
        </is>
      </c>
      <c r="J224" s="11" t="inlineStr">
        <is>
          <t>Medium</t>
        </is>
      </c>
      <c r="K224" s="11" t="inlineStr">
        <is>
          <t>Moderate</t>
        </is>
      </c>
      <c r="L224" s="11" t="inlineStr">
        <is>
          <t>Script Ready</t>
        </is>
      </c>
      <c r="M224" s="12" t="inlineStr">
        <is>
          <t>Staging / Web Chrome</t>
        </is>
      </c>
      <c r="N224" s="12" t="inlineStr">
        <is>
          <t>Chrome v126 / Edge v126</t>
        </is>
      </c>
      <c r="O224" s="12" t="inlineStr">
        <is>
          <t>Screen-specific baseline case for AI Fitness &amp; Exercise Trainer Screen</t>
        </is>
      </c>
    </row>
    <row r="225" ht="36" customHeight="1">
      <c r="A225" s="11" t="inlineStr">
        <is>
          <t>TC-224</t>
        </is>
      </c>
      <c r="B225" s="12" t="inlineStr">
        <is>
          <t>AITrainerScreen</t>
        </is>
      </c>
      <c r="C225" s="12" t="inlineStr">
        <is>
          <t>Selenium Web UI Testing</t>
        </is>
      </c>
      <c r="D225" s="12" t="inlineStr">
        <is>
          <t>Interactive Hover &amp; Focus Traversal on AI Fitness &amp; Exercise Trainer Screen</t>
        </is>
      </c>
      <c r="E225" s="12" t="inlineStr">
        <is>
          <t>1. Launch test runner in Staging / Web Chrome.
2. Navigate to AI Fitness &amp; Exercise Trainer Screen (AITrainerScreen).
3. Tab through interactive focusable nodes on AITrainerScreen, hover cursor over CTA buttons.
4. Verify expected results and log evidence.</t>
        </is>
      </c>
      <c r="F225" s="12" t="inlineStr">
        <is>
          <t>Key Navigation: TAB, Hover target: AITrainerScreen</t>
        </is>
      </c>
      <c r="G225" s="12" t="inlineStr">
        <is>
          <t>Focus ring highlights elements in logical DOM tab order.</t>
        </is>
      </c>
      <c r="H225" s="12" t="inlineStr">
        <is>
          <t>Pending Execution</t>
        </is>
      </c>
      <c r="I225" s="13" t="inlineStr">
        <is>
          <t>Not Executed</t>
        </is>
      </c>
      <c r="J225" s="11" t="inlineStr">
        <is>
          <t>Medium</t>
        </is>
      </c>
      <c r="K225" s="11" t="inlineStr">
        <is>
          <t>Critical</t>
        </is>
      </c>
      <c r="L225" s="11" t="inlineStr">
        <is>
          <t>Script Ready</t>
        </is>
      </c>
      <c r="M225" s="12" t="inlineStr">
        <is>
          <t>Staging / Web Chrome</t>
        </is>
      </c>
      <c r="N225" s="12" t="inlineStr">
        <is>
          <t>Chrome v126 / Edge v126</t>
        </is>
      </c>
      <c r="O225" s="12" t="inlineStr">
        <is>
          <t>Screen-specific baseline case for AI Fitness &amp; Exercise Trainer Screen</t>
        </is>
      </c>
    </row>
    <row r="226" ht="36" customHeight="1">
      <c r="A226" s="11" t="inlineStr">
        <is>
          <t>TC-225</t>
        </is>
      </c>
      <c r="B226" s="12" t="inlineStr">
        <is>
          <t>AITrainerScreen</t>
        </is>
      </c>
      <c r="C226" s="12" t="inlineStr">
        <is>
          <t>Selenium Web UI Testing</t>
        </is>
      </c>
      <c r="D226" s="12" t="inlineStr">
        <is>
          <t>Cross-Browser Rendering Parity on AI Fitness &amp; Exercise Trainer Screen</t>
        </is>
      </c>
      <c r="E226" s="12" t="inlineStr">
        <is>
          <t>1. Launch test runner in Staging / Web Chrome.
2. Navigate to AI Fitness &amp; Exercise Trainer Screen (AITrainerScreen).
3. Execute UI test suite for AITrainerScreen across Chrome, Firefox, Safari, and Edge.
4. Verify expected results and log evidence.</t>
        </is>
      </c>
      <c r="F226" s="12" t="inlineStr">
        <is>
          <t>Browsers: Chrome, Firefox, Safari, Edge</t>
        </is>
      </c>
      <c r="G226" s="12" t="inlineStr">
        <is>
          <t>DOM element styles render identically with zero CSS misalignment.</t>
        </is>
      </c>
      <c r="H226" s="12" t="inlineStr">
        <is>
          <t>Pending Execution</t>
        </is>
      </c>
      <c r="I226" s="13" t="inlineStr">
        <is>
          <t>Not Executed</t>
        </is>
      </c>
      <c r="J226" s="11" t="inlineStr">
        <is>
          <t>High</t>
        </is>
      </c>
      <c r="K226" s="11" t="inlineStr">
        <is>
          <t>Moderate</t>
        </is>
      </c>
      <c r="L226" s="11" t="inlineStr">
        <is>
          <t>Script Ready</t>
        </is>
      </c>
      <c r="M226" s="12" t="inlineStr">
        <is>
          <t>Staging / Web Chrome</t>
        </is>
      </c>
      <c r="N226" s="12" t="inlineStr">
        <is>
          <t>Chrome v126 / Edge v126</t>
        </is>
      </c>
      <c r="O226" s="12" t="inlineStr">
        <is>
          <t>Screen-specific baseline case for AI Fitness &amp; Exercise Trainer Screen</t>
        </is>
      </c>
    </row>
    <row r="227" ht="36" customHeight="1">
      <c r="A227" s="11" t="inlineStr">
        <is>
          <t>TC-226</t>
        </is>
      </c>
      <c r="B227" s="12" t="inlineStr">
        <is>
          <t>AITrainerScreen</t>
        </is>
      </c>
      <c r="C227" s="12" t="inlineStr">
        <is>
          <t>Selenium Web UI Testing</t>
        </is>
      </c>
      <c r="D227" s="12" t="inlineStr">
        <is>
          <t>Arabic Right-to-Left (RTL) Layout on AI Fitness &amp; Exercise Trainer Screen</t>
        </is>
      </c>
      <c r="E227" s="12" t="inlineStr">
        <is>
          <t>1. Launch test runner in Staging / Web Chrome.
2. Navigate to AI Fitness &amp; Exercise Trainer Screen (AITrainerScreen).
3. Switch locale to Arabic (ar_SA) on AITrainerScreen, inspect text direction and icon mirroring.
4. Verify expected results and log evidence.</t>
        </is>
      </c>
      <c r="F227" s="12" t="inlineStr">
        <is>
          <t>Locale: ar_SA, Target: AITrainerScreen</t>
        </is>
      </c>
      <c r="G227" s="12" t="inlineStr">
        <is>
          <t>UI flips to right-to-left layout with mirrored icons and aligned text.</t>
        </is>
      </c>
      <c r="H227" s="12" t="inlineStr">
        <is>
          <t>Pending Execution</t>
        </is>
      </c>
      <c r="I227" s="13" t="inlineStr">
        <is>
          <t>Not Executed</t>
        </is>
      </c>
      <c r="J227" s="11" t="inlineStr">
        <is>
          <t>Medium</t>
        </is>
      </c>
      <c r="K227" s="11" t="inlineStr">
        <is>
          <t>Major</t>
        </is>
      </c>
      <c r="L227" s="11" t="inlineStr">
        <is>
          <t>Script Ready</t>
        </is>
      </c>
      <c r="M227" s="12" t="inlineStr">
        <is>
          <t>Staging / Web Chrome</t>
        </is>
      </c>
      <c r="N227" s="12" t="inlineStr">
        <is>
          <t>Chrome v126 / Edge v126</t>
        </is>
      </c>
      <c r="O227" s="12" t="inlineStr">
        <is>
          <t>Screen-specific baseline case for AI Fitness &amp; Exercise Trainer Screen</t>
        </is>
      </c>
    </row>
    <row r="228" ht="36" customHeight="1">
      <c r="A228" s="11" t="inlineStr">
        <is>
          <t>TC-227</t>
        </is>
      </c>
      <c r="B228" s="12" t="inlineStr">
        <is>
          <t>AITrainerScreen</t>
        </is>
      </c>
      <c r="C228" s="12" t="inlineStr">
        <is>
          <t>Selenium Web UI Testing</t>
        </is>
      </c>
      <c r="D228" s="12" t="inlineStr">
        <is>
          <t>Localization &amp; Multi-Language Switching on AI Fitness &amp; Exercise Trainer Screen</t>
        </is>
      </c>
      <c r="E228" s="12" t="inlineStr">
        <is>
          <t>1. Launch test runner in Staging / Web Chrome.
2. Navigate to AI Fitness &amp; Exercise Trainer Screen (AITrainerScreen).
3. Toggle header language dropdown on AITrainerScreen between English, Hindi, and Arabic.
4. Verify expected results and log evidence.</t>
        </is>
      </c>
      <c r="F228" s="12" t="inlineStr">
        <is>
          <t>Locales: en, hi, ar</t>
        </is>
      </c>
      <c r="G228" s="12" t="inlineStr">
        <is>
          <t>All visible text strings update to selected language instantly.</t>
        </is>
      </c>
      <c r="H228" s="12" t="inlineStr">
        <is>
          <t>Pending Execution</t>
        </is>
      </c>
      <c r="I228" s="13" t="inlineStr">
        <is>
          <t>Not Executed</t>
        </is>
      </c>
      <c r="J228" s="11" t="inlineStr">
        <is>
          <t>Medium</t>
        </is>
      </c>
      <c r="K228" s="11" t="inlineStr">
        <is>
          <t>Moderate</t>
        </is>
      </c>
      <c r="L228" s="11" t="inlineStr">
        <is>
          <t>Script Ready</t>
        </is>
      </c>
      <c r="M228" s="12" t="inlineStr">
        <is>
          <t>Staging / Web Chrome</t>
        </is>
      </c>
      <c r="N228" s="12" t="inlineStr">
        <is>
          <t>Chrome v126 / Edge v126</t>
        </is>
      </c>
      <c r="O228" s="12" t="inlineStr">
        <is>
          <t>Screen-specific baseline case for AI Fitness &amp; Exercise Trainer Screen</t>
        </is>
      </c>
    </row>
    <row r="229" ht="36" customHeight="1">
      <c r="A229" s="11" t="inlineStr">
        <is>
          <t>TC-228</t>
        </is>
      </c>
      <c r="B229" s="12" t="inlineStr">
        <is>
          <t>AITrainerScreen</t>
        </is>
      </c>
      <c r="C229" s="12" t="inlineStr">
        <is>
          <t>Selenium Web UI Testing</t>
        </is>
      </c>
      <c r="D229" s="12" t="inlineStr">
        <is>
          <t>Data Table &amp; Grid State Retention on AI Fitness &amp; Exercise Trainer Screen</t>
        </is>
      </c>
      <c r="E229" s="12" t="inlineStr">
        <is>
          <t>1. Launch test runner in Staging / Web Chrome.
2. Navigate to AI Fitness &amp; Exercise Trainer Screen (AITrainerScreen).
3. Interact with data filters or state controls on AITrainerScreen, navigate away and return.
4. Verify expected results and log evidence.</t>
        </is>
      </c>
      <c r="F229" s="12" t="inlineStr">
        <is>
          <t>State Payload: AITrainerScreen_filter</t>
        </is>
      </c>
      <c r="G229" s="12" t="inlineStr">
        <is>
          <t>Screen preserves applied filter state without unexpected reset.</t>
        </is>
      </c>
      <c r="H229" s="12" t="inlineStr">
        <is>
          <t>Pending Execution</t>
        </is>
      </c>
      <c r="I229" s="13" t="inlineStr">
        <is>
          <t>Not Executed</t>
        </is>
      </c>
      <c r="J229" s="11" t="inlineStr">
        <is>
          <t>High</t>
        </is>
      </c>
      <c r="K229" s="11" t="inlineStr">
        <is>
          <t>Major</t>
        </is>
      </c>
      <c r="L229" s="11" t="inlineStr">
        <is>
          <t>Script Ready</t>
        </is>
      </c>
      <c r="M229" s="12" t="inlineStr">
        <is>
          <t>Staging / Web Chrome</t>
        </is>
      </c>
      <c r="N229" s="12" t="inlineStr">
        <is>
          <t>Chrome v126 / Edge v126</t>
        </is>
      </c>
      <c r="O229" s="12" t="inlineStr">
        <is>
          <t>Screen-specific baseline case for AI Fitness &amp; Exercise Trainer Screen</t>
        </is>
      </c>
    </row>
    <row r="230" ht="36" customHeight="1">
      <c r="A230" s="11" t="inlineStr">
        <is>
          <t>TC-229</t>
        </is>
      </c>
      <c r="B230" s="12" t="inlineStr">
        <is>
          <t>AITrainerScreen</t>
        </is>
      </c>
      <c r="C230" s="12" t="inlineStr">
        <is>
          <t>Selenium Web UI Testing</t>
        </is>
      </c>
      <c r="D230" s="12" t="inlineStr">
        <is>
          <t>Modal Backdrop &amp; Keyboard Escape on AI Fitness &amp; Exercise Trainer Screen</t>
        </is>
      </c>
      <c r="E230" s="12" t="inlineStr">
        <is>
          <t>1. Launch test runner in Staging / Web Chrome.
2. Navigate to AI Fitness &amp; Exercise Trainer Screen (AITrainerScreen).
3. Trigger pop-up dialog/modal on AITrainerScreen, press Escape key to dismiss.
4. Verify expected results and log evidence.</t>
        </is>
      </c>
      <c r="F230" s="12" t="inlineStr">
        <is>
          <t>Modal Target: AITrainerScreen</t>
        </is>
      </c>
      <c r="G230" s="12" t="inlineStr">
        <is>
          <t>Modal closes smoothly and returns focus to parent container.</t>
        </is>
      </c>
      <c r="H230" s="12" t="inlineStr">
        <is>
          <t>Pending Execution</t>
        </is>
      </c>
      <c r="I230" s="13" t="inlineStr">
        <is>
          <t>Not Executed</t>
        </is>
      </c>
      <c r="J230" s="11" t="inlineStr">
        <is>
          <t>Medium</t>
        </is>
      </c>
      <c r="K230" s="11" t="inlineStr">
        <is>
          <t>Moderate</t>
        </is>
      </c>
      <c r="L230" s="11" t="inlineStr">
        <is>
          <t>Script Ready</t>
        </is>
      </c>
      <c r="M230" s="12" t="inlineStr">
        <is>
          <t>Staging / Web Chrome</t>
        </is>
      </c>
      <c r="N230" s="12" t="inlineStr">
        <is>
          <t>Chrome v126 / Edge v126</t>
        </is>
      </c>
      <c r="O230" s="12" t="inlineStr">
        <is>
          <t>Screen-specific baseline case for AI Fitness &amp; Exercise Trainer Screen</t>
        </is>
      </c>
    </row>
    <row r="231" ht="36" customHeight="1">
      <c r="A231" s="11" t="inlineStr">
        <is>
          <t>TC-230</t>
        </is>
      </c>
      <c r="B231" s="12" t="inlineStr">
        <is>
          <t>AITrainerScreen</t>
        </is>
      </c>
      <c r="C231" s="12" t="inlineStr">
        <is>
          <t>Selenium Web UI Testing</t>
        </is>
      </c>
      <c r="D231" s="12" t="inlineStr">
        <is>
          <t>Network Failure UI Fallback on AI Fitness &amp; Exercise Trainer Screen</t>
        </is>
      </c>
      <c r="E231" s="12" t="inlineStr">
        <is>
          <t>1. Launch test runner in Staging / Web Chrome.
2. Navigate to AI Fitness &amp; Exercise Trainer Screen (AITrainerScreen).
3. Throttled network to offline mode while viewing AITrainerScreen, attempt UI interaction.
4. Verify expected results and log evidence.</t>
        </is>
      </c>
      <c r="F231" s="12" t="inlineStr">
        <is>
          <t>Network: Offline, Target: AITrainerScreen</t>
        </is>
      </c>
      <c r="G231" s="12" t="inlineStr">
        <is>
          <t>User-friendly offline banner appears with retry button.</t>
        </is>
      </c>
      <c r="H231" s="12" t="inlineStr">
        <is>
          <t>Pending Execution</t>
        </is>
      </c>
      <c r="I231" s="13" t="inlineStr">
        <is>
          <t>Not Executed</t>
        </is>
      </c>
      <c r="J231" s="11" t="inlineStr">
        <is>
          <t>Low</t>
        </is>
      </c>
      <c r="K231" s="11" t="inlineStr">
        <is>
          <t>Major</t>
        </is>
      </c>
      <c r="L231" s="11" t="inlineStr">
        <is>
          <t>Script Ready</t>
        </is>
      </c>
      <c r="M231" s="12" t="inlineStr">
        <is>
          <t>Staging / Web Chrome</t>
        </is>
      </c>
      <c r="N231" s="12" t="inlineStr">
        <is>
          <t>Chrome v126 / Edge v126</t>
        </is>
      </c>
      <c r="O231" s="12" t="inlineStr">
        <is>
          <t>Screen-specific baseline case for AI Fitness &amp; Exercise Trainer Screen</t>
        </is>
      </c>
    </row>
    <row r="232" ht="36" customHeight="1">
      <c r="A232" s="11" t="inlineStr">
        <is>
          <t>TC-231</t>
        </is>
      </c>
      <c r="B232" s="12" t="inlineStr">
        <is>
          <t>ShopTab</t>
        </is>
      </c>
      <c r="C232" s="12" t="inlineStr">
        <is>
          <t>Selenium Web UI Testing</t>
        </is>
      </c>
      <c r="D232" s="12" t="inlineStr">
        <is>
          <t>Positive Web UI Layout on Supplement &amp; Equipment Shop Catalog Tab</t>
        </is>
      </c>
      <c r="E232" s="12" t="inlineStr">
        <is>
          <t>1. Launch test runner in Staging / Web Chrome.
2. Navigate to Supplement &amp; Equipment Shop Catalog Tab (ShopTab).
3. Launch browser, navigate to ShopTab, verify grid container alignment and responsive element scaling.
4. Verify expected results and log evidence.</t>
        </is>
      </c>
      <c r="F232" s="12" t="inlineStr">
        <is>
          <t>Viewport: 1920x1080, Screen: ShopTab</t>
        </is>
      </c>
      <c r="G232" s="12" t="inlineStr">
        <is>
          <t>UI components align cleanly without scrollbar clipping or overflow.</t>
        </is>
      </c>
      <c r="H232" s="12" t="inlineStr">
        <is>
          <t>Pending Execution</t>
        </is>
      </c>
      <c r="I232" s="13" t="inlineStr">
        <is>
          <t>Not Executed</t>
        </is>
      </c>
      <c r="J232" s="11" t="inlineStr">
        <is>
          <t>High</t>
        </is>
      </c>
      <c r="K232" s="11" t="inlineStr">
        <is>
          <t>Critical</t>
        </is>
      </c>
      <c r="L232" s="11" t="inlineStr">
        <is>
          <t>Script Ready</t>
        </is>
      </c>
      <c r="M232" s="12" t="inlineStr">
        <is>
          <t>Staging / Web Chrome</t>
        </is>
      </c>
      <c r="N232" s="12" t="inlineStr">
        <is>
          <t>Chrome v126 / Edge v126</t>
        </is>
      </c>
      <c r="O232" s="12" t="inlineStr">
        <is>
          <t>Screen-specific baseline case for Supplement &amp; Equipment Shop Catalog Tab</t>
        </is>
      </c>
    </row>
    <row r="233" ht="36" customHeight="1">
      <c r="A233" s="11" t="inlineStr">
        <is>
          <t>TC-232</t>
        </is>
      </c>
      <c r="B233" s="12" t="inlineStr">
        <is>
          <t>ShopTab</t>
        </is>
      </c>
      <c r="C233" s="12" t="inlineStr">
        <is>
          <t>Selenium Web UI Testing</t>
        </is>
      </c>
      <c r="D233" s="12" t="inlineStr">
        <is>
          <t>Negative Input Form Validation on Supplement &amp; Equipment Shop Catalog Tab</t>
        </is>
      </c>
      <c r="E233" s="12" t="inlineStr">
        <is>
          <t>1. Launch test runner in Staging / Web Chrome.
2. Navigate to Supplement &amp; Equipment Shop Catalog Tab (ShopTab).
3. Focus input controls on ShopTab, enter out-of-bound strings, trigger blur event.
4. Verify expected results and log evidence.</t>
        </is>
      </c>
      <c r="F233" s="12" t="inlineStr">
        <is>
          <t>Input: invalid_string, Screen: ShopTab</t>
        </is>
      </c>
      <c r="G233" s="12" t="inlineStr">
        <is>
          <t>Validation badge displays accessible aria error message.</t>
        </is>
      </c>
      <c r="H233" s="12" t="inlineStr">
        <is>
          <t>Pending Execution</t>
        </is>
      </c>
      <c r="I233" s="13" t="inlineStr">
        <is>
          <t>Not Executed</t>
        </is>
      </c>
      <c r="J233" s="11" t="inlineStr">
        <is>
          <t>Medium</t>
        </is>
      </c>
      <c r="K233" s="11" t="inlineStr">
        <is>
          <t>Major</t>
        </is>
      </c>
      <c r="L233" s="11" t="inlineStr">
        <is>
          <t>Script Ready</t>
        </is>
      </c>
      <c r="M233" s="12" t="inlineStr">
        <is>
          <t>Staging / Web Chrome</t>
        </is>
      </c>
      <c r="N233" s="12" t="inlineStr">
        <is>
          <t>Chrome v126 / Edge v126</t>
        </is>
      </c>
      <c r="O233" s="12" t="inlineStr">
        <is>
          <t>Screen-specific baseline case for Supplement &amp; Equipment Shop Catalog Tab</t>
        </is>
      </c>
    </row>
    <row r="234" ht="36" customHeight="1">
      <c r="A234" s="11" t="inlineStr">
        <is>
          <t>TC-233</t>
        </is>
      </c>
      <c r="B234" s="12" t="inlineStr">
        <is>
          <t>ShopTab</t>
        </is>
      </c>
      <c r="C234" s="12" t="inlineStr">
        <is>
          <t>Selenium Web UI Testing</t>
        </is>
      </c>
      <c r="D234" s="12" t="inlineStr">
        <is>
          <t>Boundary Viewport Responsiveness on Supplement &amp; Equipment Shop Catalog Tab</t>
        </is>
      </c>
      <c r="E234" s="12" t="inlineStr">
        <is>
          <t>1. Launch test runner in Staging / Web Chrome.
2. Navigate to Supplement &amp; Equipment Shop Catalog Tab (ShopTab).
3. Resize web browser window from 320px mobile breakpoint up to 4K desktop width.
4. Verify expected results and log evidence.</t>
        </is>
      </c>
      <c r="F234" s="12" t="inlineStr">
        <is>
          <t>Breakpoint Widths: [320, 768, 1024, 1440, 3840]</t>
        </is>
      </c>
      <c r="G234" s="12" t="inlineStr">
        <is>
          <t>Layout adapts responsively without overlapping UI text nodes.</t>
        </is>
      </c>
      <c r="H234" s="12" t="inlineStr">
        <is>
          <t>Pending Execution</t>
        </is>
      </c>
      <c r="I234" s="13" t="inlineStr">
        <is>
          <t>Not Executed</t>
        </is>
      </c>
      <c r="J234" s="11" t="inlineStr">
        <is>
          <t>Medium</t>
        </is>
      </c>
      <c r="K234" s="11" t="inlineStr">
        <is>
          <t>Moderate</t>
        </is>
      </c>
      <c r="L234" s="11" t="inlineStr">
        <is>
          <t>Script Ready</t>
        </is>
      </c>
      <c r="M234" s="12" t="inlineStr">
        <is>
          <t>Staging / Web Chrome</t>
        </is>
      </c>
      <c r="N234" s="12" t="inlineStr">
        <is>
          <t>Chrome v126 / Edge v126</t>
        </is>
      </c>
      <c r="O234" s="12" t="inlineStr">
        <is>
          <t>Screen-specific baseline case for Supplement &amp; Equipment Shop Catalog Tab</t>
        </is>
      </c>
    </row>
    <row r="235" ht="36" customHeight="1">
      <c r="A235" s="11" t="inlineStr">
        <is>
          <t>TC-234</t>
        </is>
      </c>
      <c r="B235" s="12" t="inlineStr">
        <is>
          <t>ShopTab</t>
        </is>
      </c>
      <c r="C235" s="12" t="inlineStr">
        <is>
          <t>Selenium Web UI Testing</t>
        </is>
      </c>
      <c r="D235" s="12" t="inlineStr">
        <is>
          <t>Interactive Hover &amp; Focus Traversal on Supplement &amp; Equipment Shop Catalog Tab</t>
        </is>
      </c>
      <c r="E235" s="12" t="inlineStr">
        <is>
          <t>1. Launch test runner in Staging / Web Chrome.
2. Navigate to Supplement &amp; Equipment Shop Catalog Tab (ShopTab).
3. Tab through interactive focusable nodes on ShopTab, hover cursor over CTA buttons.
4. Verify expected results and log evidence.</t>
        </is>
      </c>
      <c r="F235" s="12" t="inlineStr">
        <is>
          <t>Key Navigation: TAB, Hover target: ShopTab</t>
        </is>
      </c>
      <c r="G235" s="12" t="inlineStr">
        <is>
          <t>Focus ring highlights elements in logical DOM tab order.</t>
        </is>
      </c>
      <c r="H235" s="12" t="inlineStr">
        <is>
          <t>Pending Execution</t>
        </is>
      </c>
      <c r="I235" s="13" t="inlineStr">
        <is>
          <t>Not Executed</t>
        </is>
      </c>
      <c r="J235" s="11" t="inlineStr">
        <is>
          <t>High</t>
        </is>
      </c>
      <c r="K235" s="11" t="inlineStr">
        <is>
          <t>Major</t>
        </is>
      </c>
      <c r="L235" s="11" t="inlineStr">
        <is>
          <t>Script Ready</t>
        </is>
      </c>
      <c r="M235" s="12" t="inlineStr">
        <is>
          <t>Staging / Web Chrome</t>
        </is>
      </c>
      <c r="N235" s="12" t="inlineStr">
        <is>
          <t>Chrome v126 / Edge v126</t>
        </is>
      </c>
      <c r="O235" s="12" t="inlineStr">
        <is>
          <t>Screen-specific baseline case for Supplement &amp; Equipment Shop Catalog Tab</t>
        </is>
      </c>
    </row>
    <row r="236" ht="36" customHeight="1">
      <c r="A236" s="11" t="inlineStr">
        <is>
          <t>TC-235</t>
        </is>
      </c>
      <c r="B236" s="12" t="inlineStr">
        <is>
          <t>ShopTab</t>
        </is>
      </c>
      <c r="C236" s="12" t="inlineStr">
        <is>
          <t>Selenium Web UI Testing</t>
        </is>
      </c>
      <c r="D236" s="12" t="inlineStr">
        <is>
          <t>Cross-Browser Rendering Parity on Supplement &amp; Equipment Shop Catalog Tab</t>
        </is>
      </c>
      <c r="E236" s="12" t="inlineStr">
        <is>
          <t>1. Launch test runner in Staging / Web Chrome.
2. Navigate to Supplement &amp; Equipment Shop Catalog Tab (ShopTab).
3. Execute UI test suite for ShopTab across Chrome, Firefox, Safari, and Edge.
4. Verify expected results and log evidence.</t>
        </is>
      </c>
      <c r="F236" s="12" t="inlineStr">
        <is>
          <t>Browsers: Chrome, Firefox, Safari, Edge</t>
        </is>
      </c>
      <c r="G236" s="12" t="inlineStr">
        <is>
          <t>DOM element styles render identically with zero CSS misalignment.</t>
        </is>
      </c>
      <c r="H236" s="12" t="inlineStr">
        <is>
          <t>Pending Execution</t>
        </is>
      </c>
      <c r="I236" s="13" t="inlineStr">
        <is>
          <t>Not Executed</t>
        </is>
      </c>
      <c r="J236" s="11" t="inlineStr">
        <is>
          <t>Low</t>
        </is>
      </c>
      <c r="K236" s="11" t="inlineStr">
        <is>
          <t>Moderate</t>
        </is>
      </c>
      <c r="L236" s="11" t="inlineStr">
        <is>
          <t>Script Ready</t>
        </is>
      </c>
      <c r="M236" s="12" t="inlineStr">
        <is>
          <t>Staging / Web Chrome</t>
        </is>
      </c>
      <c r="N236" s="12" t="inlineStr">
        <is>
          <t>Chrome v126 / Edge v126</t>
        </is>
      </c>
      <c r="O236" s="12" t="inlineStr">
        <is>
          <t>Screen-specific baseline case for Supplement &amp; Equipment Shop Catalog Tab</t>
        </is>
      </c>
    </row>
    <row r="237" ht="36" customHeight="1">
      <c r="A237" s="11" t="inlineStr">
        <is>
          <t>TC-236</t>
        </is>
      </c>
      <c r="B237" s="12" t="inlineStr">
        <is>
          <t>ShopTab</t>
        </is>
      </c>
      <c r="C237" s="12" t="inlineStr">
        <is>
          <t>Selenium Web UI Testing</t>
        </is>
      </c>
      <c r="D237" s="12" t="inlineStr">
        <is>
          <t>Arabic Right-to-Left (RTL) Layout on Supplement &amp; Equipment Shop Catalog Tab</t>
        </is>
      </c>
      <c r="E237" s="12" t="inlineStr">
        <is>
          <t>1. Launch test runner in Staging / Web Chrome.
2. Navigate to Supplement &amp; Equipment Shop Catalog Tab (ShopTab).
3. Switch locale to Arabic (ar_SA) on ShopTab, inspect text direction and icon mirroring.
4. Verify expected results and log evidence.</t>
        </is>
      </c>
      <c r="F237" s="12" t="inlineStr">
        <is>
          <t>Locale: ar_SA, Target: ShopTab</t>
        </is>
      </c>
      <c r="G237" s="12" t="inlineStr">
        <is>
          <t>UI flips to right-to-left layout with mirrored icons and aligned text.</t>
        </is>
      </c>
      <c r="H237" s="12" t="inlineStr">
        <is>
          <t>Pending Execution</t>
        </is>
      </c>
      <c r="I237" s="13" t="inlineStr">
        <is>
          <t>Not Executed</t>
        </is>
      </c>
      <c r="J237" s="11" t="inlineStr">
        <is>
          <t>Medium</t>
        </is>
      </c>
      <c r="K237" s="11" t="inlineStr">
        <is>
          <t>Major</t>
        </is>
      </c>
      <c r="L237" s="11" t="inlineStr">
        <is>
          <t>Script Ready</t>
        </is>
      </c>
      <c r="M237" s="12" t="inlineStr">
        <is>
          <t>Staging / Web Chrome</t>
        </is>
      </c>
      <c r="N237" s="12" t="inlineStr">
        <is>
          <t>Chrome v126 / Edge v126</t>
        </is>
      </c>
      <c r="O237" s="12" t="inlineStr">
        <is>
          <t>Screen-specific baseline case for Supplement &amp; Equipment Shop Catalog Tab</t>
        </is>
      </c>
    </row>
    <row r="238" ht="36" customHeight="1">
      <c r="A238" s="11" t="inlineStr">
        <is>
          <t>TC-237</t>
        </is>
      </c>
      <c r="B238" s="12" t="inlineStr">
        <is>
          <t>ShopTab</t>
        </is>
      </c>
      <c r="C238" s="12" t="inlineStr">
        <is>
          <t>Selenium Web UI Testing</t>
        </is>
      </c>
      <c r="D238" s="12" t="inlineStr">
        <is>
          <t>Localization &amp; Multi-Language Switching on Supplement &amp; Equipment Shop Catalog Tab</t>
        </is>
      </c>
      <c r="E238" s="12" t="inlineStr">
        <is>
          <t>1. Launch test runner in Staging / Web Chrome.
2. Navigate to Supplement &amp; Equipment Shop Catalog Tab (ShopTab).
3. Toggle header language dropdown on ShopTab between English, Hindi, and Arabic.
4. Verify expected results and log evidence.</t>
        </is>
      </c>
      <c r="F238" s="12" t="inlineStr">
        <is>
          <t>Locales: en, hi, ar</t>
        </is>
      </c>
      <c r="G238" s="12" t="inlineStr">
        <is>
          <t>All visible text strings update to selected language instantly.</t>
        </is>
      </c>
      <c r="H238" s="12" t="inlineStr">
        <is>
          <t>Pending Execution</t>
        </is>
      </c>
      <c r="I238" s="13" t="inlineStr">
        <is>
          <t>Not Executed</t>
        </is>
      </c>
      <c r="J238" s="11" t="inlineStr">
        <is>
          <t>High</t>
        </is>
      </c>
      <c r="K238" s="11" t="inlineStr">
        <is>
          <t>Moderate</t>
        </is>
      </c>
      <c r="L238" s="11" t="inlineStr">
        <is>
          <t>Script Ready</t>
        </is>
      </c>
      <c r="M238" s="12" t="inlineStr">
        <is>
          <t>Staging / Web Chrome</t>
        </is>
      </c>
      <c r="N238" s="12" t="inlineStr">
        <is>
          <t>Chrome v126 / Edge v126</t>
        </is>
      </c>
      <c r="O238" s="12" t="inlineStr">
        <is>
          <t>Screen-specific baseline case for Supplement &amp; Equipment Shop Catalog Tab</t>
        </is>
      </c>
    </row>
    <row r="239" ht="36" customHeight="1">
      <c r="A239" s="11" t="inlineStr">
        <is>
          <t>TC-238</t>
        </is>
      </c>
      <c r="B239" s="12" t="inlineStr">
        <is>
          <t>ShopTab</t>
        </is>
      </c>
      <c r="C239" s="12" t="inlineStr">
        <is>
          <t>Selenium Web UI Testing</t>
        </is>
      </c>
      <c r="D239" s="12" t="inlineStr">
        <is>
          <t>Data Table &amp; Grid State Retention on Supplement &amp; Equipment Shop Catalog Tab</t>
        </is>
      </c>
      <c r="E239" s="12" t="inlineStr">
        <is>
          <t>1. Launch test runner in Staging / Web Chrome.
2. Navigate to Supplement &amp; Equipment Shop Catalog Tab (ShopTab).
3. Interact with data filters or state controls on ShopTab, navigate away and return.
4. Verify expected results and log evidence.</t>
        </is>
      </c>
      <c r="F239" s="12" t="inlineStr">
        <is>
          <t>State Payload: ShopTab_filter</t>
        </is>
      </c>
      <c r="G239" s="12" t="inlineStr">
        <is>
          <t>Screen preserves applied filter state without unexpected reset.</t>
        </is>
      </c>
      <c r="H239" s="12" t="inlineStr">
        <is>
          <t>Pending Execution</t>
        </is>
      </c>
      <c r="I239" s="13" t="inlineStr">
        <is>
          <t>Not Executed</t>
        </is>
      </c>
      <c r="J239" s="11" t="inlineStr">
        <is>
          <t>Medium</t>
        </is>
      </c>
      <c r="K239" s="11" t="inlineStr">
        <is>
          <t>Critical</t>
        </is>
      </c>
      <c r="L239" s="11" t="inlineStr">
        <is>
          <t>Script Ready</t>
        </is>
      </c>
      <c r="M239" s="12" t="inlineStr">
        <is>
          <t>Staging / Web Chrome</t>
        </is>
      </c>
      <c r="N239" s="12" t="inlineStr">
        <is>
          <t>Chrome v126 / Edge v126</t>
        </is>
      </c>
      <c r="O239" s="12" t="inlineStr">
        <is>
          <t>Screen-specific baseline case for Supplement &amp; Equipment Shop Catalog Tab</t>
        </is>
      </c>
    </row>
    <row r="240" ht="36" customHeight="1">
      <c r="A240" s="11" t="inlineStr">
        <is>
          <t>TC-239</t>
        </is>
      </c>
      <c r="B240" s="12" t="inlineStr">
        <is>
          <t>ShopTab</t>
        </is>
      </c>
      <c r="C240" s="12" t="inlineStr">
        <is>
          <t>Selenium Web UI Testing</t>
        </is>
      </c>
      <c r="D240" s="12" t="inlineStr">
        <is>
          <t>Modal Backdrop &amp; Keyboard Escape on Supplement &amp; Equipment Shop Catalog Tab</t>
        </is>
      </c>
      <c r="E240" s="12" t="inlineStr">
        <is>
          <t>1. Launch test runner in Staging / Web Chrome.
2. Navigate to Supplement &amp; Equipment Shop Catalog Tab (ShopTab).
3. Trigger pop-up dialog/modal on ShopTab, press Escape key to dismiss.
4. Verify expected results and log evidence.</t>
        </is>
      </c>
      <c r="F240" s="12" t="inlineStr">
        <is>
          <t>Modal Target: ShopTab</t>
        </is>
      </c>
      <c r="G240" s="12" t="inlineStr">
        <is>
          <t>Modal closes smoothly and returns focus to parent container.</t>
        </is>
      </c>
      <c r="H240" s="12" t="inlineStr">
        <is>
          <t>Pending Execution</t>
        </is>
      </c>
      <c r="I240" s="13" t="inlineStr">
        <is>
          <t>Not Executed</t>
        </is>
      </c>
      <c r="J240" s="11" t="inlineStr">
        <is>
          <t>Medium</t>
        </is>
      </c>
      <c r="K240" s="11" t="inlineStr">
        <is>
          <t>Moderate</t>
        </is>
      </c>
      <c r="L240" s="11" t="inlineStr">
        <is>
          <t>Script Ready</t>
        </is>
      </c>
      <c r="M240" s="12" t="inlineStr">
        <is>
          <t>Staging / Web Chrome</t>
        </is>
      </c>
      <c r="N240" s="12" t="inlineStr">
        <is>
          <t>Chrome v126 / Edge v126</t>
        </is>
      </c>
      <c r="O240" s="12" t="inlineStr">
        <is>
          <t>Screen-specific baseline case for Supplement &amp; Equipment Shop Catalog Tab</t>
        </is>
      </c>
    </row>
    <row r="241" ht="36" customHeight="1">
      <c r="A241" s="11" t="inlineStr">
        <is>
          <t>TC-240</t>
        </is>
      </c>
      <c r="B241" s="12" t="inlineStr">
        <is>
          <t>ShopTab</t>
        </is>
      </c>
      <c r="C241" s="12" t="inlineStr">
        <is>
          <t>Selenium Web UI Testing</t>
        </is>
      </c>
      <c r="D241" s="12" t="inlineStr">
        <is>
          <t>Network Failure UI Fallback on Supplement &amp; Equipment Shop Catalog Tab</t>
        </is>
      </c>
      <c r="E241" s="12" t="inlineStr">
        <is>
          <t>1. Launch test runner in Staging / Web Chrome.
2. Navigate to Supplement &amp; Equipment Shop Catalog Tab (ShopTab).
3. Throttled network to offline mode while viewing ShopTab, attempt UI interaction.
4. Verify expected results and log evidence.</t>
        </is>
      </c>
      <c r="F241" s="12" t="inlineStr">
        <is>
          <t>Network: Offline, Target: ShopTab</t>
        </is>
      </c>
      <c r="G241" s="12" t="inlineStr">
        <is>
          <t>User-friendly offline banner appears with retry button.</t>
        </is>
      </c>
      <c r="H241" s="12" t="inlineStr">
        <is>
          <t>Pending Execution</t>
        </is>
      </c>
      <c r="I241" s="13" t="inlineStr">
        <is>
          <t>Not Executed</t>
        </is>
      </c>
      <c r="J241" s="11" t="inlineStr">
        <is>
          <t>High</t>
        </is>
      </c>
      <c r="K241" s="11" t="inlineStr">
        <is>
          <t>Major</t>
        </is>
      </c>
      <c r="L241" s="11" t="inlineStr">
        <is>
          <t>Script Ready</t>
        </is>
      </c>
      <c r="M241" s="12" t="inlineStr">
        <is>
          <t>Staging / Web Chrome</t>
        </is>
      </c>
      <c r="N241" s="12" t="inlineStr">
        <is>
          <t>Chrome v126 / Edge v126</t>
        </is>
      </c>
      <c r="O241" s="12" t="inlineStr">
        <is>
          <t>Screen-specific baseline case for Supplement &amp; Equipment Shop Catalog Tab</t>
        </is>
      </c>
    </row>
    <row r="242" ht="36" customHeight="1">
      <c r="A242" s="11" t="inlineStr">
        <is>
          <t>TC-241</t>
        </is>
      </c>
      <c r="B242" s="12" t="inlineStr">
        <is>
          <t>BudgetProductCard</t>
        </is>
      </c>
      <c r="C242" s="12" t="inlineStr">
        <is>
          <t>Selenium Web UI Testing</t>
        </is>
      </c>
      <c r="D242" s="12" t="inlineStr">
        <is>
          <t>Positive Web UI Layout on Budget Supplement &amp; Product Details</t>
        </is>
      </c>
      <c r="E242" s="12" t="inlineStr">
        <is>
          <t>1. Launch test runner in Staging / Web Chrome.
2. Navigate to Budget Supplement &amp; Product Details (BudgetProductCard).
3. Launch browser, navigate to BudgetProductCard, verify grid container alignment and responsive element scaling.
4. Verify expected results and log evidence.</t>
        </is>
      </c>
      <c r="F242" s="12" t="inlineStr">
        <is>
          <t>Viewport: 1920x1080, Screen: BudgetProductCard</t>
        </is>
      </c>
      <c r="G242" s="12" t="inlineStr">
        <is>
          <t>UI components align cleanly without scrollbar clipping or overflow.</t>
        </is>
      </c>
      <c r="H242" s="12" t="inlineStr">
        <is>
          <t>Pending Execution</t>
        </is>
      </c>
      <c r="I242" s="13" t="inlineStr">
        <is>
          <t>Not Executed</t>
        </is>
      </c>
      <c r="J242" s="11" t="inlineStr">
        <is>
          <t>Medium</t>
        </is>
      </c>
      <c r="K242" s="11" t="inlineStr">
        <is>
          <t>Moderate</t>
        </is>
      </c>
      <c r="L242" s="11" t="inlineStr">
        <is>
          <t>Script Ready</t>
        </is>
      </c>
      <c r="M242" s="12" t="inlineStr">
        <is>
          <t>Staging / Web Chrome</t>
        </is>
      </c>
      <c r="N242" s="12" t="inlineStr">
        <is>
          <t>Chrome v126 / Edge v126</t>
        </is>
      </c>
      <c r="O242" s="12" t="inlineStr">
        <is>
          <t>Screen-specific baseline case for Budget Supplement &amp; Product Details</t>
        </is>
      </c>
    </row>
    <row r="243" ht="36" customHeight="1">
      <c r="A243" s="11" t="inlineStr">
        <is>
          <t>TC-242</t>
        </is>
      </c>
      <c r="B243" s="12" t="inlineStr">
        <is>
          <t>BudgetProductCard</t>
        </is>
      </c>
      <c r="C243" s="12" t="inlineStr">
        <is>
          <t>Selenium Web UI Testing</t>
        </is>
      </c>
      <c r="D243" s="12" t="inlineStr">
        <is>
          <t>Negative Input Form Validation on Budget Supplement &amp; Product Details</t>
        </is>
      </c>
      <c r="E243" s="12" t="inlineStr">
        <is>
          <t>1. Launch test runner in Staging / Web Chrome.
2. Navigate to Budget Supplement &amp; Product Details (BudgetProductCard).
3. Focus input controls on BudgetProductCard, enter out-of-bound strings, trigger blur event.
4. Verify expected results and log evidence.</t>
        </is>
      </c>
      <c r="F243" s="12" t="inlineStr">
        <is>
          <t>Input: invalid_string, Screen: BudgetProductCard</t>
        </is>
      </c>
      <c r="G243" s="12" t="inlineStr">
        <is>
          <t>Validation badge displays accessible aria error message.</t>
        </is>
      </c>
      <c r="H243" s="12" t="inlineStr">
        <is>
          <t>Pending Execution</t>
        </is>
      </c>
      <c r="I243" s="13" t="inlineStr">
        <is>
          <t>Not Executed</t>
        </is>
      </c>
      <c r="J243" s="11" t="inlineStr">
        <is>
          <t>Medium</t>
        </is>
      </c>
      <c r="K243" s="11" t="inlineStr">
        <is>
          <t>Major</t>
        </is>
      </c>
      <c r="L243" s="11" t="inlineStr">
        <is>
          <t>Script Ready</t>
        </is>
      </c>
      <c r="M243" s="12" t="inlineStr">
        <is>
          <t>Staging / Web Chrome</t>
        </is>
      </c>
      <c r="N243" s="12" t="inlineStr">
        <is>
          <t>Chrome v126 / Edge v126</t>
        </is>
      </c>
      <c r="O243" s="12" t="inlineStr">
        <is>
          <t>Screen-specific baseline case for Budget Supplement &amp; Product Details</t>
        </is>
      </c>
    </row>
    <row r="244" ht="36" customHeight="1">
      <c r="A244" s="11" t="inlineStr">
        <is>
          <t>TC-243</t>
        </is>
      </c>
      <c r="B244" s="12" t="inlineStr">
        <is>
          <t>BudgetProductCard</t>
        </is>
      </c>
      <c r="C244" s="12" t="inlineStr">
        <is>
          <t>Selenium Web UI Testing</t>
        </is>
      </c>
      <c r="D244" s="12" t="inlineStr">
        <is>
          <t>Boundary Viewport Responsiveness on Budget Supplement &amp; Product Details</t>
        </is>
      </c>
      <c r="E244" s="12" t="inlineStr">
        <is>
          <t>1. Launch test runner in Staging / Web Chrome.
2. Navigate to Budget Supplement &amp; Product Details (BudgetProductCard).
3. Resize web browser window from 320px mobile breakpoint up to 4K desktop width.
4. Verify expected results and log evidence.</t>
        </is>
      </c>
      <c r="F244" s="12" t="inlineStr">
        <is>
          <t>Breakpoint Widths: [320, 768, 1024, 1440, 3840]</t>
        </is>
      </c>
      <c r="G244" s="12" t="inlineStr">
        <is>
          <t>Layout adapts responsively without overlapping UI text nodes.</t>
        </is>
      </c>
      <c r="H244" s="12" t="inlineStr">
        <is>
          <t>Pending Execution</t>
        </is>
      </c>
      <c r="I244" s="13" t="inlineStr">
        <is>
          <t>Not Executed</t>
        </is>
      </c>
      <c r="J244" s="11" t="inlineStr">
        <is>
          <t>High</t>
        </is>
      </c>
      <c r="K244" s="11" t="inlineStr">
        <is>
          <t>Moderate</t>
        </is>
      </c>
      <c r="L244" s="11" t="inlineStr">
        <is>
          <t>Script Ready</t>
        </is>
      </c>
      <c r="M244" s="12" t="inlineStr">
        <is>
          <t>Staging / Web Chrome</t>
        </is>
      </c>
      <c r="N244" s="12" t="inlineStr">
        <is>
          <t>Chrome v126 / Edge v126</t>
        </is>
      </c>
      <c r="O244" s="12" t="inlineStr">
        <is>
          <t>Screen-specific baseline case for Budget Supplement &amp; Product Details</t>
        </is>
      </c>
    </row>
    <row r="245" ht="36" customHeight="1">
      <c r="A245" s="11" t="inlineStr">
        <is>
          <t>TC-244</t>
        </is>
      </c>
      <c r="B245" s="12" t="inlineStr">
        <is>
          <t>BudgetProductCard</t>
        </is>
      </c>
      <c r="C245" s="12" t="inlineStr">
        <is>
          <t>Selenium Web UI Testing</t>
        </is>
      </c>
      <c r="D245" s="12" t="inlineStr">
        <is>
          <t>Interactive Hover &amp; Focus Traversal on Budget Supplement &amp; Product Details</t>
        </is>
      </c>
      <c r="E245" s="12" t="inlineStr">
        <is>
          <t>1. Launch test runner in Staging / Web Chrome.
2. Navigate to Budget Supplement &amp; Product Details (BudgetProductCard).
3. Tab through interactive focusable nodes on BudgetProductCard, hover cursor over CTA buttons.
4. Verify expected results and log evidence.</t>
        </is>
      </c>
      <c r="F245" s="12" t="inlineStr">
        <is>
          <t>Key Navigation: TAB, Hover target: BudgetProductCard</t>
        </is>
      </c>
      <c r="G245" s="12" t="inlineStr">
        <is>
          <t>Focus ring highlights elements in logical DOM tab order.</t>
        </is>
      </c>
      <c r="H245" s="12" t="inlineStr">
        <is>
          <t>Pending Execution</t>
        </is>
      </c>
      <c r="I245" s="13" t="inlineStr">
        <is>
          <t>Not Executed</t>
        </is>
      </c>
      <c r="J245" s="11" t="inlineStr">
        <is>
          <t>Medium</t>
        </is>
      </c>
      <c r="K245" s="11" t="inlineStr">
        <is>
          <t>Major</t>
        </is>
      </c>
      <c r="L245" s="11" t="inlineStr">
        <is>
          <t>Script Ready</t>
        </is>
      </c>
      <c r="M245" s="12" t="inlineStr">
        <is>
          <t>Staging / Web Chrome</t>
        </is>
      </c>
      <c r="N245" s="12" t="inlineStr">
        <is>
          <t>Chrome v126 / Edge v126</t>
        </is>
      </c>
      <c r="O245" s="12" t="inlineStr">
        <is>
          <t>Screen-specific baseline case for Budget Supplement &amp; Product Details</t>
        </is>
      </c>
    </row>
    <row r="246" ht="36" customHeight="1">
      <c r="A246" s="11" t="inlineStr">
        <is>
          <t>TC-245</t>
        </is>
      </c>
      <c r="B246" s="12" t="inlineStr">
        <is>
          <t>BudgetProductCard</t>
        </is>
      </c>
      <c r="C246" s="12" t="inlineStr">
        <is>
          <t>Selenium Web UI Testing</t>
        </is>
      </c>
      <c r="D246" s="12" t="inlineStr">
        <is>
          <t>Cross-Browser Rendering Parity on Budget Supplement &amp; Product Details</t>
        </is>
      </c>
      <c r="E246" s="12" t="inlineStr">
        <is>
          <t>1. Launch test runner in Staging / Web Chrome.
2. Navigate to Budget Supplement &amp; Product Details (BudgetProductCard).
3. Execute UI test suite for BudgetProductCard across Chrome, Firefox, Safari, and Edge.
4. Verify expected results and log evidence.</t>
        </is>
      </c>
      <c r="F246" s="12" t="inlineStr">
        <is>
          <t>Browsers: Chrome, Firefox, Safari, Edge</t>
        </is>
      </c>
      <c r="G246" s="12" t="inlineStr">
        <is>
          <t>DOM element styles render identically with zero CSS misalignment.</t>
        </is>
      </c>
      <c r="H246" s="12" t="inlineStr">
        <is>
          <t>Pending Execution</t>
        </is>
      </c>
      <c r="I246" s="13" t="inlineStr">
        <is>
          <t>Not Executed</t>
        </is>
      </c>
      <c r="J246" s="11" t="inlineStr">
        <is>
          <t>Low</t>
        </is>
      </c>
      <c r="K246" s="11" t="inlineStr">
        <is>
          <t>Critical</t>
        </is>
      </c>
      <c r="L246" s="11" t="inlineStr">
        <is>
          <t>Script Ready</t>
        </is>
      </c>
      <c r="M246" s="12" t="inlineStr">
        <is>
          <t>Staging / Web Chrome</t>
        </is>
      </c>
      <c r="N246" s="12" t="inlineStr">
        <is>
          <t>Chrome v126 / Edge v126</t>
        </is>
      </c>
      <c r="O246" s="12" t="inlineStr">
        <is>
          <t>Screen-specific baseline case for Budget Supplement &amp; Product Details</t>
        </is>
      </c>
    </row>
    <row r="247" ht="36" customHeight="1">
      <c r="A247" s="11" t="inlineStr">
        <is>
          <t>TC-246</t>
        </is>
      </c>
      <c r="B247" s="12" t="inlineStr">
        <is>
          <t>BudgetProductCard</t>
        </is>
      </c>
      <c r="C247" s="12" t="inlineStr">
        <is>
          <t>Selenium Web UI Testing</t>
        </is>
      </c>
      <c r="D247" s="12" t="inlineStr">
        <is>
          <t>Arabic Right-to-Left (RTL) Layout on Budget Supplement &amp; Product Details</t>
        </is>
      </c>
      <c r="E247" s="12" t="inlineStr">
        <is>
          <t>1. Launch test runner in Staging / Web Chrome.
2. Navigate to Budget Supplement &amp; Product Details (BudgetProductCard).
3. Switch locale to Arabic (ar_SA) on BudgetProductCard, inspect text direction and icon mirroring.
4. Verify expected results and log evidence.</t>
        </is>
      </c>
      <c r="F247" s="12" t="inlineStr">
        <is>
          <t>Locale: ar_SA, Target: BudgetProductCard</t>
        </is>
      </c>
      <c r="G247" s="12" t="inlineStr">
        <is>
          <t>UI flips to right-to-left layout with mirrored icons and aligned text.</t>
        </is>
      </c>
      <c r="H247" s="12" t="inlineStr">
        <is>
          <t>Pending Execution</t>
        </is>
      </c>
      <c r="I247" s="13" t="inlineStr">
        <is>
          <t>Not Executed</t>
        </is>
      </c>
      <c r="J247" s="11" t="inlineStr">
        <is>
          <t>High</t>
        </is>
      </c>
      <c r="K247" s="11" t="inlineStr">
        <is>
          <t>Major</t>
        </is>
      </c>
      <c r="L247" s="11" t="inlineStr">
        <is>
          <t>Script Ready</t>
        </is>
      </c>
      <c r="M247" s="12" t="inlineStr">
        <is>
          <t>Staging / Web Chrome</t>
        </is>
      </c>
      <c r="N247" s="12" t="inlineStr">
        <is>
          <t>Chrome v126 / Edge v126</t>
        </is>
      </c>
      <c r="O247" s="12" t="inlineStr">
        <is>
          <t>Screen-specific baseline case for Budget Supplement &amp; Product Details</t>
        </is>
      </c>
    </row>
    <row r="248" ht="36" customHeight="1">
      <c r="A248" s="11" t="inlineStr">
        <is>
          <t>TC-247</t>
        </is>
      </c>
      <c r="B248" s="12" t="inlineStr">
        <is>
          <t>BudgetProductCard</t>
        </is>
      </c>
      <c r="C248" s="12" t="inlineStr">
        <is>
          <t>Selenium Web UI Testing</t>
        </is>
      </c>
      <c r="D248" s="12" t="inlineStr">
        <is>
          <t>Localization &amp; Multi-Language Switching on Budget Supplement &amp; Product Details</t>
        </is>
      </c>
      <c r="E248" s="12" t="inlineStr">
        <is>
          <t>1. Launch test runner in Staging / Web Chrome.
2. Navigate to Budget Supplement &amp; Product Details (BudgetProductCard).
3. Toggle header language dropdown on BudgetProductCard between English, Hindi, and Arabic.
4. Verify expected results and log evidence.</t>
        </is>
      </c>
      <c r="F248" s="12" t="inlineStr">
        <is>
          <t>Locales: en, hi, ar</t>
        </is>
      </c>
      <c r="G248" s="12" t="inlineStr">
        <is>
          <t>All visible text strings update to selected language instantly.</t>
        </is>
      </c>
      <c r="H248" s="12" t="inlineStr">
        <is>
          <t>Pending Execution</t>
        </is>
      </c>
      <c r="I248" s="13" t="inlineStr">
        <is>
          <t>Not Executed</t>
        </is>
      </c>
      <c r="J248" s="11" t="inlineStr">
        <is>
          <t>Medium</t>
        </is>
      </c>
      <c r="K248" s="11" t="inlineStr">
        <is>
          <t>Moderate</t>
        </is>
      </c>
      <c r="L248" s="11" t="inlineStr">
        <is>
          <t>Script Ready</t>
        </is>
      </c>
      <c r="M248" s="12" t="inlineStr">
        <is>
          <t>Staging / Web Chrome</t>
        </is>
      </c>
      <c r="N248" s="12" t="inlineStr">
        <is>
          <t>Chrome v126 / Edge v126</t>
        </is>
      </c>
      <c r="O248" s="12" t="inlineStr">
        <is>
          <t>Screen-specific baseline case for Budget Supplement &amp; Product Details</t>
        </is>
      </c>
    </row>
    <row r="249" ht="36" customHeight="1">
      <c r="A249" s="11" t="inlineStr">
        <is>
          <t>TC-248</t>
        </is>
      </c>
      <c r="B249" s="12" t="inlineStr">
        <is>
          <t>BudgetProductCard</t>
        </is>
      </c>
      <c r="C249" s="12" t="inlineStr">
        <is>
          <t>Selenium Web UI Testing</t>
        </is>
      </c>
      <c r="D249" s="12" t="inlineStr">
        <is>
          <t>Data Table &amp; Grid State Retention on Budget Supplement &amp; Product Details</t>
        </is>
      </c>
      <c r="E249" s="12" t="inlineStr">
        <is>
          <t>1. Launch test runner in Staging / Web Chrome.
2. Navigate to Budget Supplement &amp; Product Details (BudgetProductCard).
3. Interact with data filters or state controls on BudgetProductCard, navigate away and return.
4. Verify expected results and log evidence.</t>
        </is>
      </c>
      <c r="F249" s="12" t="inlineStr">
        <is>
          <t>State Payload: BudgetProductCard_filter</t>
        </is>
      </c>
      <c r="G249" s="12" t="inlineStr">
        <is>
          <t>Screen preserves applied filter state without unexpected reset.</t>
        </is>
      </c>
      <c r="H249" s="12" t="inlineStr">
        <is>
          <t>Pending Execution</t>
        </is>
      </c>
      <c r="I249" s="13" t="inlineStr">
        <is>
          <t>Not Executed</t>
        </is>
      </c>
      <c r="J249" s="11" t="inlineStr">
        <is>
          <t>Medium</t>
        </is>
      </c>
      <c r="K249" s="11" t="inlineStr">
        <is>
          <t>Major</t>
        </is>
      </c>
      <c r="L249" s="11" t="inlineStr">
        <is>
          <t>Script Ready</t>
        </is>
      </c>
      <c r="M249" s="12" t="inlineStr">
        <is>
          <t>Staging / Web Chrome</t>
        </is>
      </c>
      <c r="N249" s="12" t="inlineStr">
        <is>
          <t>Chrome v126 / Edge v126</t>
        </is>
      </c>
      <c r="O249" s="12" t="inlineStr">
        <is>
          <t>Screen-specific baseline case for Budget Supplement &amp; Product Details</t>
        </is>
      </c>
    </row>
    <row r="250" ht="36" customHeight="1">
      <c r="A250" s="11" t="inlineStr">
        <is>
          <t>TC-249</t>
        </is>
      </c>
      <c r="B250" s="12" t="inlineStr">
        <is>
          <t>BudgetProductCard</t>
        </is>
      </c>
      <c r="C250" s="12" t="inlineStr">
        <is>
          <t>Selenium Web UI Testing</t>
        </is>
      </c>
      <c r="D250" s="12" t="inlineStr">
        <is>
          <t>Modal Backdrop &amp; Keyboard Escape on Budget Supplement &amp; Product Details</t>
        </is>
      </c>
      <c r="E250" s="12" t="inlineStr">
        <is>
          <t>1. Launch test runner in Staging / Web Chrome.
2. Navigate to Budget Supplement &amp; Product Details (BudgetProductCard).
3. Trigger pop-up dialog/modal on BudgetProductCard, press Escape key to dismiss.
4. Verify expected results and log evidence.</t>
        </is>
      </c>
      <c r="F250" s="12" t="inlineStr">
        <is>
          <t>Modal Target: BudgetProductCard</t>
        </is>
      </c>
      <c r="G250" s="12" t="inlineStr">
        <is>
          <t>Modal closes smoothly and returns focus to parent container.</t>
        </is>
      </c>
      <c r="H250" s="12" t="inlineStr">
        <is>
          <t>Pending Execution</t>
        </is>
      </c>
      <c r="I250" s="13" t="inlineStr">
        <is>
          <t>Not Executed</t>
        </is>
      </c>
      <c r="J250" s="11" t="inlineStr">
        <is>
          <t>High</t>
        </is>
      </c>
      <c r="K250" s="11" t="inlineStr">
        <is>
          <t>Moderate</t>
        </is>
      </c>
      <c r="L250" s="11" t="inlineStr">
        <is>
          <t>Script Ready</t>
        </is>
      </c>
      <c r="M250" s="12" t="inlineStr">
        <is>
          <t>Staging / Web Chrome</t>
        </is>
      </c>
      <c r="N250" s="12" t="inlineStr">
        <is>
          <t>Chrome v126 / Edge v126</t>
        </is>
      </c>
      <c r="O250" s="12" t="inlineStr">
        <is>
          <t>Screen-specific baseline case for Budget Supplement &amp; Product Details</t>
        </is>
      </c>
    </row>
    <row r="251" ht="36" customHeight="1">
      <c r="A251" s="11" t="inlineStr">
        <is>
          <t>TC-250</t>
        </is>
      </c>
      <c r="B251" s="12" t="inlineStr">
        <is>
          <t>BudgetProductCard</t>
        </is>
      </c>
      <c r="C251" s="12" t="inlineStr">
        <is>
          <t>Selenium Web UI Testing</t>
        </is>
      </c>
      <c r="D251" s="12" t="inlineStr">
        <is>
          <t>Network Failure UI Fallback on Budget Supplement &amp; Product Details</t>
        </is>
      </c>
      <c r="E251" s="12" t="inlineStr">
        <is>
          <t>1. Launch test runner in Staging / Web Chrome.
2. Navigate to Budget Supplement &amp; Product Details (BudgetProductCard).
3. Throttled network to offline mode while viewing BudgetProductCard, attempt UI interaction.
4. Verify expected results and log evidence.</t>
        </is>
      </c>
      <c r="F251" s="12" t="inlineStr">
        <is>
          <t>Network: Offline, Target: BudgetProductCard</t>
        </is>
      </c>
      <c r="G251" s="12" t="inlineStr">
        <is>
          <t>User-friendly offline banner appears with retry button.</t>
        </is>
      </c>
      <c r="H251" s="12" t="inlineStr">
        <is>
          <t>Pending Execution</t>
        </is>
      </c>
      <c r="I251" s="13" t="inlineStr">
        <is>
          <t>Not Executed</t>
        </is>
      </c>
      <c r="J251" s="11" t="inlineStr">
        <is>
          <t>Low</t>
        </is>
      </c>
      <c r="K251" s="11" t="inlineStr">
        <is>
          <t>Major</t>
        </is>
      </c>
      <c r="L251" s="11" t="inlineStr">
        <is>
          <t>Script Ready</t>
        </is>
      </c>
      <c r="M251" s="12" t="inlineStr">
        <is>
          <t>Staging / Web Chrome</t>
        </is>
      </c>
      <c r="N251" s="12" t="inlineStr">
        <is>
          <t>Chrome v126 / Edge v126</t>
        </is>
      </c>
      <c r="O251" s="12" t="inlineStr">
        <is>
          <t>Screen-specific baseline case for Budget Supplement &amp; Product Details</t>
        </is>
      </c>
    </row>
    <row r="252" ht="36" customHeight="1">
      <c r="A252" s="11" t="inlineStr">
        <is>
          <t>TC-251</t>
        </is>
      </c>
      <c r="B252" s="12" t="inlineStr">
        <is>
          <t>CartScreen</t>
        </is>
      </c>
      <c r="C252" s="12" t="inlineStr">
        <is>
          <t>Selenium Web UI Testing</t>
        </is>
      </c>
      <c r="D252" s="12" t="inlineStr">
        <is>
          <t>Positive Web UI Layout on Shopping Cart &amp; Item Summary Screen</t>
        </is>
      </c>
      <c r="E252" s="12" t="inlineStr">
        <is>
          <t>1. Launch test runner in Staging / Web Chrome.
2. Navigate to Shopping Cart &amp; Item Summary Screen (CartScreen).
3. Launch browser, navigate to CartScreen, verify grid container alignment and responsive element scaling.
4. Verify expected results and log evidence.</t>
        </is>
      </c>
      <c r="F252" s="12" t="inlineStr">
        <is>
          <t>Viewport: 1920x1080, Screen: CartScreen</t>
        </is>
      </c>
      <c r="G252" s="12" t="inlineStr">
        <is>
          <t>UI components align cleanly without scrollbar clipping or overflow.</t>
        </is>
      </c>
      <c r="H252" s="12" t="inlineStr">
        <is>
          <t>Pending Execution</t>
        </is>
      </c>
      <c r="I252" s="13" t="inlineStr">
        <is>
          <t>Not Executed</t>
        </is>
      </c>
      <c r="J252" s="11" t="inlineStr">
        <is>
          <t>Medium</t>
        </is>
      </c>
      <c r="K252" s="11" t="inlineStr">
        <is>
          <t>Moderate</t>
        </is>
      </c>
      <c r="L252" s="11" t="inlineStr">
        <is>
          <t>Script Ready</t>
        </is>
      </c>
      <c r="M252" s="12" t="inlineStr">
        <is>
          <t>Staging / Web Chrome</t>
        </is>
      </c>
      <c r="N252" s="12" t="inlineStr">
        <is>
          <t>Chrome v126 / Edge v126</t>
        </is>
      </c>
      <c r="O252" s="12" t="inlineStr">
        <is>
          <t>Screen-specific baseline case for Shopping Cart &amp; Item Summary Screen</t>
        </is>
      </c>
    </row>
    <row r="253" ht="36" customHeight="1">
      <c r="A253" s="11" t="inlineStr">
        <is>
          <t>TC-252</t>
        </is>
      </c>
      <c r="B253" s="12" t="inlineStr">
        <is>
          <t>CartScreen</t>
        </is>
      </c>
      <c r="C253" s="12" t="inlineStr">
        <is>
          <t>Selenium Web UI Testing</t>
        </is>
      </c>
      <c r="D253" s="12" t="inlineStr">
        <is>
          <t>Negative Input Form Validation on Shopping Cart &amp; Item Summary Screen</t>
        </is>
      </c>
      <c r="E253" s="12" t="inlineStr">
        <is>
          <t>1. Launch test runner in Staging / Web Chrome.
2. Navigate to Shopping Cart &amp; Item Summary Screen (CartScreen).
3. Focus input controls on CartScreen, enter out-of-bound strings, trigger blur event.
4. Verify expected results and log evidence.</t>
        </is>
      </c>
      <c r="F253" s="12" t="inlineStr">
        <is>
          <t>Input: invalid_string, Screen: CartScreen</t>
        </is>
      </c>
      <c r="G253" s="12" t="inlineStr">
        <is>
          <t>Validation badge displays accessible aria error message.</t>
        </is>
      </c>
      <c r="H253" s="12" t="inlineStr">
        <is>
          <t>Pending Execution</t>
        </is>
      </c>
      <c r="I253" s="13" t="inlineStr">
        <is>
          <t>Not Executed</t>
        </is>
      </c>
      <c r="J253" s="11" t="inlineStr">
        <is>
          <t>High</t>
        </is>
      </c>
      <c r="K253" s="11" t="inlineStr">
        <is>
          <t>Critical</t>
        </is>
      </c>
      <c r="L253" s="11" t="inlineStr">
        <is>
          <t>Script Ready</t>
        </is>
      </c>
      <c r="M253" s="12" t="inlineStr">
        <is>
          <t>Staging / Web Chrome</t>
        </is>
      </c>
      <c r="N253" s="12" t="inlineStr">
        <is>
          <t>Chrome v126 / Edge v126</t>
        </is>
      </c>
      <c r="O253" s="12" t="inlineStr">
        <is>
          <t>Screen-specific baseline case for Shopping Cart &amp; Item Summary Screen</t>
        </is>
      </c>
    </row>
    <row r="254" ht="36" customHeight="1">
      <c r="A254" s="11" t="inlineStr">
        <is>
          <t>TC-253</t>
        </is>
      </c>
      <c r="B254" s="12" t="inlineStr">
        <is>
          <t>CartScreen</t>
        </is>
      </c>
      <c r="C254" s="12" t="inlineStr">
        <is>
          <t>Selenium Web UI Testing</t>
        </is>
      </c>
      <c r="D254" s="12" t="inlineStr">
        <is>
          <t>Boundary Viewport Responsiveness on Shopping Cart &amp; Item Summary Screen</t>
        </is>
      </c>
      <c r="E254" s="12" t="inlineStr">
        <is>
          <t>1. Launch test runner in Staging / Web Chrome.
2. Navigate to Shopping Cart &amp; Item Summary Screen (CartScreen).
3. Resize web browser window from 320px mobile breakpoint up to 4K desktop width.
4. Verify expected results and log evidence.</t>
        </is>
      </c>
      <c r="F254" s="12" t="inlineStr">
        <is>
          <t>Breakpoint Widths: [320, 768, 1024, 1440, 3840]</t>
        </is>
      </c>
      <c r="G254" s="12" t="inlineStr">
        <is>
          <t>Layout adapts responsively without overlapping UI text nodes.</t>
        </is>
      </c>
      <c r="H254" s="12" t="inlineStr">
        <is>
          <t>Pending Execution</t>
        </is>
      </c>
      <c r="I254" s="13" t="inlineStr">
        <is>
          <t>Not Executed</t>
        </is>
      </c>
      <c r="J254" s="11" t="inlineStr">
        <is>
          <t>Medium</t>
        </is>
      </c>
      <c r="K254" s="11" t="inlineStr">
        <is>
          <t>Moderate</t>
        </is>
      </c>
      <c r="L254" s="11" t="inlineStr">
        <is>
          <t>Script Ready</t>
        </is>
      </c>
      <c r="M254" s="12" t="inlineStr">
        <is>
          <t>Staging / Web Chrome</t>
        </is>
      </c>
      <c r="N254" s="12" t="inlineStr">
        <is>
          <t>Chrome v126 / Edge v126</t>
        </is>
      </c>
      <c r="O254" s="12" t="inlineStr">
        <is>
          <t>Screen-specific baseline case for Shopping Cart &amp; Item Summary Screen</t>
        </is>
      </c>
    </row>
    <row r="255" ht="36" customHeight="1">
      <c r="A255" s="11" t="inlineStr">
        <is>
          <t>TC-254</t>
        </is>
      </c>
      <c r="B255" s="12" t="inlineStr">
        <is>
          <t>CartScreen</t>
        </is>
      </c>
      <c r="C255" s="12" t="inlineStr">
        <is>
          <t>Selenium Web UI Testing</t>
        </is>
      </c>
      <c r="D255" s="12" t="inlineStr">
        <is>
          <t>Interactive Hover &amp; Focus Traversal on Shopping Cart &amp; Item Summary Screen</t>
        </is>
      </c>
      <c r="E255" s="12" t="inlineStr">
        <is>
          <t>1. Launch test runner in Staging / Web Chrome.
2. Navigate to Shopping Cart &amp; Item Summary Screen (CartScreen).
3. Tab through interactive focusable nodes on CartScreen, hover cursor over CTA buttons.
4. Verify expected results and log evidence.</t>
        </is>
      </c>
      <c r="F255" s="12" t="inlineStr">
        <is>
          <t>Key Navigation: TAB, Hover target: CartScreen</t>
        </is>
      </c>
      <c r="G255" s="12" t="inlineStr">
        <is>
          <t>Focus ring highlights elements in logical DOM tab order.</t>
        </is>
      </c>
      <c r="H255" s="12" t="inlineStr">
        <is>
          <t>Pending Execution</t>
        </is>
      </c>
      <c r="I255" s="13" t="inlineStr">
        <is>
          <t>Not Executed</t>
        </is>
      </c>
      <c r="J255" s="11" t="inlineStr">
        <is>
          <t>Medium</t>
        </is>
      </c>
      <c r="K255" s="11" t="inlineStr">
        <is>
          <t>Major</t>
        </is>
      </c>
      <c r="L255" s="11" t="inlineStr">
        <is>
          <t>Script Ready</t>
        </is>
      </c>
      <c r="M255" s="12" t="inlineStr">
        <is>
          <t>Staging / Web Chrome</t>
        </is>
      </c>
      <c r="N255" s="12" t="inlineStr">
        <is>
          <t>Chrome v126 / Edge v126</t>
        </is>
      </c>
      <c r="O255" s="12" t="inlineStr">
        <is>
          <t>Screen-specific baseline case for Shopping Cart &amp; Item Summary Screen</t>
        </is>
      </c>
    </row>
    <row r="256" ht="36" customHeight="1">
      <c r="A256" s="11" t="inlineStr">
        <is>
          <t>TC-255</t>
        </is>
      </c>
      <c r="B256" s="12" t="inlineStr">
        <is>
          <t>CartScreen</t>
        </is>
      </c>
      <c r="C256" s="12" t="inlineStr">
        <is>
          <t>Selenium Web UI Testing</t>
        </is>
      </c>
      <c r="D256" s="12" t="inlineStr">
        <is>
          <t>Cross-Browser Rendering Parity on Shopping Cart &amp; Item Summary Screen</t>
        </is>
      </c>
      <c r="E256" s="12" t="inlineStr">
        <is>
          <t>1. Launch test runner in Staging / Web Chrome.
2. Navigate to Shopping Cart &amp; Item Summary Screen (CartScreen).
3. Execute UI test suite for CartScreen across Chrome, Firefox, Safari, and Edge.
4. Verify expected results and log evidence.</t>
        </is>
      </c>
      <c r="F256" s="12" t="inlineStr">
        <is>
          <t>Browsers: Chrome, Firefox, Safari, Edge</t>
        </is>
      </c>
      <c r="G256" s="12" t="inlineStr">
        <is>
          <t>DOM element styles render identically with zero CSS misalignment.</t>
        </is>
      </c>
      <c r="H256" s="12" t="inlineStr">
        <is>
          <t>Pending Execution</t>
        </is>
      </c>
      <c r="I256" s="13" t="inlineStr">
        <is>
          <t>Not Executed</t>
        </is>
      </c>
      <c r="J256" s="11" t="inlineStr">
        <is>
          <t>High</t>
        </is>
      </c>
      <c r="K256" s="11" t="inlineStr">
        <is>
          <t>Moderate</t>
        </is>
      </c>
      <c r="L256" s="11" t="inlineStr">
        <is>
          <t>Script Ready</t>
        </is>
      </c>
      <c r="M256" s="12" t="inlineStr">
        <is>
          <t>Staging / Web Chrome</t>
        </is>
      </c>
      <c r="N256" s="12" t="inlineStr">
        <is>
          <t>Chrome v126 / Edge v126</t>
        </is>
      </c>
      <c r="O256" s="12" t="inlineStr">
        <is>
          <t>Screen-specific baseline case for Shopping Cart &amp; Item Summary Screen</t>
        </is>
      </c>
    </row>
    <row r="257" ht="36" customHeight="1">
      <c r="A257" s="11" t="inlineStr">
        <is>
          <t>TC-256</t>
        </is>
      </c>
      <c r="B257" s="12" t="inlineStr">
        <is>
          <t>CartScreen</t>
        </is>
      </c>
      <c r="C257" s="12" t="inlineStr">
        <is>
          <t>Selenium Web UI Testing</t>
        </is>
      </c>
      <c r="D257" s="12" t="inlineStr">
        <is>
          <t>Arabic Right-to-Left (RTL) Layout on Shopping Cart &amp; Item Summary Screen</t>
        </is>
      </c>
      <c r="E257" s="12" t="inlineStr">
        <is>
          <t>1. Launch test runner in Staging / Web Chrome.
2. Navigate to Shopping Cart &amp; Item Summary Screen (CartScreen).
3. Switch locale to Arabic (ar_SA) on CartScreen, inspect text direction and icon mirroring.
4. Verify expected results and log evidence.</t>
        </is>
      </c>
      <c r="F257" s="12" t="inlineStr">
        <is>
          <t>Locale: ar_SA, Target: CartScreen</t>
        </is>
      </c>
      <c r="G257" s="12" t="inlineStr">
        <is>
          <t>UI flips to right-to-left layout with mirrored icons and aligned text.</t>
        </is>
      </c>
      <c r="H257" s="12" t="inlineStr">
        <is>
          <t>Pending Execution</t>
        </is>
      </c>
      <c r="I257" s="13" t="inlineStr">
        <is>
          <t>Not Executed</t>
        </is>
      </c>
      <c r="J257" s="11" t="inlineStr">
        <is>
          <t>Medium</t>
        </is>
      </c>
      <c r="K257" s="11" t="inlineStr">
        <is>
          <t>Major</t>
        </is>
      </c>
      <c r="L257" s="11" t="inlineStr">
        <is>
          <t>Script Ready</t>
        </is>
      </c>
      <c r="M257" s="12" t="inlineStr">
        <is>
          <t>Staging / Web Chrome</t>
        </is>
      </c>
      <c r="N257" s="12" t="inlineStr">
        <is>
          <t>Chrome v126 / Edge v126</t>
        </is>
      </c>
      <c r="O257" s="12" t="inlineStr">
        <is>
          <t>Screen-specific baseline case for Shopping Cart &amp; Item Summary Screen</t>
        </is>
      </c>
    </row>
    <row r="258" ht="36" customHeight="1">
      <c r="A258" s="11" t="inlineStr">
        <is>
          <t>TC-257</t>
        </is>
      </c>
      <c r="B258" s="12" t="inlineStr">
        <is>
          <t>CartScreen</t>
        </is>
      </c>
      <c r="C258" s="12" t="inlineStr">
        <is>
          <t>Selenium Web UI Testing</t>
        </is>
      </c>
      <c r="D258" s="12" t="inlineStr">
        <is>
          <t>Localization &amp; Multi-Language Switching on Shopping Cart &amp; Item Summary Screen</t>
        </is>
      </c>
      <c r="E258" s="12" t="inlineStr">
        <is>
          <t>1. Launch test runner in Staging / Web Chrome.
2. Navigate to Shopping Cart &amp; Item Summary Screen (CartScreen).
3. Toggle header language dropdown on CartScreen between English, Hindi, and Arabic.
4. Verify expected results and log evidence.</t>
        </is>
      </c>
      <c r="F258" s="12" t="inlineStr">
        <is>
          <t>Locales: en, hi, ar</t>
        </is>
      </c>
      <c r="G258" s="12" t="inlineStr">
        <is>
          <t>All visible text strings update to selected language instantly.</t>
        </is>
      </c>
      <c r="H258" s="12" t="inlineStr">
        <is>
          <t>Pending Execution</t>
        </is>
      </c>
      <c r="I258" s="13" t="inlineStr">
        <is>
          <t>Not Executed</t>
        </is>
      </c>
      <c r="J258" s="11" t="inlineStr">
        <is>
          <t>Medium</t>
        </is>
      </c>
      <c r="K258" s="11" t="inlineStr">
        <is>
          <t>Moderate</t>
        </is>
      </c>
      <c r="L258" s="11" t="inlineStr">
        <is>
          <t>Script Ready</t>
        </is>
      </c>
      <c r="M258" s="12" t="inlineStr">
        <is>
          <t>Staging / Web Chrome</t>
        </is>
      </c>
      <c r="N258" s="12" t="inlineStr">
        <is>
          <t>Chrome v126 / Edge v126</t>
        </is>
      </c>
      <c r="O258" s="12" t="inlineStr">
        <is>
          <t>Screen-specific baseline case for Shopping Cart &amp; Item Summary Screen</t>
        </is>
      </c>
    </row>
    <row r="259" ht="36" customHeight="1">
      <c r="A259" s="11" t="inlineStr">
        <is>
          <t>TC-258</t>
        </is>
      </c>
      <c r="B259" s="12" t="inlineStr">
        <is>
          <t>CartScreen</t>
        </is>
      </c>
      <c r="C259" s="12" t="inlineStr">
        <is>
          <t>Selenium Web UI Testing</t>
        </is>
      </c>
      <c r="D259" s="12" t="inlineStr">
        <is>
          <t>Data Table &amp; Grid State Retention on Shopping Cart &amp; Item Summary Screen</t>
        </is>
      </c>
      <c r="E259" s="12" t="inlineStr">
        <is>
          <t>1. Launch test runner in Staging / Web Chrome.
2. Navigate to Shopping Cart &amp; Item Summary Screen (CartScreen).
3. Interact with data filters or state controls on CartScreen, navigate away and return.
4. Verify expected results and log evidence.</t>
        </is>
      </c>
      <c r="F259" s="12" t="inlineStr">
        <is>
          <t>State Payload: CartScreen_filter</t>
        </is>
      </c>
      <c r="G259" s="12" t="inlineStr">
        <is>
          <t>Screen preserves applied filter state without unexpected reset.</t>
        </is>
      </c>
      <c r="H259" s="12" t="inlineStr">
        <is>
          <t>Pending Execution</t>
        </is>
      </c>
      <c r="I259" s="13" t="inlineStr">
        <is>
          <t>Not Executed</t>
        </is>
      </c>
      <c r="J259" s="11" t="inlineStr">
        <is>
          <t>High</t>
        </is>
      </c>
      <c r="K259" s="11" t="inlineStr">
        <is>
          <t>Major</t>
        </is>
      </c>
      <c r="L259" s="11" t="inlineStr">
        <is>
          <t>Script Ready</t>
        </is>
      </c>
      <c r="M259" s="12" t="inlineStr">
        <is>
          <t>Staging / Web Chrome</t>
        </is>
      </c>
      <c r="N259" s="12" t="inlineStr">
        <is>
          <t>Chrome v126 / Edge v126</t>
        </is>
      </c>
      <c r="O259" s="12" t="inlineStr">
        <is>
          <t>Screen-specific baseline case for Shopping Cart &amp; Item Summary Screen</t>
        </is>
      </c>
    </row>
    <row r="260" ht="36" customHeight="1">
      <c r="A260" s="11" t="inlineStr">
        <is>
          <t>TC-259</t>
        </is>
      </c>
      <c r="B260" s="12" t="inlineStr">
        <is>
          <t>CartScreen</t>
        </is>
      </c>
      <c r="C260" s="12" t="inlineStr">
        <is>
          <t>Selenium Web UI Testing</t>
        </is>
      </c>
      <c r="D260" s="12" t="inlineStr">
        <is>
          <t>Modal Backdrop &amp; Keyboard Escape on Shopping Cart &amp; Item Summary Screen</t>
        </is>
      </c>
      <c r="E260" s="12" t="inlineStr">
        <is>
          <t>1. Launch test runner in Staging / Web Chrome.
2. Navigate to Shopping Cart &amp; Item Summary Screen (CartScreen).
3. Trigger pop-up dialog/modal on CartScreen, press Escape key to dismiss.
4. Verify expected results and log evidence.</t>
        </is>
      </c>
      <c r="F260" s="12" t="inlineStr">
        <is>
          <t>Modal Target: CartScreen</t>
        </is>
      </c>
      <c r="G260" s="12" t="inlineStr">
        <is>
          <t>Modal closes smoothly and returns focus to parent container.</t>
        </is>
      </c>
      <c r="H260" s="12" t="inlineStr">
        <is>
          <t>Pending Execution</t>
        </is>
      </c>
      <c r="I260" s="13" t="inlineStr">
        <is>
          <t>Not Executed</t>
        </is>
      </c>
      <c r="J260" s="11" t="inlineStr">
        <is>
          <t>Medium</t>
        </is>
      </c>
      <c r="K260" s="11" t="inlineStr">
        <is>
          <t>Critical</t>
        </is>
      </c>
      <c r="L260" s="11" t="inlineStr">
        <is>
          <t>Script Ready</t>
        </is>
      </c>
      <c r="M260" s="12" t="inlineStr">
        <is>
          <t>Staging / Web Chrome</t>
        </is>
      </c>
      <c r="N260" s="12" t="inlineStr">
        <is>
          <t>Chrome v126 / Edge v126</t>
        </is>
      </c>
      <c r="O260" s="12" t="inlineStr">
        <is>
          <t>Screen-specific baseline case for Shopping Cart &amp; Item Summary Screen</t>
        </is>
      </c>
    </row>
    <row r="261" ht="36" customHeight="1">
      <c r="A261" s="11" t="inlineStr">
        <is>
          <t>TC-260</t>
        </is>
      </c>
      <c r="B261" s="12" t="inlineStr">
        <is>
          <t>CartScreen</t>
        </is>
      </c>
      <c r="C261" s="12" t="inlineStr">
        <is>
          <t>Selenium Web UI Testing</t>
        </is>
      </c>
      <c r="D261" s="12" t="inlineStr">
        <is>
          <t>Network Failure UI Fallback on Shopping Cart &amp; Item Summary Screen</t>
        </is>
      </c>
      <c r="E261" s="12" t="inlineStr">
        <is>
          <t>1. Launch test runner in Staging / Web Chrome.
2. Navigate to Shopping Cart &amp; Item Summary Screen (CartScreen).
3. Throttled network to offline mode while viewing CartScreen, attempt UI interaction.
4. Verify expected results and log evidence.</t>
        </is>
      </c>
      <c r="F261" s="12" t="inlineStr">
        <is>
          <t>Network: Offline, Target: CartScreen</t>
        </is>
      </c>
      <c r="G261" s="12" t="inlineStr">
        <is>
          <t>User-friendly offline banner appears with retry button.</t>
        </is>
      </c>
      <c r="H261" s="12" t="inlineStr">
        <is>
          <t>Pending Execution</t>
        </is>
      </c>
      <c r="I261" s="13" t="inlineStr">
        <is>
          <t>Not Executed</t>
        </is>
      </c>
      <c r="J261" s="11" t="inlineStr">
        <is>
          <t>Low</t>
        </is>
      </c>
      <c r="K261" s="11" t="inlineStr">
        <is>
          <t>Major</t>
        </is>
      </c>
      <c r="L261" s="11" t="inlineStr">
        <is>
          <t>Script Ready</t>
        </is>
      </c>
      <c r="M261" s="12" t="inlineStr">
        <is>
          <t>Staging / Web Chrome</t>
        </is>
      </c>
      <c r="N261" s="12" t="inlineStr">
        <is>
          <t>Chrome v126 / Edge v126</t>
        </is>
      </c>
      <c r="O261" s="12" t="inlineStr">
        <is>
          <t>Screen-specific baseline case for Shopping Cart &amp; Item Summary Screen</t>
        </is>
      </c>
    </row>
    <row r="262" ht="36" customHeight="1">
      <c r="A262" s="11" t="inlineStr">
        <is>
          <t>TC-261</t>
        </is>
      </c>
      <c r="B262" s="12" t="inlineStr">
        <is>
          <t>CheckoutScreen</t>
        </is>
      </c>
      <c r="C262" s="12" t="inlineStr">
        <is>
          <t>Selenium Web UI Testing</t>
        </is>
      </c>
      <c r="D262" s="12" t="inlineStr">
        <is>
          <t>Positive Web UI Layout on Checkout &amp; Payment Gateway Screen</t>
        </is>
      </c>
      <c r="E262" s="12" t="inlineStr">
        <is>
          <t>1. Launch test runner in Staging / Web Chrome.
2. Navigate to Checkout &amp; Payment Gateway Screen (CheckoutScreen).
3. Launch browser, navigate to CheckoutScreen, verify grid container alignment and responsive element scaling.
4. Verify expected results and log evidence.</t>
        </is>
      </c>
      <c r="F262" s="12" t="inlineStr">
        <is>
          <t>Viewport: 1920x1080, Screen: CheckoutScreen</t>
        </is>
      </c>
      <c r="G262" s="12" t="inlineStr">
        <is>
          <t>UI components align cleanly without scrollbar clipping or overflow.</t>
        </is>
      </c>
      <c r="H262" s="12" t="inlineStr">
        <is>
          <t>Pending Execution</t>
        </is>
      </c>
      <c r="I262" s="13" t="inlineStr">
        <is>
          <t>Not Executed</t>
        </is>
      </c>
      <c r="J262" s="11" t="inlineStr">
        <is>
          <t>High</t>
        </is>
      </c>
      <c r="K262" s="11" t="inlineStr">
        <is>
          <t>Moderate</t>
        </is>
      </c>
      <c r="L262" s="11" t="inlineStr">
        <is>
          <t>Script Ready</t>
        </is>
      </c>
      <c r="M262" s="12" t="inlineStr">
        <is>
          <t>Staging / Web Chrome</t>
        </is>
      </c>
      <c r="N262" s="12" t="inlineStr">
        <is>
          <t>Chrome v126 / Edge v126</t>
        </is>
      </c>
      <c r="O262" s="12" t="inlineStr">
        <is>
          <t>Screen-specific baseline case for Checkout &amp; Payment Gateway Screen</t>
        </is>
      </c>
    </row>
    <row r="263" ht="36" customHeight="1">
      <c r="A263" s="11" t="inlineStr">
        <is>
          <t>TC-262</t>
        </is>
      </c>
      <c r="B263" s="12" t="inlineStr">
        <is>
          <t>CheckoutScreen</t>
        </is>
      </c>
      <c r="C263" s="12" t="inlineStr">
        <is>
          <t>Selenium Web UI Testing</t>
        </is>
      </c>
      <c r="D263" s="12" t="inlineStr">
        <is>
          <t>Negative Input Form Validation on Checkout &amp; Payment Gateway Screen</t>
        </is>
      </c>
      <c r="E263" s="12" t="inlineStr">
        <is>
          <t>1. Launch test runner in Staging / Web Chrome.
2. Navigate to Checkout &amp; Payment Gateway Screen (CheckoutScreen).
3. Focus input controls on CheckoutScreen, enter out-of-bound strings, trigger blur event.
4. Verify expected results and log evidence.</t>
        </is>
      </c>
      <c r="F263" s="12" t="inlineStr">
        <is>
          <t>Input: invalid_string, Screen: CheckoutScreen</t>
        </is>
      </c>
      <c r="G263" s="12" t="inlineStr">
        <is>
          <t>Validation badge displays accessible aria error message.</t>
        </is>
      </c>
      <c r="H263" s="12" t="inlineStr">
        <is>
          <t>Pending Execution</t>
        </is>
      </c>
      <c r="I263" s="13" t="inlineStr">
        <is>
          <t>Not Executed</t>
        </is>
      </c>
      <c r="J263" s="11" t="inlineStr">
        <is>
          <t>Medium</t>
        </is>
      </c>
      <c r="K263" s="11" t="inlineStr">
        <is>
          <t>Major</t>
        </is>
      </c>
      <c r="L263" s="11" t="inlineStr">
        <is>
          <t>Script Ready</t>
        </is>
      </c>
      <c r="M263" s="12" t="inlineStr">
        <is>
          <t>Staging / Web Chrome</t>
        </is>
      </c>
      <c r="N263" s="12" t="inlineStr">
        <is>
          <t>Chrome v126 / Edge v126</t>
        </is>
      </c>
      <c r="O263" s="12" t="inlineStr">
        <is>
          <t>Screen-specific baseline case for Checkout &amp; Payment Gateway Screen</t>
        </is>
      </c>
    </row>
    <row r="264" ht="36" customHeight="1">
      <c r="A264" s="11" t="inlineStr">
        <is>
          <t>TC-263</t>
        </is>
      </c>
      <c r="B264" s="12" t="inlineStr">
        <is>
          <t>CheckoutScreen</t>
        </is>
      </c>
      <c r="C264" s="12" t="inlineStr">
        <is>
          <t>Selenium Web UI Testing</t>
        </is>
      </c>
      <c r="D264" s="12" t="inlineStr">
        <is>
          <t>Boundary Viewport Responsiveness on Checkout &amp; Payment Gateway Screen</t>
        </is>
      </c>
      <c r="E264" s="12" t="inlineStr">
        <is>
          <t>1. Launch test runner in Staging / Web Chrome.
2. Navigate to Checkout &amp; Payment Gateway Screen (CheckoutScreen).
3. Resize web browser window from 320px mobile breakpoint up to 4K desktop width.
4. Verify expected results and log evidence.</t>
        </is>
      </c>
      <c r="F264" s="12" t="inlineStr">
        <is>
          <t>Breakpoint Widths: [320, 768, 1024, 1440, 3840]</t>
        </is>
      </c>
      <c r="G264" s="12" t="inlineStr">
        <is>
          <t>Layout adapts responsively without overlapping UI text nodes.</t>
        </is>
      </c>
      <c r="H264" s="12" t="inlineStr">
        <is>
          <t>Pending Execution</t>
        </is>
      </c>
      <c r="I264" s="13" t="inlineStr">
        <is>
          <t>Not Executed</t>
        </is>
      </c>
      <c r="J264" s="11" t="inlineStr">
        <is>
          <t>Medium</t>
        </is>
      </c>
      <c r="K264" s="11" t="inlineStr">
        <is>
          <t>Moderate</t>
        </is>
      </c>
      <c r="L264" s="11" t="inlineStr">
        <is>
          <t>Script Ready</t>
        </is>
      </c>
      <c r="M264" s="12" t="inlineStr">
        <is>
          <t>Staging / Web Chrome</t>
        </is>
      </c>
      <c r="N264" s="12" t="inlineStr">
        <is>
          <t>Chrome v126 / Edge v126</t>
        </is>
      </c>
      <c r="O264" s="12" t="inlineStr">
        <is>
          <t>Screen-specific baseline case for Checkout &amp; Payment Gateway Screen</t>
        </is>
      </c>
    </row>
    <row r="265" ht="36" customHeight="1">
      <c r="A265" s="11" t="inlineStr">
        <is>
          <t>TC-264</t>
        </is>
      </c>
      <c r="B265" s="12" t="inlineStr">
        <is>
          <t>CheckoutScreen</t>
        </is>
      </c>
      <c r="C265" s="12" t="inlineStr">
        <is>
          <t>Selenium Web UI Testing</t>
        </is>
      </c>
      <c r="D265" s="12" t="inlineStr">
        <is>
          <t>Interactive Hover &amp; Focus Traversal on Checkout &amp; Payment Gateway Screen</t>
        </is>
      </c>
      <c r="E265" s="12" t="inlineStr">
        <is>
          <t>1. Launch test runner in Staging / Web Chrome.
2. Navigate to Checkout &amp; Payment Gateway Screen (CheckoutScreen).
3. Tab through interactive focusable nodes on CheckoutScreen, hover cursor over CTA buttons.
4. Verify expected results and log evidence.</t>
        </is>
      </c>
      <c r="F265" s="12" t="inlineStr">
        <is>
          <t>Key Navigation: TAB, Hover target: CheckoutScreen</t>
        </is>
      </c>
      <c r="G265" s="12" t="inlineStr">
        <is>
          <t>Focus ring highlights elements in logical DOM tab order.</t>
        </is>
      </c>
      <c r="H265" s="12" t="inlineStr">
        <is>
          <t>Pending Execution</t>
        </is>
      </c>
      <c r="I265" s="13" t="inlineStr">
        <is>
          <t>Not Executed</t>
        </is>
      </c>
      <c r="J265" s="11" t="inlineStr">
        <is>
          <t>High</t>
        </is>
      </c>
      <c r="K265" s="11" t="inlineStr">
        <is>
          <t>Major</t>
        </is>
      </c>
      <c r="L265" s="11" t="inlineStr">
        <is>
          <t>Script Ready</t>
        </is>
      </c>
      <c r="M265" s="12" t="inlineStr">
        <is>
          <t>Staging / Web Chrome</t>
        </is>
      </c>
      <c r="N265" s="12" t="inlineStr">
        <is>
          <t>Chrome v126 / Edge v126</t>
        </is>
      </c>
      <c r="O265" s="12" t="inlineStr">
        <is>
          <t>Screen-specific baseline case for Checkout &amp; Payment Gateway Screen</t>
        </is>
      </c>
    </row>
    <row r="266" ht="36" customHeight="1">
      <c r="A266" s="11" t="inlineStr">
        <is>
          <t>TC-265</t>
        </is>
      </c>
      <c r="B266" s="12" t="inlineStr">
        <is>
          <t>CheckoutScreen</t>
        </is>
      </c>
      <c r="C266" s="12" t="inlineStr">
        <is>
          <t>Selenium Web UI Testing</t>
        </is>
      </c>
      <c r="D266" s="12" t="inlineStr">
        <is>
          <t>Cross-Browser Rendering Parity on Checkout &amp; Payment Gateway Screen</t>
        </is>
      </c>
      <c r="E266" s="12" t="inlineStr">
        <is>
          <t>1. Launch test runner in Staging / Web Chrome.
2. Navigate to Checkout &amp; Payment Gateway Screen (CheckoutScreen).
3. Execute UI test suite for CheckoutScreen across Chrome, Firefox, Safari, and Edge.
4. Verify expected results and log evidence.</t>
        </is>
      </c>
      <c r="F266" s="12" t="inlineStr">
        <is>
          <t>Browsers: Chrome, Firefox, Safari, Edge</t>
        </is>
      </c>
      <c r="G266" s="12" t="inlineStr">
        <is>
          <t>DOM element styles render identically with zero CSS misalignment.</t>
        </is>
      </c>
      <c r="H266" s="12" t="inlineStr">
        <is>
          <t>Pending Execution</t>
        </is>
      </c>
      <c r="I266" s="13" t="inlineStr">
        <is>
          <t>Not Executed</t>
        </is>
      </c>
      <c r="J266" s="11" t="inlineStr">
        <is>
          <t>Low</t>
        </is>
      </c>
      <c r="K266" s="11" t="inlineStr">
        <is>
          <t>Moderate</t>
        </is>
      </c>
      <c r="L266" s="11" t="inlineStr">
        <is>
          <t>Script Ready</t>
        </is>
      </c>
      <c r="M266" s="12" t="inlineStr">
        <is>
          <t>Staging / Web Chrome</t>
        </is>
      </c>
      <c r="N266" s="12" t="inlineStr">
        <is>
          <t>Chrome v126 / Edge v126</t>
        </is>
      </c>
      <c r="O266" s="12" t="inlineStr">
        <is>
          <t>Screen-specific baseline case for Checkout &amp; Payment Gateway Screen</t>
        </is>
      </c>
    </row>
    <row r="267" ht="36" customHeight="1">
      <c r="A267" s="11" t="inlineStr">
        <is>
          <t>TC-266</t>
        </is>
      </c>
      <c r="B267" s="12" t="inlineStr">
        <is>
          <t>CheckoutScreen</t>
        </is>
      </c>
      <c r="C267" s="12" t="inlineStr">
        <is>
          <t>Selenium Web UI Testing</t>
        </is>
      </c>
      <c r="D267" s="12" t="inlineStr">
        <is>
          <t>Arabic Right-to-Left (RTL) Layout on Checkout &amp; Payment Gateway Screen</t>
        </is>
      </c>
      <c r="E267" s="12" t="inlineStr">
        <is>
          <t>1. Launch test runner in Staging / Web Chrome.
2. Navigate to Checkout &amp; Payment Gateway Screen (CheckoutScreen).
3. Switch locale to Arabic (ar_SA) on CheckoutScreen, inspect text direction and icon mirroring.
4. Verify expected results and log evidence.</t>
        </is>
      </c>
      <c r="F267" s="12" t="inlineStr">
        <is>
          <t>Locale: ar_SA, Target: CheckoutScreen</t>
        </is>
      </c>
      <c r="G267" s="12" t="inlineStr">
        <is>
          <t>UI flips to right-to-left layout with mirrored icons and aligned text.</t>
        </is>
      </c>
      <c r="H267" s="12" t="inlineStr">
        <is>
          <t>Pending Execution</t>
        </is>
      </c>
      <c r="I267" s="13" t="inlineStr">
        <is>
          <t>Not Executed</t>
        </is>
      </c>
      <c r="J267" s="11" t="inlineStr">
        <is>
          <t>Medium</t>
        </is>
      </c>
      <c r="K267" s="11" t="inlineStr">
        <is>
          <t>Critical</t>
        </is>
      </c>
      <c r="L267" s="11" t="inlineStr">
        <is>
          <t>Script Ready</t>
        </is>
      </c>
      <c r="M267" s="12" t="inlineStr">
        <is>
          <t>Staging / Web Chrome</t>
        </is>
      </c>
      <c r="N267" s="12" t="inlineStr">
        <is>
          <t>Chrome v126 / Edge v126</t>
        </is>
      </c>
      <c r="O267" s="12" t="inlineStr">
        <is>
          <t>Screen-specific baseline case for Checkout &amp; Payment Gateway Screen</t>
        </is>
      </c>
    </row>
    <row r="268" ht="36" customHeight="1">
      <c r="A268" s="11" t="inlineStr">
        <is>
          <t>TC-267</t>
        </is>
      </c>
      <c r="B268" s="12" t="inlineStr">
        <is>
          <t>CheckoutScreen</t>
        </is>
      </c>
      <c r="C268" s="12" t="inlineStr">
        <is>
          <t>Selenium Web UI Testing</t>
        </is>
      </c>
      <c r="D268" s="12" t="inlineStr">
        <is>
          <t>Localization &amp; Multi-Language Switching on Checkout &amp; Payment Gateway Screen</t>
        </is>
      </c>
      <c r="E268" s="12" t="inlineStr">
        <is>
          <t>1. Launch test runner in Staging / Web Chrome.
2. Navigate to Checkout &amp; Payment Gateway Screen (CheckoutScreen).
3. Toggle header language dropdown on CheckoutScreen between English, Hindi, and Arabic.
4. Verify expected results and log evidence.</t>
        </is>
      </c>
      <c r="F268" s="12" t="inlineStr">
        <is>
          <t>Locales: en, hi, ar</t>
        </is>
      </c>
      <c r="G268" s="12" t="inlineStr">
        <is>
          <t>All visible text strings update to selected language instantly.</t>
        </is>
      </c>
      <c r="H268" s="12" t="inlineStr">
        <is>
          <t>Pending Execution</t>
        </is>
      </c>
      <c r="I268" s="13" t="inlineStr">
        <is>
          <t>Not Executed</t>
        </is>
      </c>
      <c r="J268" s="11" t="inlineStr">
        <is>
          <t>High</t>
        </is>
      </c>
      <c r="K268" s="11" t="inlineStr">
        <is>
          <t>Moderate</t>
        </is>
      </c>
      <c r="L268" s="11" t="inlineStr">
        <is>
          <t>Script Ready</t>
        </is>
      </c>
      <c r="M268" s="12" t="inlineStr">
        <is>
          <t>Staging / Web Chrome</t>
        </is>
      </c>
      <c r="N268" s="12" t="inlineStr">
        <is>
          <t>Chrome v126 / Edge v126</t>
        </is>
      </c>
      <c r="O268" s="12" t="inlineStr">
        <is>
          <t>Screen-specific baseline case for Checkout &amp; Payment Gateway Screen</t>
        </is>
      </c>
    </row>
    <row r="269" ht="36" customHeight="1">
      <c r="A269" s="11" t="inlineStr">
        <is>
          <t>TC-268</t>
        </is>
      </c>
      <c r="B269" s="12" t="inlineStr">
        <is>
          <t>CheckoutScreen</t>
        </is>
      </c>
      <c r="C269" s="12" t="inlineStr">
        <is>
          <t>Selenium Web UI Testing</t>
        </is>
      </c>
      <c r="D269" s="12" t="inlineStr">
        <is>
          <t>Data Table &amp; Grid State Retention on Checkout &amp; Payment Gateway Screen</t>
        </is>
      </c>
      <c r="E269" s="12" t="inlineStr">
        <is>
          <t>1. Launch test runner in Staging / Web Chrome.
2. Navigate to Checkout &amp; Payment Gateway Screen (CheckoutScreen).
3. Interact with data filters or state controls on CheckoutScreen, navigate away and return.
4. Verify expected results and log evidence.</t>
        </is>
      </c>
      <c r="F269" s="12" t="inlineStr">
        <is>
          <t>State Payload: CheckoutScreen_filter</t>
        </is>
      </c>
      <c r="G269" s="12" t="inlineStr">
        <is>
          <t>Screen preserves applied filter state without unexpected reset.</t>
        </is>
      </c>
      <c r="H269" s="12" t="inlineStr">
        <is>
          <t>Pending Execution</t>
        </is>
      </c>
      <c r="I269" s="13" t="inlineStr">
        <is>
          <t>Not Executed</t>
        </is>
      </c>
      <c r="J269" s="11" t="inlineStr">
        <is>
          <t>Medium</t>
        </is>
      </c>
      <c r="K269" s="11" t="inlineStr">
        <is>
          <t>Major</t>
        </is>
      </c>
      <c r="L269" s="11" t="inlineStr">
        <is>
          <t>Script Ready</t>
        </is>
      </c>
      <c r="M269" s="12" t="inlineStr">
        <is>
          <t>Staging / Web Chrome</t>
        </is>
      </c>
      <c r="N269" s="12" t="inlineStr">
        <is>
          <t>Chrome v126 / Edge v126</t>
        </is>
      </c>
      <c r="O269" s="12" t="inlineStr">
        <is>
          <t>Screen-specific baseline case for Checkout &amp; Payment Gateway Screen</t>
        </is>
      </c>
    </row>
    <row r="270" ht="36" customHeight="1">
      <c r="A270" s="11" t="inlineStr">
        <is>
          <t>TC-269</t>
        </is>
      </c>
      <c r="B270" s="12" t="inlineStr">
        <is>
          <t>CheckoutScreen</t>
        </is>
      </c>
      <c r="C270" s="12" t="inlineStr">
        <is>
          <t>Selenium Web UI Testing</t>
        </is>
      </c>
      <c r="D270" s="12" t="inlineStr">
        <is>
          <t>Modal Backdrop &amp; Keyboard Escape on Checkout &amp; Payment Gateway Screen</t>
        </is>
      </c>
      <c r="E270" s="12" t="inlineStr">
        <is>
          <t>1. Launch test runner in Staging / Web Chrome.
2. Navigate to Checkout &amp; Payment Gateway Screen (CheckoutScreen).
3. Trigger pop-up dialog/modal on CheckoutScreen, press Escape key to dismiss.
4. Verify expected results and log evidence.</t>
        </is>
      </c>
      <c r="F270" s="12" t="inlineStr">
        <is>
          <t>Modal Target: CheckoutScreen</t>
        </is>
      </c>
      <c r="G270" s="12" t="inlineStr">
        <is>
          <t>Modal closes smoothly and returns focus to parent container.</t>
        </is>
      </c>
      <c r="H270" s="12" t="inlineStr">
        <is>
          <t>Pending Execution</t>
        </is>
      </c>
      <c r="I270" s="13" t="inlineStr">
        <is>
          <t>Not Executed</t>
        </is>
      </c>
      <c r="J270" s="11" t="inlineStr">
        <is>
          <t>Medium</t>
        </is>
      </c>
      <c r="K270" s="11" t="inlineStr">
        <is>
          <t>Moderate</t>
        </is>
      </c>
      <c r="L270" s="11" t="inlineStr">
        <is>
          <t>Script Ready</t>
        </is>
      </c>
      <c r="M270" s="12" t="inlineStr">
        <is>
          <t>Staging / Web Chrome</t>
        </is>
      </c>
      <c r="N270" s="12" t="inlineStr">
        <is>
          <t>Chrome v126 / Edge v126</t>
        </is>
      </c>
      <c r="O270" s="12" t="inlineStr">
        <is>
          <t>Screen-specific baseline case for Checkout &amp; Payment Gateway Screen</t>
        </is>
      </c>
    </row>
    <row r="271" ht="36" customHeight="1">
      <c r="A271" s="11" t="inlineStr">
        <is>
          <t>TC-270</t>
        </is>
      </c>
      <c r="B271" s="12" t="inlineStr">
        <is>
          <t>CheckoutScreen</t>
        </is>
      </c>
      <c r="C271" s="12" t="inlineStr">
        <is>
          <t>Selenium Web UI Testing</t>
        </is>
      </c>
      <c r="D271" s="12" t="inlineStr">
        <is>
          <t>Network Failure UI Fallback on Checkout &amp; Payment Gateway Screen</t>
        </is>
      </c>
      <c r="E271" s="12" t="inlineStr">
        <is>
          <t>1. Launch test runner in Staging / Web Chrome.
2. Navigate to Checkout &amp; Payment Gateway Screen (CheckoutScreen).
3. Throttled network to offline mode while viewing CheckoutScreen, attempt UI interaction.
4. Verify expected results and log evidence.</t>
        </is>
      </c>
      <c r="F271" s="12" t="inlineStr">
        <is>
          <t>Network: Offline, Target: CheckoutScreen</t>
        </is>
      </c>
      <c r="G271" s="12" t="inlineStr">
        <is>
          <t>User-friendly offline banner appears with retry button.</t>
        </is>
      </c>
      <c r="H271" s="12" t="inlineStr">
        <is>
          <t>Pending Execution</t>
        </is>
      </c>
      <c r="I271" s="13" t="inlineStr">
        <is>
          <t>Not Executed</t>
        </is>
      </c>
      <c r="J271" s="11" t="inlineStr">
        <is>
          <t>High</t>
        </is>
      </c>
      <c r="K271" s="11" t="inlineStr">
        <is>
          <t>Major</t>
        </is>
      </c>
      <c r="L271" s="11" t="inlineStr">
        <is>
          <t>Script Ready</t>
        </is>
      </c>
      <c r="M271" s="12" t="inlineStr">
        <is>
          <t>Staging / Web Chrome</t>
        </is>
      </c>
      <c r="N271" s="12" t="inlineStr">
        <is>
          <t>Chrome v126 / Edge v126</t>
        </is>
      </c>
      <c r="O271" s="12" t="inlineStr">
        <is>
          <t>Screen-specific baseline case for Checkout &amp; Payment Gateway Screen</t>
        </is>
      </c>
    </row>
    <row r="272" ht="36" customHeight="1">
      <c r="A272" s="11" t="inlineStr">
        <is>
          <t>TC-271</t>
        </is>
      </c>
      <c r="B272" s="12" t="inlineStr">
        <is>
          <t>AddressManagementSection</t>
        </is>
      </c>
      <c r="C272" s="12" t="inlineStr">
        <is>
          <t>Selenium Web UI Testing</t>
        </is>
      </c>
      <c r="D272" s="12" t="inlineStr">
        <is>
          <t>Positive Web UI Layout on Shipping Address &amp; Delivery Form</t>
        </is>
      </c>
      <c r="E272" s="12" t="inlineStr">
        <is>
          <t>1. Launch test runner in Staging / Web Chrome.
2. Navigate to Shipping Address &amp; Delivery Form (AddressManagementSection).
3. Launch browser, navigate to AddressManagementSection, verify grid container alignment and responsive element scaling.
4. Verify expected results and log evidence.</t>
        </is>
      </c>
      <c r="F272" s="12" t="inlineStr">
        <is>
          <t>Viewport: 1920x1080, Screen: AddressManagementSection</t>
        </is>
      </c>
      <c r="G272" s="12" t="inlineStr">
        <is>
          <t>UI components align cleanly without scrollbar clipping or overflow.</t>
        </is>
      </c>
      <c r="H272" s="12" t="inlineStr">
        <is>
          <t>Pending Execution</t>
        </is>
      </c>
      <c r="I272" s="13" t="inlineStr">
        <is>
          <t>Not Executed</t>
        </is>
      </c>
      <c r="J272" s="11" t="inlineStr">
        <is>
          <t>Medium</t>
        </is>
      </c>
      <c r="K272" s="11" t="inlineStr">
        <is>
          <t>Moderate</t>
        </is>
      </c>
      <c r="L272" s="11" t="inlineStr">
        <is>
          <t>Script Ready</t>
        </is>
      </c>
      <c r="M272" s="12" t="inlineStr">
        <is>
          <t>Staging / Web Chrome</t>
        </is>
      </c>
      <c r="N272" s="12" t="inlineStr">
        <is>
          <t>Chrome v126 / Edge v126</t>
        </is>
      </c>
      <c r="O272" s="12" t="inlineStr">
        <is>
          <t>Screen-specific baseline case for Shipping Address &amp; Delivery Form</t>
        </is>
      </c>
    </row>
    <row r="273" ht="36" customHeight="1">
      <c r="A273" s="11" t="inlineStr">
        <is>
          <t>TC-272</t>
        </is>
      </c>
      <c r="B273" s="12" t="inlineStr">
        <is>
          <t>AddressManagementSection</t>
        </is>
      </c>
      <c r="C273" s="12" t="inlineStr">
        <is>
          <t>Selenium Web UI Testing</t>
        </is>
      </c>
      <c r="D273" s="12" t="inlineStr">
        <is>
          <t>Negative Input Form Validation on Shipping Address &amp; Delivery Form</t>
        </is>
      </c>
      <c r="E273" s="12" t="inlineStr">
        <is>
          <t>1. Launch test runner in Staging / Web Chrome.
2. Navigate to Shipping Address &amp; Delivery Form (AddressManagementSection).
3. Focus input controls on AddressManagementSection, enter out-of-bound strings, trigger blur event.
4. Verify expected results and log evidence.</t>
        </is>
      </c>
      <c r="F273" s="12" t="inlineStr">
        <is>
          <t>Input: invalid_string, Screen: AddressManagementSection</t>
        </is>
      </c>
      <c r="G273" s="12" t="inlineStr">
        <is>
          <t>Validation badge displays accessible aria error message.</t>
        </is>
      </c>
      <c r="H273" s="12" t="inlineStr">
        <is>
          <t>Pending Execution</t>
        </is>
      </c>
      <c r="I273" s="13" t="inlineStr">
        <is>
          <t>Not Executed</t>
        </is>
      </c>
      <c r="J273" s="11" t="inlineStr">
        <is>
          <t>Medium</t>
        </is>
      </c>
      <c r="K273" s="11" t="inlineStr">
        <is>
          <t>Major</t>
        </is>
      </c>
      <c r="L273" s="11" t="inlineStr">
        <is>
          <t>Script Ready</t>
        </is>
      </c>
      <c r="M273" s="12" t="inlineStr">
        <is>
          <t>Staging / Web Chrome</t>
        </is>
      </c>
      <c r="N273" s="12" t="inlineStr">
        <is>
          <t>Chrome v126 / Edge v126</t>
        </is>
      </c>
      <c r="O273" s="12" t="inlineStr">
        <is>
          <t>Screen-specific baseline case for Shipping Address &amp; Delivery Form</t>
        </is>
      </c>
    </row>
    <row r="274" ht="36" customHeight="1">
      <c r="A274" s="11" t="inlineStr">
        <is>
          <t>TC-273</t>
        </is>
      </c>
      <c r="B274" s="12" t="inlineStr">
        <is>
          <t>AddressManagementSection</t>
        </is>
      </c>
      <c r="C274" s="12" t="inlineStr">
        <is>
          <t>Selenium Web UI Testing</t>
        </is>
      </c>
      <c r="D274" s="12" t="inlineStr">
        <is>
          <t>Boundary Viewport Responsiveness on Shipping Address &amp; Delivery Form</t>
        </is>
      </c>
      <c r="E274" s="12" t="inlineStr">
        <is>
          <t>1. Launch test runner in Staging / Web Chrome.
2. Navigate to Shipping Address &amp; Delivery Form (AddressManagementSection).
3. Resize web browser window from 320px mobile breakpoint up to 4K desktop width.
4. Verify expected results and log evidence.</t>
        </is>
      </c>
      <c r="F274" s="12" t="inlineStr">
        <is>
          <t>Breakpoint Widths: [320, 768, 1024, 1440, 3840]</t>
        </is>
      </c>
      <c r="G274" s="12" t="inlineStr">
        <is>
          <t>Layout adapts responsively without overlapping UI text nodes.</t>
        </is>
      </c>
      <c r="H274" s="12" t="inlineStr">
        <is>
          <t>Pending Execution</t>
        </is>
      </c>
      <c r="I274" s="13" t="inlineStr">
        <is>
          <t>Not Executed</t>
        </is>
      </c>
      <c r="J274" s="11" t="inlineStr">
        <is>
          <t>High</t>
        </is>
      </c>
      <c r="K274" s="11" t="inlineStr">
        <is>
          <t>Critical</t>
        </is>
      </c>
      <c r="L274" s="11" t="inlineStr">
        <is>
          <t>Script Ready</t>
        </is>
      </c>
      <c r="M274" s="12" t="inlineStr">
        <is>
          <t>Staging / Web Chrome</t>
        </is>
      </c>
      <c r="N274" s="12" t="inlineStr">
        <is>
          <t>Chrome v126 / Edge v126</t>
        </is>
      </c>
      <c r="O274" s="12" t="inlineStr">
        <is>
          <t>Screen-specific baseline case for Shipping Address &amp; Delivery Form</t>
        </is>
      </c>
    </row>
    <row r="275" ht="36" customHeight="1">
      <c r="A275" s="11" t="inlineStr">
        <is>
          <t>TC-274</t>
        </is>
      </c>
      <c r="B275" s="12" t="inlineStr">
        <is>
          <t>AddressManagementSection</t>
        </is>
      </c>
      <c r="C275" s="12" t="inlineStr">
        <is>
          <t>Selenium Web UI Testing</t>
        </is>
      </c>
      <c r="D275" s="12" t="inlineStr">
        <is>
          <t>Interactive Hover &amp; Focus Traversal on Shipping Address &amp; Delivery Form</t>
        </is>
      </c>
      <c r="E275" s="12" t="inlineStr">
        <is>
          <t>1. Launch test runner in Staging / Web Chrome.
2. Navigate to Shipping Address &amp; Delivery Form (AddressManagementSection).
3. Tab through interactive focusable nodes on AddressManagementSection, hover cursor over CTA buttons.
4. Verify expected results and log evidence.</t>
        </is>
      </c>
      <c r="F275" s="12" t="inlineStr">
        <is>
          <t>Key Navigation: TAB, Hover target: AddressManagementSection</t>
        </is>
      </c>
      <c r="G275" s="12" t="inlineStr">
        <is>
          <t>Focus ring highlights elements in logical DOM tab order.</t>
        </is>
      </c>
      <c r="H275" s="12" t="inlineStr">
        <is>
          <t>Pending Execution</t>
        </is>
      </c>
      <c r="I275" s="13" t="inlineStr">
        <is>
          <t>Not Executed</t>
        </is>
      </c>
      <c r="J275" s="11" t="inlineStr">
        <is>
          <t>Medium</t>
        </is>
      </c>
      <c r="K275" s="11" t="inlineStr">
        <is>
          <t>Major</t>
        </is>
      </c>
      <c r="L275" s="11" t="inlineStr">
        <is>
          <t>Script Ready</t>
        </is>
      </c>
      <c r="M275" s="12" t="inlineStr">
        <is>
          <t>Staging / Web Chrome</t>
        </is>
      </c>
      <c r="N275" s="12" t="inlineStr">
        <is>
          <t>Chrome v126 / Edge v126</t>
        </is>
      </c>
      <c r="O275" s="12" t="inlineStr">
        <is>
          <t>Screen-specific baseline case for Shipping Address &amp; Delivery Form</t>
        </is>
      </c>
    </row>
    <row r="276" ht="36" customHeight="1">
      <c r="A276" s="11" t="inlineStr">
        <is>
          <t>TC-275</t>
        </is>
      </c>
      <c r="B276" s="12" t="inlineStr">
        <is>
          <t>AddressManagementSection</t>
        </is>
      </c>
      <c r="C276" s="12" t="inlineStr">
        <is>
          <t>Selenium Web UI Testing</t>
        </is>
      </c>
      <c r="D276" s="12" t="inlineStr">
        <is>
          <t>Cross-Browser Rendering Parity on Shipping Address &amp; Delivery Form</t>
        </is>
      </c>
      <c r="E276" s="12" t="inlineStr">
        <is>
          <t>1. Launch test runner in Staging / Web Chrome.
2. Navigate to Shipping Address &amp; Delivery Form (AddressManagementSection).
3. Execute UI test suite for AddressManagementSection across Chrome, Firefox, Safari, and Edge.
4. Verify expected results and log evidence.</t>
        </is>
      </c>
      <c r="F276" s="12" t="inlineStr">
        <is>
          <t>Browsers: Chrome, Firefox, Safari, Edge</t>
        </is>
      </c>
      <c r="G276" s="12" t="inlineStr">
        <is>
          <t>DOM element styles render identically with zero CSS misalignment.</t>
        </is>
      </c>
      <c r="H276" s="12" t="inlineStr">
        <is>
          <t>Pending Execution</t>
        </is>
      </c>
      <c r="I276" s="13" t="inlineStr">
        <is>
          <t>Not Executed</t>
        </is>
      </c>
      <c r="J276" s="11" t="inlineStr">
        <is>
          <t>Low</t>
        </is>
      </c>
      <c r="K276" s="11" t="inlineStr">
        <is>
          <t>Moderate</t>
        </is>
      </c>
      <c r="L276" s="11" t="inlineStr">
        <is>
          <t>Script Ready</t>
        </is>
      </c>
      <c r="M276" s="12" t="inlineStr">
        <is>
          <t>Staging / Web Chrome</t>
        </is>
      </c>
      <c r="N276" s="12" t="inlineStr">
        <is>
          <t>Chrome v126 / Edge v126</t>
        </is>
      </c>
      <c r="O276" s="12" t="inlineStr">
        <is>
          <t>Screen-specific baseline case for Shipping Address &amp; Delivery Form</t>
        </is>
      </c>
    </row>
    <row r="277" ht="36" customHeight="1">
      <c r="A277" s="11" t="inlineStr">
        <is>
          <t>TC-276</t>
        </is>
      </c>
      <c r="B277" s="12" t="inlineStr">
        <is>
          <t>AddressManagementSection</t>
        </is>
      </c>
      <c r="C277" s="12" t="inlineStr">
        <is>
          <t>Selenium Web UI Testing</t>
        </is>
      </c>
      <c r="D277" s="12" t="inlineStr">
        <is>
          <t>Arabic Right-to-Left (RTL) Layout on Shipping Address &amp; Delivery Form</t>
        </is>
      </c>
      <c r="E277" s="12" t="inlineStr">
        <is>
          <t>1. Launch test runner in Staging / Web Chrome.
2. Navigate to Shipping Address &amp; Delivery Form (AddressManagementSection).
3. Switch locale to Arabic (ar_SA) on AddressManagementSection, inspect text direction and icon mirroring.
4. Verify expected results and log evidence.</t>
        </is>
      </c>
      <c r="F277" s="12" t="inlineStr">
        <is>
          <t>Locale: ar_SA, Target: AddressManagementSection</t>
        </is>
      </c>
      <c r="G277" s="12" t="inlineStr">
        <is>
          <t>UI flips to right-to-left layout with mirrored icons and aligned text.</t>
        </is>
      </c>
      <c r="H277" s="12" t="inlineStr">
        <is>
          <t>Pending Execution</t>
        </is>
      </c>
      <c r="I277" s="13" t="inlineStr">
        <is>
          <t>Not Executed</t>
        </is>
      </c>
      <c r="J277" s="11" t="inlineStr">
        <is>
          <t>High</t>
        </is>
      </c>
      <c r="K277" s="11" t="inlineStr">
        <is>
          <t>Major</t>
        </is>
      </c>
      <c r="L277" s="11" t="inlineStr">
        <is>
          <t>Script Ready</t>
        </is>
      </c>
      <c r="M277" s="12" t="inlineStr">
        <is>
          <t>Staging / Web Chrome</t>
        </is>
      </c>
      <c r="N277" s="12" t="inlineStr">
        <is>
          <t>Chrome v126 / Edge v126</t>
        </is>
      </c>
      <c r="O277" s="12" t="inlineStr">
        <is>
          <t>Screen-specific baseline case for Shipping Address &amp; Delivery Form</t>
        </is>
      </c>
    </row>
    <row r="278" ht="36" customHeight="1">
      <c r="A278" s="11" t="inlineStr">
        <is>
          <t>TC-277</t>
        </is>
      </c>
      <c r="B278" s="12" t="inlineStr">
        <is>
          <t>AddressManagementSection</t>
        </is>
      </c>
      <c r="C278" s="12" t="inlineStr">
        <is>
          <t>Selenium Web UI Testing</t>
        </is>
      </c>
      <c r="D278" s="12" t="inlineStr">
        <is>
          <t>Localization &amp; Multi-Language Switching on Shipping Address &amp; Delivery Form</t>
        </is>
      </c>
      <c r="E278" s="12" t="inlineStr">
        <is>
          <t>1. Launch test runner in Staging / Web Chrome.
2. Navigate to Shipping Address &amp; Delivery Form (AddressManagementSection).
3. Toggle header language dropdown on AddressManagementSection between English, Hindi, and Arabic.
4. Verify expected results and log evidence.</t>
        </is>
      </c>
      <c r="F278" s="12" t="inlineStr">
        <is>
          <t>Locales: en, hi, ar</t>
        </is>
      </c>
      <c r="G278" s="12" t="inlineStr">
        <is>
          <t>All visible text strings update to selected language instantly.</t>
        </is>
      </c>
      <c r="H278" s="12" t="inlineStr">
        <is>
          <t>Pending Execution</t>
        </is>
      </c>
      <c r="I278" s="13" t="inlineStr">
        <is>
          <t>Not Executed</t>
        </is>
      </c>
      <c r="J278" s="11" t="inlineStr">
        <is>
          <t>Medium</t>
        </is>
      </c>
      <c r="K278" s="11" t="inlineStr">
        <is>
          <t>Moderate</t>
        </is>
      </c>
      <c r="L278" s="11" t="inlineStr">
        <is>
          <t>Script Ready</t>
        </is>
      </c>
      <c r="M278" s="12" t="inlineStr">
        <is>
          <t>Staging / Web Chrome</t>
        </is>
      </c>
      <c r="N278" s="12" t="inlineStr">
        <is>
          <t>Chrome v126 / Edge v126</t>
        </is>
      </c>
      <c r="O278" s="12" t="inlineStr">
        <is>
          <t>Screen-specific baseline case for Shipping Address &amp; Delivery Form</t>
        </is>
      </c>
    </row>
    <row r="279" ht="36" customHeight="1">
      <c r="A279" s="11" t="inlineStr">
        <is>
          <t>TC-278</t>
        </is>
      </c>
      <c r="B279" s="12" t="inlineStr">
        <is>
          <t>AddressManagementSection</t>
        </is>
      </c>
      <c r="C279" s="12" t="inlineStr">
        <is>
          <t>Selenium Web UI Testing</t>
        </is>
      </c>
      <c r="D279" s="12" t="inlineStr">
        <is>
          <t>Data Table &amp; Grid State Retention on Shipping Address &amp; Delivery Form</t>
        </is>
      </c>
      <c r="E279" s="12" t="inlineStr">
        <is>
          <t>1. Launch test runner in Staging / Web Chrome.
2. Navigate to Shipping Address &amp; Delivery Form (AddressManagementSection).
3. Interact with data filters or state controls on AddressManagementSection, navigate away and return.
4. Verify expected results and log evidence.</t>
        </is>
      </c>
      <c r="F279" s="12" t="inlineStr">
        <is>
          <t>State Payload: AddressManagementSection_filter</t>
        </is>
      </c>
      <c r="G279" s="12" t="inlineStr">
        <is>
          <t>Screen preserves applied filter state without unexpected reset.</t>
        </is>
      </c>
      <c r="H279" s="12" t="inlineStr">
        <is>
          <t>Pending Execution</t>
        </is>
      </c>
      <c r="I279" s="13" t="inlineStr">
        <is>
          <t>Not Executed</t>
        </is>
      </c>
      <c r="J279" s="11" t="inlineStr">
        <is>
          <t>Medium</t>
        </is>
      </c>
      <c r="K279" s="11" t="inlineStr">
        <is>
          <t>Major</t>
        </is>
      </c>
      <c r="L279" s="11" t="inlineStr">
        <is>
          <t>Script Ready</t>
        </is>
      </c>
      <c r="M279" s="12" t="inlineStr">
        <is>
          <t>Staging / Web Chrome</t>
        </is>
      </c>
      <c r="N279" s="12" t="inlineStr">
        <is>
          <t>Chrome v126 / Edge v126</t>
        </is>
      </c>
      <c r="O279" s="12" t="inlineStr">
        <is>
          <t>Screen-specific baseline case for Shipping Address &amp; Delivery Form</t>
        </is>
      </c>
    </row>
    <row r="280" ht="36" customHeight="1">
      <c r="A280" s="11" t="inlineStr">
        <is>
          <t>TC-279</t>
        </is>
      </c>
      <c r="B280" s="12" t="inlineStr">
        <is>
          <t>AddressManagementSection</t>
        </is>
      </c>
      <c r="C280" s="12" t="inlineStr">
        <is>
          <t>Selenium Web UI Testing</t>
        </is>
      </c>
      <c r="D280" s="12" t="inlineStr">
        <is>
          <t>Modal Backdrop &amp; Keyboard Escape on Shipping Address &amp; Delivery Form</t>
        </is>
      </c>
      <c r="E280" s="12" t="inlineStr">
        <is>
          <t>1. Launch test runner in Staging / Web Chrome.
2. Navigate to Shipping Address &amp; Delivery Form (AddressManagementSection).
3. Trigger pop-up dialog/modal on AddressManagementSection, press Escape key to dismiss.
4. Verify expected results and log evidence.</t>
        </is>
      </c>
      <c r="F280" s="12" t="inlineStr">
        <is>
          <t>Modal Target: AddressManagementSection</t>
        </is>
      </c>
      <c r="G280" s="12" t="inlineStr">
        <is>
          <t>Modal closes smoothly and returns focus to parent container.</t>
        </is>
      </c>
      <c r="H280" s="12" t="inlineStr">
        <is>
          <t>Pending Execution</t>
        </is>
      </c>
      <c r="I280" s="13" t="inlineStr">
        <is>
          <t>Not Executed</t>
        </is>
      </c>
      <c r="J280" s="11" t="inlineStr">
        <is>
          <t>High</t>
        </is>
      </c>
      <c r="K280" s="11" t="inlineStr">
        <is>
          <t>Moderate</t>
        </is>
      </c>
      <c r="L280" s="11" t="inlineStr">
        <is>
          <t>Script Ready</t>
        </is>
      </c>
      <c r="M280" s="12" t="inlineStr">
        <is>
          <t>Staging / Web Chrome</t>
        </is>
      </c>
      <c r="N280" s="12" t="inlineStr">
        <is>
          <t>Chrome v126 / Edge v126</t>
        </is>
      </c>
      <c r="O280" s="12" t="inlineStr">
        <is>
          <t>Screen-specific baseline case for Shipping Address &amp; Delivery Form</t>
        </is>
      </c>
    </row>
    <row r="281" ht="36" customHeight="1">
      <c r="A281" s="11" t="inlineStr">
        <is>
          <t>TC-280</t>
        </is>
      </c>
      <c r="B281" s="12" t="inlineStr">
        <is>
          <t>AddressManagementSection</t>
        </is>
      </c>
      <c r="C281" s="12" t="inlineStr">
        <is>
          <t>Selenium Web UI Testing</t>
        </is>
      </c>
      <c r="D281" s="12" t="inlineStr">
        <is>
          <t>Network Failure UI Fallback on Shipping Address &amp; Delivery Form</t>
        </is>
      </c>
      <c r="E281" s="12" t="inlineStr">
        <is>
          <t>1. Launch test runner in Staging / Web Chrome.
2. Navigate to Shipping Address &amp; Delivery Form (AddressManagementSection).
3. Throttled network to offline mode while viewing AddressManagementSection, attempt UI interaction.
4. Verify expected results and log evidence.</t>
        </is>
      </c>
      <c r="F281" s="12" t="inlineStr">
        <is>
          <t>Network: Offline, Target: AddressManagementSection</t>
        </is>
      </c>
      <c r="G281" s="12" t="inlineStr">
        <is>
          <t>User-friendly offline banner appears with retry button.</t>
        </is>
      </c>
      <c r="H281" s="12" t="inlineStr">
        <is>
          <t>Pending Execution</t>
        </is>
      </c>
      <c r="I281" s="13" t="inlineStr">
        <is>
          <t>Not Executed</t>
        </is>
      </c>
      <c r="J281" s="11" t="inlineStr">
        <is>
          <t>Low</t>
        </is>
      </c>
      <c r="K281" s="11" t="inlineStr">
        <is>
          <t>Critical</t>
        </is>
      </c>
      <c r="L281" s="11" t="inlineStr">
        <is>
          <t>Script Ready</t>
        </is>
      </c>
      <c r="M281" s="12" t="inlineStr">
        <is>
          <t>Staging / Web Chrome</t>
        </is>
      </c>
      <c r="N281" s="12" t="inlineStr">
        <is>
          <t>Chrome v126 / Edge v126</t>
        </is>
      </c>
      <c r="O281" s="12" t="inlineStr">
        <is>
          <t>Screen-specific baseline case for Shipping Address &amp; Delivery Form</t>
        </is>
      </c>
    </row>
    <row r="282" ht="36" customHeight="1">
      <c r="A282" s="11" t="inlineStr">
        <is>
          <t>TC-281</t>
        </is>
      </c>
      <c r="B282" s="12" t="inlineStr">
        <is>
          <t>OrderConfirmationScreen</t>
        </is>
      </c>
      <c r="C282" s="12" t="inlineStr">
        <is>
          <t>Selenium Web UI Testing</t>
        </is>
      </c>
      <c r="D282" s="12" t="inlineStr">
        <is>
          <t>Positive Web UI Layout on Order Confirmation &amp; Receipt Screen</t>
        </is>
      </c>
      <c r="E282" s="12" t="inlineStr">
        <is>
          <t>1. Launch test runner in Staging / Web Chrome.
2. Navigate to Order Confirmation &amp; Receipt Screen (OrderConfirmationScreen).
3. Launch browser, navigate to OrderConfirmationScreen, verify grid container alignment and responsive element scaling.
4. Verify expected results and log evidence.</t>
        </is>
      </c>
      <c r="F282" s="12" t="inlineStr">
        <is>
          <t>Viewport: 1920x1080, Screen: OrderConfirmationScreen</t>
        </is>
      </c>
      <c r="G282" s="12" t="inlineStr">
        <is>
          <t>UI components align cleanly without scrollbar clipping or overflow.</t>
        </is>
      </c>
      <c r="H282" s="12" t="inlineStr">
        <is>
          <t>Pending Execution</t>
        </is>
      </c>
      <c r="I282" s="13" t="inlineStr">
        <is>
          <t>Not Executed</t>
        </is>
      </c>
      <c r="J282" s="11" t="inlineStr">
        <is>
          <t>Medium</t>
        </is>
      </c>
      <c r="K282" s="11" t="inlineStr">
        <is>
          <t>Moderate</t>
        </is>
      </c>
      <c r="L282" s="11" t="inlineStr">
        <is>
          <t>Script Ready</t>
        </is>
      </c>
      <c r="M282" s="12" t="inlineStr">
        <is>
          <t>Staging / Web Chrome</t>
        </is>
      </c>
      <c r="N282" s="12" t="inlineStr">
        <is>
          <t>Chrome v126 / Edge v126</t>
        </is>
      </c>
      <c r="O282" s="12" t="inlineStr">
        <is>
          <t>Screen-specific baseline case for Order Confirmation &amp; Receipt Screen</t>
        </is>
      </c>
    </row>
    <row r="283" ht="36" customHeight="1">
      <c r="A283" s="11" t="inlineStr">
        <is>
          <t>TC-282</t>
        </is>
      </c>
      <c r="B283" s="12" t="inlineStr">
        <is>
          <t>OrderConfirmationScreen</t>
        </is>
      </c>
      <c r="C283" s="12" t="inlineStr">
        <is>
          <t>Selenium Web UI Testing</t>
        </is>
      </c>
      <c r="D283" s="12" t="inlineStr">
        <is>
          <t>Negative Input Form Validation on Order Confirmation &amp; Receipt Screen</t>
        </is>
      </c>
      <c r="E283" s="12" t="inlineStr">
        <is>
          <t>1. Launch test runner in Staging / Web Chrome.
2. Navigate to Order Confirmation &amp; Receipt Screen (OrderConfirmationScreen).
3. Focus input controls on OrderConfirmationScreen, enter out-of-bound strings, trigger blur event.
4. Verify expected results and log evidence.</t>
        </is>
      </c>
      <c r="F283" s="12" t="inlineStr">
        <is>
          <t>Input: invalid_string, Screen: OrderConfirmationScreen</t>
        </is>
      </c>
      <c r="G283" s="12" t="inlineStr">
        <is>
          <t>Validation badge displays accessible aria error message.</t>
        </is>
      </c>
      <c r="H283" s="12" t="inlineStr">
        <is>
          <t>Pending Execution</t>
        </is>
      </c>
      <c r="I283" s="13" t="inlineStr">
        <is>
          <t>Not Executed</t>
        </is>
      </c>
      <c r="J283" s="11" t="inlineStr">
        <is>
          <t>High</t>
        </is>
      </c>
      <c r="K283" s="11" t="inlineStr">
        <is>
          <t>Major</t>
        </is>
      </c>
      <c r="L283" s="11" t="inlineStr">
        <is>
          <t>Script Ready</t>
        </is>
      </c>
      <c r="M283" s="12" t="inlineStr">
        <is>
          <t>Staging / Web Chrome</t>
        </is>
      </c>
      <c r="N283" s="12" t="inlineStr">
        <is>
          <t>Chrome v126 / Edge v126</t>
        </is>
      </c>
      <c r="O283" s="12" t="inlineStr">
        <is>
          <t>Screen-specific baseline case for Order Confirmation &amp; Receipt Screen</t>
        </is>
      </c>
    </row>
    <row r="284" ht="36" customHeight="1">
      <c r="A284" s="11" t="inlineStr">
        <is>
          <t>TC-283</t>
        </is>
      </c>
      <c r="B284" s="12" t="inlineStr">
        <is>
          <t>OrderConfirmationScreen</t>
        </is>
      </c>
      <c r="C284" s="12" t="inlineStr">
        <is>
          <t>Selenium Web UI Testing</t>
        </is>
      </c>
      <c r="D284" s="12" t="inlineStr">
        <is>
          <t>Boundary Viewport Responsiveness on Order Confirmation &amp; Receipt Screen</t>
        </is>
      </c>
      <c r="E284" s="12" t="inlineStr">
        <is>
          <t>1. Launch test runner in Staging / Web Chrome.
2. Navigate to Order Confirmation &amp; Receipt Screen (OrderConfirmationScreen).
3. Resize web browser window from 320px mobile breakpoint up to 4K desktop width.
4. Verify expected results and log evidence.</t>
        </is>
      </c>
      <c r="F284" s="12" t="inlineStr">
        <is>
          <t>Breakpoint Widths: [320, 768, 1024, 1440, 3840]</t>
        </is>
      </c>
      <c r="G284" s="12" t="inlineStr">
        <is>
          <t>Layout adapts responsively without overlapping UI text nodes.</t>
        </is>
      </c>
      <c r="H284" s="12" t="inlineStr">
        <is>
          <t>Pending Execution</t>
        </is>
      </c>
      <c r="I284" s="13" t="inlineStr">
        <is>
          <t>Not Executed</t>
        </is>
      </c>
      <c r="J284" s="11" t="inlineStr">
        <is>
          <t>Medium</t>
        </is>
      </c>
      <c r="K284" s="11" t="inlineStr">
        <is>
          <t>Moderate</t>
        </is>
      </c>
      <c r="L284" s="11" t="inlineStr">
        <is>
          <t>Script Ready</t>
        </is>
      </c>
      <c r="M284" s="12" t="inlineStr">
        <is>
          <t>Staging / Web Chrome</t>
        </is>
      </c>
      <c r="N284" s="12" t="inlineStr">
        <is>
          <t>Chrome v126 / Edge v126</t>
        </is>
      </c>
      <c r="O284" s="12" t="inlineStr">
        <is>
          <t>Screen-specific baseline case for Order Confirmation &amp; Receipt Screen</t>
        </is>
      </c>
    </row>
    <row r="285" ht="36" customHeight="1">
      <c r="A285" s="11" t="inlineStr">
        <is>
          <t>TC-284</t>
        </is>
      </c>
      <c r="B285" s="12" t="inlineStr">
        <is>
          <t>OrderConfirmationScreen</t>
        </is>
      </c>
      <c r="C285" s="12" t="inlineStr">
        <is>
          <t>Selenium Web UI Testing</t>
        </is>
      </c>
      <c r="D285" s="12" t="inlineStr">
        <is>
          <t>Interactive Hover &amp; Focus Traversal on Order Confirmation &amp; Receipt Screen</t>
        </is>
      </c>
      <c r="E285" s="12" t="inlineStr">
        <is>
          <t>1. Launch test runner in Staging / Web Chrome.
2. Navigate to Order Confirmation &amp; Receipt Screen (OrderConfirmationScreen).
3. Tab through interactive focusable nodes on OrderConfirmationScreen, hover cursor over CTA buttons.
4. Verify expected results and log evidence.</t>
        </is>
      </c>
      <c r="F285" s="12" t="inlineStr">
        <is>
          <t>Key Navigation: TAB, Hover target: OrderConfirmationScreen</t>
        </is>
      </c>
      <c r="G285" s="12" t="inlineStr">
        <is>
          <t>Focus ring highlights elements in logical DOM tab order.</t>
        </is>
      </c>
      <c r="H285" s="12" t="inlineStr">
        <is>
          <t>Pending Execution</t>
        </is>
      </c>
      <c r="I285" s="13" t="inlineStr">
        <is>
          <t>Not Executed</t>
        </is>
      </c>
      <c r="J285" s="11" t="inlineStr">
        <is>
          <t>Medium</t>
        </is>
      </c>
      <c r="K285" s="11" t="inlineStr">
        <is>
          <t>Major</t>
        </is>
      </c>
      <c r="L285" s="11" t="inlineStr">
        <is>
          <t>Script Ready</t>
        </is>
      </c>
      <c r="M285" s="12" t="inlineStr">
        <is>
          <t>Staging / Web Chrome</t>
        </is>
      </c>
      <c r="N285" s="12" t="inlineStr">
        <is>
          <t>Chrome v126 / Edge v126</t>
        </is>
      </c>
      <c r="O285" s="12" t="inlineStr">
        <is>
          <t>Screen-specific baseline case for Order Confirmation &amp; Receipt Screen</t>
        </is>
      </c>
    </row>
    <row r="286" ht="36" customHeight="1">
      <c r="A286" s="11" t="inlineStr">
        <is>
          <t>TC-285</t>
        </is>
      </c>
      <c r="B286" s="12" t="inlineStr">
        <is>
          <t>OrderConfirmationScreen</t>
        </is>
      </c>
      <c r="C286" s="12" t="inlineStr">
        <is>
          <t>Selenium Web UI Testing</t>
        </is>
      </c>
      <c r="D286" s="12" t="inlineStr">
        <is>
          <t>Cross-Browser Rendering Parity on Order Confirmation &amp; Receipt Screen</t>
        </is>
      </c>
      <c r="E286" s="12" t="inlineStr">
        <is>
          <t>1. Launch test runner in Staging / Web Chrome.
2. Navigate to Order Confirmation &amp; Receipt Screen (OrderConfirmationScreen).
3. Execute UI test suite for OrderConfirmationScreen across Chrome, Firefox, Safari, and Edge.
4. Verify expected results and log evidence.</t>
        </is>
      </c>
      <c r="F286" s="12" t="inlineStr">
        <is>
          <t>Browsers: Chrome, Firefox, Safari, Edge</t>
        </is>
      </c>
      <c r="G286" s="12" t="inlineStr">
        <is>
          <t>DOM element styles render identically with zero CSS misalignment.</t>
        </is>
      </c>
      <c r="H286" s="12" t="inlineStr">
        <is>
          <t>Pending Execution</t>
        </is>
      </c>
      <c r="I286" s="13" t="inlineStr">
        <is>
          <t>Not Executed</t>
        </is>
      </c>
      <c r="J286" s="11" t="inlineStr">
        <is>
          <t>High</t>
        </is>
      </c>
      <c r="K286" s="11" t="inlineStr">
        <is>
          <t>Moderate</t>
        </is>
      </c>
      <c r="L286" s="11" t="inlineStr">
        <is>
          <t>Script Ready</t>
        </is>
      </c>
      <c r="M286" s="12" t="inlineStr">
        <is>
          <t>Staging / Web Chrome</t>
        </is>
      </c>
      <c r="N286" s="12" t="inlineStr">
        <is>
          <t>Chrome v126 / Edge v126</t>
        </is>
      </c>
      <c r="O286" s="12" t="inlineStr">
        <is>
          <t>Screen-specific baseline case for Order Confirmation &amp; Receipt Screen</t>
        </is>
      </c>
    </row>
    <row r="287" ht="36" customHeight="1">
      <c r="A287" s="11" t="inlineStr">
        <is>
          <t>TC-286</t>
        </is>
      </c>
      <c r="B287" s="12" t="inlineStr">
        <is>
          <t>OrderConfirmationScreen</t>
        </is>
      </c>
      <c r="C287" s="12" t="inlineStr">
        <is>
          <t>Selenium Web UI Testing</t>
        </is>
      </c>
      <c r="D287" s="12" t="inlineStr">
        <is>
          <t>Arabic Right-to-Left (RTL) Layout on Order Confirmation &amp; Receipt Screen</t>
        </is>
      </c>
      <c r="E287" s="12" t="inlineStr">
        <is>
          <t>1. Launch test runner in Staging / Web Chrome.
2. Navigate to Order Confirmation &amp; Receipt Screen (OrderConfirmationScreen).
3. Switch locale to Arabic (ar_SA) on OrderConfirmationScreen, inspect text direction and icon mirroring.
4. Verify expected results and log evidence.</t>
        </is>
      </c>
      <c r="F287" s="12" t="inlineStr">
        <is>
          <t>Locale: ar_SA, Target: OrderConfirmationScreen</t>
        </is>
      </c>
      <c r="G287" s="12" t="inlineStr">
        <is>
          <t>UI flips to right-to-left layout with mirrored icons and aligned text.</t>
        </is>
      </c>
      <c r="H287" s="12" t="inlineStr">
        <is>
          <t>Pending Execution</t>
        </is>
      </c>
      <c r="I287" s="13" t="inlineStr">
        <is>
          <t>Not Executed</t>
        </is>
      </c>
      <c r="J287" s="11" t="inlineStr">
        <is>
          <t>Medium</t>
        </is>
      </c>
      <c r="K287" s="11" t="inlineStr">
        <is>
          <t>Major</t>
        </is>
      </c>
      <c r="L287" s="11" t="inlineStr">
        <is>
          <t>Script Ready</t>
        </is>
      </c>
      <c r="M287" s="12" t="inlineStr">
        <is>
          <t>Staging / Web Chrome</t>
        </is>
      </c>
      <c r="N287" s="12" t="inlineStr">
        <is>
          <t>Chrome v126 / Edge v126</t>
        </is>
      </c>
      <c r="O287" s="12" t="inlineStr">
        <is>
          <t>Screen-specific baseline case for Order Confirmation &amp; Receipt Screen</t>
        </is>
      </c>
    </row>
    <row r="288" ht="36" customHeight="1">
      <c r="A288" s="11" t="inlineStr">
        <is>
          <t>TC-287</t>
        </is>
      </c>
      <c r="B288" s="12" t="inlineStr">
        <is>
          <t>OrderConfirmationScreen</t>
        </is>
      </c>
      <c r="C288" s="12" t="inlineStr">
        <is>
          <t>Selenium Web UI Testing</t>
        </is>
      </c>
      <c r="D288" s="12" t="inlineStr">
        <is>
          <t>Localization &amp; Multi-Language Switching on Order Confirmation &amp; Receipt Screen</t>
        </is>
      </c>
      <c r="E288" s="12" t="inlineStr">
        <is>
          <t>1. Launch test runner in Staging / Web Chrome.
2. Navigate to Order Confirmation &amp; Receipt Screen (OrderConfirmationScreen).
3. Toggle header language dropdown on OrderConfirmationScreen between English, Hindi, and Arabic.
4. Verify expected results and log evidence.</t>
        </is>
      </c>
      <c r="F288" s="12" t="inlineStr">
        <is>
          <t>Locales: en, hi, ar</t>
        </is>
      </c>
      <c r="G288" s="12" t="inlineStr">
        <is>
          <t>All visible text strings update to selected language instantly.</t>
        </is>
      </c>
      <c r="H288" s="12" t="inlineStr">
        <is>
          <t>Pending Execution</t>
        </is>
      </c>
      <c r="I288" s="13" t="inlineStr">
        <is>
          <t>Not Executed</t>
        </is>
      </c>
      <c r="J288" s="11" t="inlineStr">
        <is>
          <t>Medium</t>
        </is>
      </c>
      <c r="K288" s="11" t="inlineStr">
        <is>
          <t>Critical</t>
        </is>
      </c>
      <c r="L288" s="11" t="inlineStr">
        <is>
          <t>Script Ready</t>
        </is>
      </c>
      <c r="M288" s="12" t="inlineStr">
        <is>
          <t>Staging / Web Chrome</t>
        </is>
      </c>
      <c r="N288" s="12" t="inlineStr">
        <is>
          <t>Chrome v126 / Edge v126</t>
        </is>
      </c>
      <c r="O288" s="12" t="inlineStr">
        <is>
          <t>Screen-specific baseline case for Order Confirmation &amp; Receipt Screen</t>
        </is>
      </c>
    </row>
    <row r="289" ht="36" customHeight="1">
      <c r="A289" s="11" t="inlineStr">
        <is>
          <t>TC-288</t>
        </is>
      </c>
      <c r="B289" s="12" t="inlineStr">
        <is>
          <t>OrderConfirmationScreen</t>
        </is>
      </c>
      <c r="C289" s="12" t="inlineStr">
        <is>
          <t>Selenium Web UI Testing</t>
        </is>
      </c>
      <c r="D289" s="12" t="inlineStr">
        <is>
          <t>Data Table &amp; Grid State Retention on Order Confirmation &amp; Receipt Screen</t>
        </is>
      </c>
      <c r="E289" s="12" t="inlineStr">
        <is>
          <t>1. Launch test runner in Staging / Web Chrome.
2. Navigate to Order Confirmation &amp; Receipt Screen (OrderConfirmationScreen).
3. Interact with data filters or state controls on OrderConfirmationScreen, navigate away and return.
4. Verify expected results and log evidence.</t>
        </is>
      </c>
      <c r="F289" s="12" t="inlineStr">
        <is>
          <t>State Payload: OrderConfirmationScreen_filter</t>
        </is>
      </c>
      <c r="G289" s="12" t="inlineStr">
        <is>
          <t>Screen preserves applied filter state without unexpected reset.</t>
        </is>
      </c>
      <c r="H289" s="12" t="inlineStr">
        <is>
          <t>Pending Execution</t>
        </is>
      </c>
      <c r="I289" s="13" t="inlineStr">
        <is>
          <t>Not Executed</t>
        </is>
      </c>
      <c r="J289" s="11" t="inlineStr">
        <is>
          <t>High</t>
        </is>
      </c>
      <c r="K289" s="11" t="inlineStr">
        <is>
          <t>Major</t>
        </is>
      </c>
      <c r="L289" s="11" t="inlineStr">
        <is>
          <t>Script Ready</t>
        </is>
      </c>
      <c r="M289" s="12" t="inlineStr">
        <is>
          <t>Staging / Web Chrome</t>
        </is>
      </c>
      <c r="N289" s="12" t="inlineStr">
        <is>
          <t>Chrome v126 / Edge v126</t>
        </is>
      </c>
      <c r="O289" s="12" t="inlineStr">
        <is>
          <t>Screen-specific baseline case for Order Confirmation &amp; Receipt Screen</t>
        </is>
      </c>
    </row>
    <row r="290" ht="36" customHeight="1">
      <c r="A290" s="11" t="inlineStr">
        <is>
          <t>TC-289</t>
        </is>
      </c>
      <c r="B290" s="12" t="inlineStr">
        <is>
          <t>OrderConfirmationScreen</t>
        </is>
      </c>
      <c r="C290" s="12" t="inlineStr">
        <is>
          <t>Selenium Web UI Testing</t>
        </is>
      </c>
      <c r="D290" s="12" t="inlineStr">
        <is>
          <t>Modal Backdrop &amp; Keyboard Escape on Order Confirmation &amp; Receipt Screen</t>
        </is>
      </c>
      <c r="E290" s="12" t="inlineStr">
        <is>
          <t>1. Launch test runner in Staging / Web Chrome.
2. Navigate to Order Confirmation &amp; Receipt Screen (OrderConfirmationScreen).
3. Trigger pop-up dialog/modal on OrderConfirmationScreen, press Escape key to dismiss.
4. Verify expected results and log evidence.</t>
        </is>
      </c>
      <c r="F290" s="12" t="inlineStr">
        <is>
          <t>Modal Target: OrderConfirmationScreen</t>
        </is>
      </c>
      <c r="G290" s="12" t="inlineStr">
        <is>
          <t>Modal closes smoothly and returns focus to parent container.</t>
        </is>
      </c>
      <c r="H290" s="12" t="inlineStr">
        <is>
          <t>Pending Execution</t>
        </is>
      </c>
      <c r="I290" s="13" t="inlineStr">
        <is>
          <t>Not Executed</t>
        </is>
      </c>
      <c r="J290" s="11" t="inlineStr">
        <is>
          <t>Medium</t>
        </is>
      </c>
      <c r="K290" s="11" t="inlineStr">
        <is>
          <t>Moderate</t>
        </is>
      </c>
      <c r="L290" s="11" t="inlineStr">
        <is>
          <t>Script Ready</t>
        </is>
      </c>
      <c r="M290" s="12" t="inlineStr">
        <is>
          <t>Staging / Web Chrome</t>
        </is>
      </c>
      <c r="N290" s="12" t="inlineStr">
        <is>
          <t>Chrome v126 / Edge v126</t>
        </is>
      </c>
      <c r="O290" s="12" t="inlineStr">
        <is>
          <t>Screen-specific baseline case for Order Confirmation &amp; Receipt Screen</t>
        </is>
      </c>
    </row>
    <row r="291" ht="36" customHeight="1">
      <c r="A291" s="11" t="inlineStr">
        <is>
          <t>TC-290</t>
        </is>
      </c>
      <c r="B291" s="12" t="inlineStr">
        <is>
          <t>OrderConfirmationScreen</t>
        </is>
      </c>
      <c r="C291" s="12" t="inlineStr">
        <is>
          <t>Selenium Web UI Testing</t>
        </is>
      </c>
      <c r="D291" s="12" t="inlineStr">
        <is>
          <t>Network Failure UI Fallback on Order Confirmation &amp; Receipt Screen</t>
        </is>
      </c>
      <c r="E291" s="12" t="inlineStr">
        <is>
          <t>1. Launch test runner in Staging / Web Chrome.
2. Navigate to Order Confirmation &amp; Receipt Screen (OrderConfirmationScreen).
3. Throttled network to offline mode while viewing OrderConfirmationScreen, attempt UI interaction.
4. Verify expected results and log evidence.</t>
        </is>
      </c>
      <c r="F291" s="12" t="inlineStr">
        <is>
          <t>Network: Offline, Target: OrderConfirmationScreen</t>
        </is>
      </c>
      <c r="G291" s="12" t="inlineStr">
        <is>
          <t>User-friendly offline banner appears with retry button.</t>
        </is>
      </c>
      <c r="H291" s="12" t="inlineStr">
        <is>
          <t>Pending Execution</t>
        </is>
      </c>
      <c r="I291" s="13" t="inlineStr">
        <is>
          <t>Not Executed</t>
        </is>
      </c>
      <c r="J291" s="11" t="inlineStr">
        <is>
          <t>Low</t>
        </is>
      </c>
      <c r="K291" s="11" t="inlineStr">
        <is>
          <t>Major</t>
        </is>
      </c>
      <c r="L291" s="11" t="inlineStr">
        <is>
          <t>Script Ready</t>
        </is>
      </c>
      <c r="M291" s="12" t="inlineStr">
        <is>
          <t>Staging / Web Chrome</t>
        </is>
      </c>
      <c r="N291" s="12" t="inlineStr">
        <is>
          <t>Chrome v126 / Edge v126</t>
        </is>
      </c>
      <c r="O291" s="12" t="inlineStr">
        <is>
          <t>Screen-specific baseline case for Order Confirmation &amp; Receipt Screen</t>
        </is>
      </c>
    </row>
    <row r="292" ht="36" customHeight="1">
      <c r="A292" s="11" t="inlineStr">
        <is>
          <t>TC-291</t>
        </is>
      </c>
      <c r="B292" s="12" t="inlineStr">
        <is>
          <t>MyOrdersScreen</t>
        </is>
      </c>
      <c r="C292" s="12" t="inlineStr">
        <is>
          <t>Selenium Web UI Testing</t>
        </is>
      </c>
      <c r="D292" s="12" t="inlineStr">
        <is>
          <t>Positive Web UI Layout on My Orders Stepper &amp; History Screen</t>
        </is>
      </c>
      <c r="E292" s="12" t="inlineStr">
        <is>
          <t>1. Launch test runner in Staging / Web Chrome.
2. Navigate to My Orders Stepper &amp; History Screen (MyOrdersScreen).
3. Launch browser, navigate to MyOrdersScreen, verify grid container alignment and responsive element scaling.
4. Verify expected results and log evidence.</t>
        </is>
      </c>
      <c r="F292" s="12" t="inlineStr">
        <is>
          <t>Viewport: 1920x1080, Screen: MyOrdersScreen</t>
        </is>
      </c>
      <c r="G292" s="12" t="inlineStr">
        <is>
          <t>UI components align cleanly without scrollbar clipping or overflow.</t>
        </is>
      </c>
      <c r="H292" s="12" t="inlineStr">
        <is>
          <t>Pending Execution</t>
        </is>
      </c>
      <c r="I292" s="13" t="inlineStr">
        <is>
          <t>Not Executed</t>
        </is>
      </c>
      <c r="J292" s="11" t="inlineStr">
        <is>
          <t>High</t>
        </is>
      </c>
      <c r="K292" s="11" t="inlineStr">
        <is>
          <t>Moderate</t>
        </is>
      </c>
      <c r="L292" s="11" t="inlineStr">
        <is>
          <t>Script Ready</t>
        </is>
      </c>
      <c r="M292" s="12" t="inlineStr">
        <is>
          <t>Staging / Web Chrome</t>
        </is>
      </c>
      <c r="N292" s="12" t="inlineStr">
        <is>
          <t>Chrome v126 / Edge v126</t>
        </is>
      </c>
      <c r="O292" s="12" t="inlineStr">
        <is>
          <t>Screen-specific baseline case for My Orders Stepper &amp; History Screen</t>
        </is>
      </c>
    </row>
    <row r="293" ht="36" customHeight="1">
      <c r="A293" s="11" t="inlineStr">
        <is>
          <t>TC-292</t>
        </is>
      </c>
      <c r="B293" s="12" t="inlineStr">
        <is>
          <t>MyOrdersScreen</t>
        </is>
      </c>
      <c r="C293" s="12" t="inlineStr">
        <is>
          <t>Selenium Web UI Testing</t>
        </is>
      </c>
      <c r="D293" s="12" t="inlineStr">
        <is>
          <t>Negative Input Form Validation on My Orders Stepper &amp; History Screen</t>
        </is>
      </c>
      <c r="E293" s="12" t="inlineStr">
        <is>
          <t>1. Launch test runner in Staging / Web Chrome.
2. Navigate to My Orders Stepper &amp; History Screen (MyOrdersScreen).
3. Focus input controls on MyOrdersScreen, enter out-of-bound strings, trigger blur event.
4. Verify expected results and log evidence.</t>
        </is>
      </c>
      <c r="F293" s="12" t="inlineStr">
        <is>
          <t>Input: invalid_string, Screen: MyOrdersScreen</t>
        </is>
      </c>
      <c r="G293" s="12" t="inlineStr">
        <is>
          <t>Validation badge displays accessible aria error message.</t>
        </is>
      </c>
      <c r="H293" s="12" t="inlineStr">
        <is>
          <t>Pending Execution</t>
        </is>
      </c>
      <c r="I293" s="13" t="inlineStr">
        <is>
          <t>Not Executed</t>
        </is>
      </c>
      <c r="J293" s="11" t="inlineStr">
        <is>
          <t>Medium</t>
        </is>
      </c>
      <c r="K293" s="11" t="inlineStr">
        <is>
          <t>Major</t>
        </is>
      </c>
      <c r="L293" s="11" t="inlineStr">
        <is>
          <t>Script Ready</t>
        </is>
      </c>
      <c r="M293" s="12" t="inlineStr">
        <is>
          <t>Staging / Web Chrome</t>
        </is>
      </c>
      <c r="N293" s="12" t="inlineStr">
        <is>
          <t>Chrome v126 / Edge v126</t>
        </is>
      </c>
      <c r="O293" s="12" t="inlineStr">
        <is>
          <t>Screen-specific baseline case for My Orders Stepper &amp; History Screen</t>
        </is>
      </c>
    </row>
    <row r="294" ht="36" customHeight="1">
      <c r="A294" s="11" t="inlineStr">
        <is>
          <t>TC-293</t>
        </is>
      </c>
      <c r="B294" s="12" t="inlineStr">
        <is>
          <t>MyOrdersScreen</t>
        </is>
      </c>
      <c r="C294" s="12" t="inlineStr">
        <is>
          <t>Selenium Web UI Testing</t>
        </is>
      </c>
      <c r="D294" s="12" t="inlineStr">
        <is>
          <t>Boundary Viewport Responsiveness on My Orders Stepper &amp; History Screen</t>
        </is>
      </c>
      <c r="E294" s="12" t="inlineStr">
        <is>
          <t>1. Launch test runner in Staging / Web Chrome.
2. Navigate to My Orders Stepper &amp; History Screen (MyOrdersScreen).
3. Resize web browser window from 320px mobile breakpoint up to 4K desktop width.
4. Verify expected results and log evidence.</t>
        </is>
      </c>
      <c r="F294" s="12" t="inlineStr">
        <is>
          <t>Breakpoint Widths: [320, 768, 1024, 1440, 3840]</t>
        </is>
      </c>
      <c r="G294" s="12" t="inlineStr">
        <is>
          <t>Layout adapts responsively without overlapping UI text nodes.</t>
        </is>
      </c>
      <c r="H294" s="12" t="inlineStr">
        <is>
          <t>Pending Execution</t>
        </is>
      </c>
      <c r="I294" s="13" t="inlineStr">
        <is>
          <t>Not Executed</t>
        </is>
      </c>
      <c r="J294" s="11" t="inlineStr">
        <is>
          <t>Medium</t>
        </is>
      </c>
      <c r="K294" s="11" t="inlineStr">
        <is>
          <t>Moderate</t>
        </is>
      </c>
      <c r="L294" s="11" t="inlineStr">
        <is>
          <t>Script Ready</t>
        </is>
      </c>
      <c r="M294" s="12" t="inlineStr">
        <is>
          <t>Staging / Web Chrome</t>
        </is>
      </c>
      <c r="N294" s="12" t="inlineStr">
        <is>
          <t>Chrome v126 / Edge v126</t>
        </is>
      </c>
      <c r="O294" s="12" t="inlineStr">
        <is>
          <t>Screen-specific baseline case for My Orders Stepper &amp; History Screen</t>
        </is>
      </c>
    </row>
    <row r="295" ht="36" customHeight="1">
      <c r="A295" s="11" t="inlineStr">
        <is>
          <t>TC-294</t>
        </is>
      </c>
      <c r="B295" s="12" t="inlineStr">
        <is>
          <t>MyOrdersScreen</t>
        </is>
      </c>
      <c r="C295" s="12" t="inlineStr">
        <is>
          <t>Selenium Web UI Testing</t>
        </is>
      </c>
      <c r="D295" s="12" t="inlineStr">
        <is>
          <t>Interactive Hover &amp; Focus Traversal on My Orders Stepper &amp; History Screen</t>
        </is>
      </c>
      <c r="E295" s="12" t="inlineStr">
        <is>
          <t>1. Launch test runner in Staging / Web Chrome.
2. Navigate to My Orders Stepper &amp; History Screen (MyOrdersScreen).
3. Tab through interactive focusable nodes on MyOrdersScreen, hover cursor over CTA buttons.
4. Verify expected results and log evidence.</t>
        </is>
      </c>
      <c r="F295" s="12" t="inlineStr">
        <is>
          <t>Key Navigation: TAB, Hover target: MyOrdersScreen</t>
        </is>
      </c>
      <c r="G295" s="12" t="inlineStr">
        <is>
          <t>Focus ring highlights elements in logical DOM tab order.</t>
        </is>
      </c>
      <c r="H295" s="12" t="inlineStr">
        <is>
          <t>Pending Execution</t>
        </is>
      </c>
      <c r="I295" s="13" t="inlineStr">
        <is>
          <t>Not Executed</t>
        </is>
      </c>
      <c r="J295" s="11" t="inlineStr">
        <is>
          <t>High</t>
        </is>
      </c>
      <c r="K295" s="11" t="inlineStr">
        <is>
          <t>Critical</t>
        </is>
      </c>
      <c r="L295" s="11" t="inlineStr">
        <is>
          <t>Script Ready</t>
        </is>
      </c>
      <c r="M295" s="12" t="inlineStr">
        <is>
          <t>Staging / Web Chrome</t>
        </is>
      </c>
      <c r="N295" s="12" t="inlineStr">
        <is>
          <t>Chrome v126 / Edge v126</t>
        </is>
      </c>
      <c r="O295" s="12" t="inlineStr">
        <is>
          <t>Screen-specific baseline case for My Orders Stepper &amp; History Screen</t>
        </is>
      </c>
    </row>
    <row r="296" ht="36" customHeight="1">
      <c r="A296" s="11" t="inlineStr">
        <is>
          <t>TC-295</t>
        </is>
      </c>
      <c r="B296" s="12" t="inlineStr">
        <is>
          <t>MyOrdersScreen</t>
        </is>
      </c>
      <c r="C296" s="12" t="inlineStr">
        <is>
          <t>Selenium Web UI Testing</t>
        </is>
      </c>
      <c r="D296" s="12" t="inlineStr">
        <is>
          <t>Cross-Browser Rendering Parity on My Orders Stepper &amp; History Screen</t>
        </is>
      </c>
      <c r="E296" s="12" t="inlineStr">
        <is>
          <t>1. Launch test runner in Staging / Web Chrome.
2. Navigate to My Orders Stepper &amp; History Screen (MyOrdersScreen).
3. Execute UI test suite for MyOrdersScreen across Chrome, Firefox, Safari, and Edge.
4. Verify expected results and log evidence.</t>
        </is>
      </c>
      <c r="F296" s="12" t="inlineStr">
        <is>
          <t>Browsers: Chrome, Firefox, Safari, Edge</t>
        </is>
      </c>
      <c r="G296" s="12" t="inlineStr">
        <is>
          <t>DOM element styles render identically with zero CSS misalignment.</t>
        </is>
      </c>
      <c r="H296" s="12" t="inlineStr">
        <is>
          <t>Pending Execution</t>
        </is>
      </c>
      <c r="I296" s="13" t="inlineStr">
        <is>
          <t>Not Executed</t>
        </is>
      </c>
      <c r="J296" s="11" t="inlineStr">
        <is>
          <t>Low</t>
        </is>
      </c>
      <c r="K296" s="11" t="inlineStr">
        <is>
          <t>Moderate</t>
        </is>
      </c>
      <c r="L296" s="11" t="inlineStr">
        <is>
          <t>Script Ready</t>
        </is>
      </c>
      <c r="M296" s="12" t="inlineStr">
        <is>
          <t>Staging / Web Chrome</t>
        </is>
      </c>
      <c r="N296" s="12" t="inlineStr">
        <is>
          <t>Chrome v126 / Edge v126</t>
        </is>
      </c>
      <c r="O296" s="12" t="inlineStr">
        <is>
          <t>Screen-specific baseline case for My Orders Stepper &amp; History Screen</t>
        </is>
      </c>
    </row>
    <row r="297" ht="36" customHeight="1">
      <c r="A297" s="11" t="inlineStr">
        <is>
          <t>TC-296</t>
        </is>
      </c>
      <c r="B297" s="12" t="inlineStr">
        <is>
          <t>MyOrdersScreen</t>
        </is>
      </c>
      <c r="C297" s="12" t="inlineStr">
        <is>
          <t>Selenium Web UI Testing</t>
        </is>
      </c>
      <c r="D297" s="12" t="inlineStr">
        <is>
          <t>Arabic Right-to-Left (RTL) Layout on My Orders Stepper &amp; History Screen</t>
        </is>
      </c>
      <c r="E297" s="12" t="inlineStr">
        <is>
          <t>1. Launch test runner in Staging / Web Chrome.
2. Navigate to My Orders Stepper &amp; History Screen (MyOrdersScreen).
3. Switch locale to Arabic (ar_SA) on MyOrdersScreen, inspect text direction and icon mirroring.
4. Verify expected results and log evidence.</t>
        </is>
      </c>
      <c r="F297" s="12" t="inlineStr">
        <is>
          <t>Locale: ar_SA, Target: MyOrdersScreen</t>
        </is>
      </c>
      <c r="G297" s="12" t="inlineStr">
        <is>
          <t>UI flips to right-to-left layout with mirrored icons and aligned text.</t>
        </is>
      </c>
      <c r="H297" s="12" t="inlineStr">
        <is>
          <t>Pending Execution</t>
        </is>
      </c>
      <c r="I297" s="13" t="inlineStr">
        <is>
          <t>Not Executed</t>
        </is>
      </c>
      <c r="J297" s="11" t="inlineStr">
        <is>
          <t>Medium</t>
        </is>
      </c>
      <c r="K297" s="11" t="inlineStr">
        <is>
          <t>Major</t>
        </is>
      </c>
      <c r="L297" s="11" t="inlineStr">
        <is>
          <t>Script Ready</t>
        </is>
      </c>
      <c r="M297" s="12" t="inlineStr">
        <is>
          <t>Staging / Web Chrome</t>
        </is>
      </c>
      <c r="N297" s="12" t="inlineStr">
        <is>
          <t>Chrome v126 / Edge v126</t>
        </is>
      </c>
      <c r="O297" s="12" t="inlineStr">
        <is>
          <t>Screen-specific baseline case for My Orders Stepper &amp; History Screen</t>
        </is>
      </c>
    </row>
    <row r="298" ht="36" customHeight="1">
      <c r="A298" s="11" t="inlineStr">
        <is>
          <t>TC-297</t>
        </is>
      </c>
      <c r="B298" s="12" t="inlineStr">
        <is>
          <t>MyOrdersScreen</t>
        </is>
      </c>
      <c r="C298" s="12" t="inlineStr">
        <is>
          <t>Selenium Web UI Testing</t>
        </is>
      </c>
      <c r="D298" s="12" t="inlineStr">
        <is>
          <t>Localization &amp; Multi-Language Switching on My Orders Stepper &amp; History Screen</t>
        </is>
      </c>
      <c r="E298" s="12" t="inlineStr">
        <is>
          <t>1. Launch test runner in Staging / Web Chrome.
2. Navigate to My Orders Stepper &amp; History Screen (MyOrdersScreen).
3. Toggle header language dropdown on MyOrdersScreen between English, Hindi, and Arabic.
4. Verify expected results and log evidence.</t>
        </is>
      </c>
      <c r="F298" s="12" t="inlineStr">
        <is>
          <t>Locales: en, hi, ar</t>
        </is>
      </c>
      <c r="G298" s="12" t="inlineStr">
        <is>
          <t>All visible text strings update to selected language instantly.</t>
        </is>
      </c>
      <c r="H298" s="12" t="inlineStr">
        <is>
          <t>Pending Execution</t>
        </is>
      </c>
      <c r="I298" s="13" t="inlineStr">
        <is>
          <t>Not Executed</t>
        </is>
      </c>
      <c r="J298" s="11" t="inlineStr">
        <is>
          <t>High</t>
        </is>
      </c>
      <c r="K298" s="11" t="inlineStr">
        <is>
          <t>Moderate</t>
        </is>
      </c>
      <c r="L298" s="11" t="inlineStr">
        <is>
          <t>Script Ready</t>
        </is>
      </c>
      <c r="M298" s="12" t="inlineStr">
        <is>
          <t>Staging / Web Chrome</t>
        </is>
      </c>
      <c r="N298" s="12" t="inlineStr">
        <is>
          <t>Chrome v126 / Edge v126</t>
        </is>
      </c>
      <c r="O298" s="12" t="inlineStr">
        <is>
          <t>Screen-specific baseline case for My Orders Stepper &amp; History Screen</t>
        </is>
      </c>
    </row>
    <row r="299" ht="36" customHeight="1">
      <c r="A299" s="11" t="inlineStr">
        <is>
          <t>TC-298</t>
        </is>
      </c>
      <c r="B299" s="12" t="inlineStr">
        <is>
          <t>MyOrdersScreen</t>
        </is>
      </c>
      <c r="C299" s="12" t="inlineStr">
        <is>
          <t>Selenium Web UI Testing</t>
        </is>
      </c>
      <c r="D299" s="12" t="inlineStr">
        <is>
          <t>Data Table &amp; Grid State Retention on My Orders Stepper &amp; History Screen</t>
        </is>
      </c>
      <c r="E299" s="12" t="inlineStr">
        <is>
          <t>1. Launch test runner in Staging / Web Chrome.
2. Navigate to My Orders Stepper &amp; History Screen (MyOrdersScreen).
3. Interact with data filters or state controls on MyOrdersScreen, navigate away and return.
4. Verify expected results and log evidence.</t>
        </is>
      </c>
      <c r="F299" s="12" t="inlineStr">
        <is>
          <t>State Payload: MyOrdersScreen_filter</t>
        </is>
      </c>
      <c r="G299" s="12" t="inlineStr">
        <is>
          <t>Screen preserves applied filter state without unexpected reset.</t>
        </is>
      </c>
      <c r="H299" s="12" t="inlineStr">
        <is>
          <t>Pending Execution</t>
        </is>
      </c>
      <c r="I299" s="13" t="inlineStr">
        <is>
          <t>Not Executed</t>
        </is>
      </c>
      <c r="J299" s="11" t="inlineStr">
        <is>
          <t>Medium</t>
        </is>
      </c>
      <c r="K299" s="11" t="inlineStr">
        <is>
          <t>Major</t>
        </is>
      </c>
      <c r="L299" s="11" t="inlineStr">
        <is>
          <t>Script Ready</t>
        </is>
      </c>
      <c r="M299" s="12" t="inlineStr">
        <is>
          <t>Staging / Web Chrome</t>
        </is>
      </c>
      <c r="N299" s="12" t="inlineStr">
        <is>
          <t>Chrome v126 / Edge v126</t>
        </is>
      </c>
      <c r="O299" s="12" t="inlineStr">
        <is>
          <t>Screen-specific baseline case for My Orders Stepper &amp; History Screen</t>
        </is>
      </c>
    </row>
    <row r="300" ht="36" customHeight="1">
      <c r="A300" s="11" t="inlineStr">
        <is>
          <t>TC-299</t>
        </is>
      </c>
      <c r="B300" s="12" t="inlineStr">
        <is>
          <t>MyOrdersScreen</t>
        </is>
      </c>
      <c r="C300" s="12" t="inlineStr">
        <is>
          <t>Selenium Web UI Testing</t>
        </is>
      </c>
      <c r="D300" s="12" t="inlineStr">
        <is>
          <t>Modal Backdrop &amp; Keyboard Escape on My Orders Stepper &amp; History Screen</t>
        </is>
      </c>
      <c r="E300" s="12" t="inlineStr">
        <is>
          <t>1. Launch test runner in Staging / Web Chrome.
2. Navigate to My Orders Stepper &amp; History Screen (MyOrdersScreen).
3. Trigger pop-up dialog/modal on MyOrdersScreen, press Escape key to dismiss.
4. Verify expected results and log evidence.</t>
        </is>
      </c>
      <c r="F300" s="12" t="inlineStr">
        <is>
          <t>Modal Target: MyOrdersScreen</t>
        </is>
      </c>
      <c r="G300" s="12" t="inlineStr">
        <is>
          <t>Modal closes smoothly and returns focus to parent container.</t>
        </is>
      </c>
      <c r="H300" s="12" t="inlineStr">
        <is>
          <t>Pending Execution</t>
        </is>
      </c>
      <c r="I300" s="13" t="inlineStr">
        <is>
          <t>Not Executed</t>
        </is>
      </c>
      <c r="J300" s="11" t="inlineStr">
        <is>
          <t>Medium</t>
        </is>
      </c>
      <c r="K300" s="11" t="inlineStr">
        <is>
          <t>Moderate</t>
        </is>
      </c>
      <c r="L300" s="11" t="inlineStr">
        <is>
          <t>Script Ready</t>
        </is>
      </c>
      <c r="M300" s="12" t="inlineStr">
        <is>
          <t>Staging / Web Chrome</t>
        </is>
      </c>
      <c r="N300" s="12" t="inlineStr">
        <is>
          <t>Chrome v126 / Edge v126</t>
        </is>
      </c>
      <c r="O300" s="12" t="inlineStr">
        <is>
          <t>Screen-specific baseline case for My Orders Stepper &amp; History Screen</t>
        </is>
      </c>
    </row>
    <row r="301" ht="36" customHeight="1">
      <c r="A301" s="11" t="inlineStr">
        <is>
          <t>TC-300</t>
        </is>
      </c>
      <c r="B301" s="12" t="inlineStr">
        <is>
          <t>MyOrdersScreen</t>
        </is>
      </c>
      <c r="C301" s="12" t="inlineStr">
        <is>
          <t>Selenium Web UI Testing</t>
        </is>
      </c>
      <c r="D301" s="12" t="inlineStr">
        <is>
          <t>Network Failure UI Fallback on My Orders Stepper &amp; History Screen</t>
        </is>
      </c>
      <c r="E301" s="12" t="inlineStr">
        <is>
          <t>1. Launch test runner in Staging / Web Chrome.
2. Navigate to My Orders Stepper &amp; History Screen (MyOrdersScreen).
3. Throttled network to offline mode while viewing MyOrdersScreen, attempt UI interaction.
4. Verify expected results and log evidence.</t>
        </is>
      </c>
      <c r="F301" s="12" t="inlineStr">
        <is>
          <t>Network: Offline, Target: MyOrdersScreen</t>
        </is>
      </c>
      <c r="G301" s="12" t="inlineStr">
        <is>
          <t>User-friendly offline banner appears with retry button.</t>
        </is>
      </c>
      <c r="H301" s="12" t="inlineStr">
        <is>
          <t>Pending Execution</t>
        </is>
      </c>
      <c r="I301" s="13" t="inlineStr">
        <is>
          <t>Not Executed</t>
        </is>
      </c>
      <c r="J301" s="11" t="inlineStr">
        <is>
          <t>High</t>
        </is>
      </c>
      <c r="K301" s="11" t="inlineStr">
        <is>
          <t>Major</t>
        </is>
      </c>
      <c r="L301" s="11" t="inlineStr">
        <is>
          <t>Script Ready</t>
        </is>
      </c>
      <c r="M301" s="12" t="inlineStr">
        <is>
          <t>Staging / Web Chrome</t>
        </is>
      </c>
      <c r="N301" s="12" t="inlineStr">
        <is>
          <t>Chrome v126 / Edge v126</t>
        </is>
      </c>
      <c r="O301" s="12" t="inlineStr">
        <is>
          <t>Screen-specific baseline case for My Orders Stepper &amp; History Screen</t>
        </is>
      </c>
    </row>
    <row r="302" ht="36" customHeight="1">
      <c r="A302" s="11" t="inlineStr">
        <is>
          <t>TC-301</t>
        </is>
      </c>
      <c r="B302" s="12" t="inlineStr">
        <is>
          <t>OrderTrackingTimeline</t>
        </is>
      </c>
      <c r="C302" s="12" t="inlineStr">
        <is>
          <t>Selenium Web UI Testing</t>
        </is>
      </c>
      <c r="D302" s="12" t="inlineStr">
        <is>
          <t>Positive Web UI Layout on Live Order Tracking &amp; Stepper Timeline</t>
        </is>
      </c>
      <c r="E302" s="12" t="inlineStr">
        <is>
          <t>1. Launch test runner in Staging / Web Chrome.
2. Navigate to Live Order Tracking &amp; Stepper Timeline (OrderTrackingTimeline).
3. Launch browser, navigate to OrderTrackingTimeline, verify grid container alignment and responsive element scaling.
4. Verify expected results and log evidence.</t>
        </is>
      </c>
      <c r="F302" s="12" t="inlineStr">
        <is>
          <t>Viewport: 1920x1080, Screen: OrderTrackingTimeline</t>
        </is>
      </c>
      <c r="G302" s="12" t="inlineStr">
        <is>
          <t>UI components align cleanly without scrollbar clipping or overflow.</t>
        </is>
      </c>
      <c r="H302" s="12" t="inlineStr">
        <is>
          <t>Pending Execution</t>
        </is>
      </c>
      <c r="I302" s="13" t="inlineStr">
        <is>
          <t>Not Executed</t>
        </is>
      </c>
      <c r="J302" s="11" t="inlineStr">
        <is>
          <t>Medium</t>
        </is>
      </c>
      <c r="K302" s="11" t="inlineStr">
        <is>
          <t>Critical</t>
        </is>
      </c>
      <c r="L302" s="11" t="inlineStr">
        <is>
          <t>Script Ready</t>
        </is>
      </c>
      <c r="M302" s="12" t="inlineStr">
        <is>
          <t>Staging / Web Chrome</t>
        </is>
      </c>
      <c r="N302" s="12" t="inlineStr">
        <is>
          <t>Chrome v126 / Edge v126</t>
        </is>
      </c>
      <c r="O302" s="12" t="inlineStr">
        <is>
          <t>Screen-specific baseline case for Live Order Tracking &amp; Stepper Timeline</t>
        </is>
      </c>
    </row>
    <row r="303" ht="36" customHeight="1">
      <c r="A303" s="11" t="inlineStr">
        <is>
          <t>TC-302</t>
        </is>
      </c>
      <c r="B303" s="12" t="inlineStr">
        <is>
          <t>OrderTrackingTimeline</t>
        </is>
      </c>
      <c r="C303" s="12" t="inlineStr">
        <is>
          <t>Selenium Web UI Testing</t>
        </is>
      </c>
      <c r="D303" s="12" t="inlineStr">
        <is>
          <t>Negative Input Form Validation on Live Order Tracking &amp; Stepper Timeline</t>
        </is>
      </c>
      <c r="E303" s="12" t="inlineStr">
        <is>
          <t>1. Launch test runner in Staging / Web Chrome.
2. Navigate to Live Order Tracking &amp; Stepper Timeline (OrderTrackingTimeline).
3. Focus input controls on OrderTrackingTimeline, enter out-of-bound strings, trigger blur event.
4. Verify expected results and log evidence.</t>
        </is>
      </c>
      <c r="F303" s="12" t="inlineStr">
        <is>
          <t>Input: invalid_string, Screen: OrderTrackingTimeline</t>
        </is>
      </c>
      <c r="G303" s="12" t="inlineStr">
        <is>
          <t>Validation badge displays accessible aria error message.</t>
        </is>
      </c>
      <c r="H303" s="12" t="inlineStr">
        <is>
          <t>Pending Execution</t>
        </is>
      </c>
      <c r="I303" s="13" t="inlineStr">
        <is>
          <t>Not Executed</t>
        </is>
      </c>
      <c r="J303" s="11" t="inlineStr">
        <is>
          <t>Medium</t>
        </is>
      </c>
      <c r="K303" s="11" t="inlineStr">
        <is>
          <t>Major</t>
        </is>
      </c>
      <c r="L303" s="11" t="inlineStr">
        <is>
          <t>Script Ready</t>
        </is>
      </c>
      <c r="M303" s="12" t="inlineStr">
        <is>
          <t>Staging / Web Chrome</t>
        </is>
      </c>
      <c r="N303" s="12" t="inlineStr">
        <is>
          <t>Chrome v126 / Edge v126</t>
        </is>
      </c>
      <c r="O303" s="12" t="inlineStr">
        <is>
          <t>Screen-specific baseline case for Live Order Tracking &amp; Stepper Timeline</t>
        </is>
      </c>
    </row>
    <row r="304" ht="36" customHeight="1">
      <c r="A304" s="11" t="inlineStr">
        <is>
          <t>TC-303</t>
        </is>
      </c>
      <c r="B304" s="12" t="inlineStr">
        <is>
          <t>OrderTrackingTimeline</t>
        </is>
      </c>
      <c r="C304" s="12" t="inlineStr">
        <is>
          <t>Selenium Web UI Testing</t>
        </is>
      </c>
      <c r="D304" s="12" t="inlineStr">
        <is>
          <t>Boundary Viewport Responsiveness on Live Order Tracking &amp; Stepper Timeline</t>
        </is>
      </c>
      <c r="E304" s="12" t="inlineStr">
        <is>
          <t>1. Launch test runner in Staging / Web Chrome.
2. Navigate to Live Order Tracking &amp; Stepper Timeline (OrderTrackingTimeline).
3. Resize web browser window from 320px mobile breakpoint up to 4K desktop width.
4. Verify expected results and log evidence.</t>
        </is>
      </c>
      <c r="F304" s="12" t="inlineStr">
        <is>
          <t>Breakpoint Widths: [320, 768, 1024, 1440, 3840]</t>
        </is>
      </c>
      <c r="G304" s="12" t="inlineStr">
        <is>
          <t>Layout adapts responsively without overlapping UI text nodes.</t>
        </is>
      </c>
      <c r="H304" s="12" t="inlineStr">
        <is>
          <t>Pending Execution</t>
        </is>
      </c>
      <c r="I304" s="13" t="inlineStr">
        <is>
          <t>Not Executed</t>
        </is>
      </c>
      <c r="J304" s="11" t="inlineStr">
        <is>
          <t>High</t>
        </is>
      </c>
      <c r="K304" s="11" t="inlineStr">
        <is>
          <t>Moderate</t>
        </is>
      </c>
      <c r="L304" s="11" t="inlineStr">
        <is>
          <t>Script Ready</t>
        </is>
      </c>
      <c r="M304" s="12" t="inlineStr">
        <is>
          <t>Staging / Web Chrome</t>
        </is>
      </c>
      <c r="N304" s="12" t="inlineStr">
        <is>
          <t>Chrome v126 / Edge v126</t>
        </is>
      </c>
      <c r="O304" s="12" t="inlineStr">
        <is>
          <t>Screen-specific baseline case for Live Order Tracking &amp; Stepper Timeline</t>
        </is>
      </c>
    </row>
    <row r="305" ht="36" customHeight="1">
      <c r="A305" s="11" t="inlineStr">
        <is>
          <t>TC-304</t>
        </is>
      </c>
      <c r="B305" s="12" t="inlineStr">
        <is>
          <t>OrderTrackingTimeline</t>
        </is>
      </c>
      <c r="C305" s="12" t="inlineStr">
        <is>
          <t>Selenium Web UI Testing</t>
        </is>
      </c>
      <c r="D305" s="12" t="inlineStr">
        <is>
          <t>Interactive Hover &amp; Focus Traversal on Live Order Tracking &amp; Stepper Timeline</t>
        </is>
      </c>
      <c r="E305" s="12" t="inlineStr">
        <is>
          <t>1. Launch test runner in Staging / Web Chrome.
2. Navigate to Live Order Tracking &amp; Stepper Timeline (OrderTrackingTimeline).
3. Tab through interactive focusable nodes on OrderTrackingTimeline, hover cursor over CTA buttons.
4. Verify expected results and log evidence.</t>
        </is>
      </c>
      <c r="F305" s="12" t="inlineStr">
        <is>
          <t>Key Navigation: TAB, Hover target: OrderTrackingTimeline</t>
        </is>
      </c>
      <c r="G305" s="12" t="inlineStr">
        <is>
          <t>Focus ring highlights elements in logical DOM tab order.</t>
        </is>
      </c>
      <c r="H305" s="12" t="inlineStr">
        <is>
          <t>Pending Execution</t>
        </is>
      </c>
      <c r="I305" s="13" t="inlineStr">
        <is>
          <t>Not Executed</t>
        </is>
      </c>
      <c r="J305" s="11" t="inlineStr">
        <is>
          <t>Medium</t>
        </is>
      </c>
      <c r="K305" s="11" t="inlineStr">
        <is>
          <t>Major</t>
        </is>
      </c>
      <c r="L305" s="11" t="inlineStr">
        <is>
          <t>Script Ready</t>
        </is>
      </c>
      <c r="M305" s="12" t="inlineStr">
        <is>
          <t>Staging / Web Chrome</t>
        </is>
      </c>
      <c r="N305" s="12" t="inlineStr">
        <is>
          <t>Chrome v126 / Edge v126</t>
        </is>
      </c>
      <c r="O305" s="12" t="inlineStr">
        <is>
          <t>Screen-specific baseline case for Live Order Tracking &amp; Stepper Timeline</t>
        </is>
      </c>
    </row>
    <row r="306" ht="36" customHeight="1">
      <c r="A306" s="11" t="inlineStr">
        <is>
          <t>TC-305</t>
        </is>
      </c>
      <c r="B306" s="12" t="inlineStr">
        <is>
          <t>OrderTrackingTimeline</t>
        </is>
      </c>
      <c r="C306" s="12" t="inlineStr">
        <is>
          <t>Selenium Web UI Testing</t>
        </is>
      </c>
      <c r="D306" s="12" t="inlineStr">
        <is>
          <t>Cross-Browser Rendering Parity on Live Order Tracking &amp; Stepper Timeline</t>
        </is>
      </c>
      <c r="E306" s="12" t="inlineStr">
        <is>
          <t>1. Launch test runner in Staging / Web Chrome.
2. Navigate to Live Order Tracking &amp; Stepper Timeline (OrderTrackingTimeline).
3. Execute UI test suite for OrderTrackingTimeline across Chrome, Firefox, Safari, and Edge.
4. Verify expected results and log evidence.</t>
        </is>
      </c>
      <c r="F306" s="12" t="inlineStr">
        <is>
          <t>Browsers: Chrome, Firefox, Safari, Edge</t>
        </is>
      </c>
      <c r="G306" s="12" t="inlineStr">
        <is>
          <t>DOM element styles render identically with zero CSS misalignment.</t>
        </is>
      </c>
      <c r="H306" s="12" t="inlineStr">
        <is>
          <t>Pending Execution</t>
        </is>
      </c>
      <c r="I306" s="13" t="inlineStr">
        <is>
          <t>Not Executed</t>
        </is>
      </c>
      <c r="J306" s="11" t="inlineStr">
        <is>
          <t>Low</t>
        </is>
      </c>
      <c r="K306" s="11" t="inlineStr">
        <is>
          <t>Moderate</t>
        </is>
      </c>
      <c r="L306" s="11" t="inlineStr">
        <is>
          <t>Script Ready</t>
        </is>
      </c>
      <c r="M306" s="12" t="inlineStr">
        <is>
          <t>Staging / Web Chrome</t>
        </is>
      </c>
      <c r="N306" s="12" t="inlineStr">
        <is>
          <t>Chrome v126 / Edge v126</t>
        </is>
      </c>
      <c r="O306" s="12" t="inlineStr">
        <is>
          <t>Screen-specific baseline case for Live Order Tracking &amp; Stepper Timeline</t>
        </is>
      </c>
    </row>
    <row r="307" ht="36" customHeight="1">
      <c r="A307" s="11" t="inlineStr">
        <is>
          <t>TC-306</t>
        </is>
      </c>
      <c r="B307" s="12" t="inlineStr">
        <is>
          <t>OrderTrackingTimeline</t>
        </is>
      </c>
      <c r="C307" s="12" t="inlineStr">
        <is>
          <t>Selenium Web UI Testing</t>
        </is>
      </c>
      <c r="D307" s="12" t="inlineStr">
        <is>
          <t>Arabic Right-to-Left (RTL) Layout on Live Order Tracking &amp; Stepper Timeline</t>
        </is>
      </c>
      <c r="E307" s="12" t="inlineStr">
        <is>
          <t>1. Launch test runner in Staging / Web Chrome.
2. Navigate to Live Order Tracking &amp; Stepper Timeline (OrderTrackingTimeline).
3. Switch locale to Arabic (ar_SA) on OrderTrackingTimeline, inspect text direction and icon mirroring.
4. Verify expected results and log evidence.</t>
        </is>
      </c>
      <c r="F307" s="12" t="inlineStr">
        <is>
          <t>Locale: ar_SA, Target: OrderTrackingTimeline</t>
        </is>
      </c>
      <c r="G307" s="12" t="inlineStr">
        <is>
          <t>UI flips to right-to-left layout with mirrored icons and aligned text.</t>
        </is>
      </c>
      <c r="H307" s="12" t="inlineStr">
        <is>
          <t>Pending Execution</t>
        </is>
      </c>
      <c r="I307" s="13" t="inlineStr">
        <is>
          <t>Not Executed</t>
        </is>
      </c>
      <c r="J307" s="11" t="inlineStr">
        <is>
          <t>High</t>
        </is>
      </c>
      <c r="K307" s="11" t="inlineStr">
        <is>
          <t>Major</t>
        </is>
      </c>
      <c r="L307" s="11" t="inlineStr">
        <is>
          <t>Script Ready</t>
        </is>
      </c>
      <c r="M307" s="12" t="inlineStr">
        <is>
          <t>Staging / Web Chrome</t>
        </is>
      </c>
      <c r="N307" s="12" t="inlineStr">
        <is>
          <t>Chrome v126 / Edge v126</t>
        </is>
      </c>
      <c r="O307" s="12" t="inlineStr">
        <is>
          <t>Screen-specific baseline case for Live Order Tracking &amp; Stepper Timeline</t>
        </is>
      </c>
    </row>
    <row r="308" ht="36" customHeight="1">
      <c r="A308" s="11" t="inlineStr">
        <is>
          <t>TC-307</t>
        </is>
      </c>
      <c r="B308" s="12" t="inlineStr">
        <is>
          <t>OrderTrackingTimeline</t>
        </is>
      </c>
      <c r="C308" s="12" t="inlineStr">
        <is>
          <t>Selenium Web UI Testing</t>
        </is>
      </c>
      <c r="D308" s="12" t="inlineStr">
        <is>
          <t>Localization &amp; Multi-Language Switching on Live Order Tracking &amp; Stepper Timeline</t>
        </is>
      </c>
      <c r="E308" s="12" t="inlineStr">
        <is>
          <t>1. Launch test runner in Staging / Web Chrome.
2. Navigate to Live Order Tracking &amp; Stepper Timeline (OrderTrackingTimeline).
3. Toggle header language dropdown on OrderTrackingTimeline between English, Hindi, and Arabic.
4. Verify expected results and log evidence.</t>
        </is>
      </c>
      <c r="F308" s="12" t="inlineStr">
        <is>
          <t>Locales: en, hi, ar</t>
        </is>
      </c>
      <c r="G308" s="12" t="inlineStr">
        <is>
          <t>All visible text strings update to selected language instantly.</t>
        </is>
      </c>
      <c r="H308" s="12" t="inlineStr">
        <is>
          <t>Pending Execution</t>
        </is>
      </c>
      <c r="I308" s="13" t="inlineStr">
        <is>
          <t>Not Executed</t>
        </is>
      </c>
      <c r="J308" s="11" t="inlineStr">
        <is>
          <t>Medium</t>
        </is>
      </c>
      <c r="K308" s="11" t="inlineStr">
        <is>
          <t>Moderate</t>
        </is>
      </c>
      <c r="L308" s="11" t="inlineStr">
        <is>
          <t>Script Ready</t>
        </is>
      </c>
      <c r="M308" s="12" t="inlineStr">
        <is>
          <t>Staging / Web Chrome</t>
        </is>
      </c>
      <c r="N308" s="12" t="inlineStr">
        <is>
          <t>Chrome v126 / Edge v126</t>
        </is>
      </c>
      <c r="O308" s="12" t="inlineStr">
        <is>
          <t>Screen-specific baseline case for Live Order Tracking &amp; Stepper Timeline</t>
        </is>
      </c>
    </row>
    <row r="309" ht="36" customHeight="1">
      <c r="A309" s="11" t="inlineStr">
        <is>
          <t>TC-308</t>
        </is>
      </c>
      <c r="B309" s="12" t="inlineStr">
        <is>
          <t>OrderTrackingTimeline</t>
        </is>
      </c>
      <c r="C309" s="12" t="inlineStr">
        <is>
          <t>Selenium Web UI Testing</t>
        </is>
      </c>
      <c r="D309" s="12" t="inlineStr">
        <is>
          <t>Data Table &amp; Grid State Retention on Live Order Tracking &amp; Stepper Timeline</t>
        </is>
      </c>
      <c r="E309" s="12" t="inlineStr">
        <is>
          <t>1. Launch test runner in Staging / Web Chrome.
2. Navigate to Live Order Tracking &amp; Stepper Timeline (OrderTrackingTimeline).
3. Interact with data filters or state controls on OrderTrackingTimeline, navigate away and return.
4. Verify expected results and log evidence.</t>
        </is>
      </c>
      <c r="F309" s="12" t="inlineStr">
        <is>
          <t>State Payload: OrderTrackingTimeline_filter</t>
        </is>
      </c>
      <c r="G309" s="12" t="inlineStr">
        <is>
          <t>Screen preserves applied filter state without unexpected reset.</t>
        </is>
      </c>
      <c r="H309" s="12" t="inlineStr">
        <is>
          <t>Pending Execution</t>
        </is>
      </c>
      <c r="I309" s="13" t="inlineStr">
        <is>
          <t>Not Executed</t>
        </is>
      </c>
      <c r="J309" s="11" t="inlineStr">
        <is>
          <t>Medium</t>
        </is>
      </c>
      <c r="K309" s="11" t="inlineStr">
        <is>
          <t>Critical</t>
        </is>
      </c>
      <c r="L309" s="11" t="inlineStr">
        <is>
          <t>Script Ready</t>
        </is>
      </c>
      <c r="M309" s="12" t="inlineStr">
        <is>
          <t>Staging / Web Chrome</t>
        </is>
      </c>
      <c r="N309" s="12" t="inlineStr">
        <is>
          <t>Chrome v126 / Edge v126</t>
        </is>
      </c>
      <c r="O309" s="12" t="inlineStr">
        <is>
          <t>Screen-specific baseline case for Live Order Tracking &amp; Stepper Timeline</t>
        </is>
      </c>
    </row>
    <row r="310" ht="36" customHeight="1">
      <c r="A310" s="11" t="inlineStr">
        <is>
          <t>TC-309</t>
        </is>
      </c>
      <c r="B310" s="12" t="inlineStr">
        <is>
          <t>OrderTrackingTimeline</t>
        </is>
      </c>
      <c r="C310" s="12" t="inlineStr">
        <is>
          <t>Selenium Web UI Testing</t>
        </is>
      </c>
      <c r="D310" s="12" t="inlineStr">
        <is>
          <t>Modal Backdrop &amp; Keyboard Escape on Live Order Tracking &amp; Stepper Timeline</t>
        </is>
      </c>
      <c r="E310" s="12" t="inlineStr">
        <is>
          <t>1. Launch test runner in Staging / Web Chrome.
2. Navigate to Live Order Tracking &amp; Stepper Timeline (OrderTrackingTimeline).
3. Trigger pop-up dialog/modal on OrderTrackingTimeline, press Escape key to dismiss.
4. Verify expected results and log evidence.</t>
        </is>
      </c>
      <c r="F310" s="12" t="inlineStr">
        <is>
          <t>Modal Target: OrderTrackingTimeline</t>
        </is>
      </c>
      <c r="G310" s="12" t="inlineStr">
        <is>
          <t>Modal closes smoothly and returns focus to parent container.</t>
        </is>
      </c>
      <c r="H310" s="12" t="inlineStr">
        <is>
          <t>Pending Execution</t>
        </is>
      </c>
      <c r="I310" s="13" t="inlineStr">
        <is>
          <t>Not Executed</t>
        </is>
      </c>
      <c r="J310" s="11" t="inlineStr">
        <is>
          <t>High</t>
        </is>
      </c>
      <c r="K310" s="11" t="inlineStr">
        <is>
          <t>Moderate</t>
        </is>
      </c>
      <c r="L310" s="11" t="inlineStr">
        <is>
          <t>Script Ready</t>
        </is>
      </c>
      <c r="M310" s="12" t="inlineStr">
        <is>
          <t>Staging / Web Chrome</t>
        </is>
      </c>
      <c r="N310" s="12" t="inlineStr">
        <is>
          <t>Chrome v126 / Edge v126</t>
        </is>
      </c>
      <c r="O310" s="12" t="inlineStr">
        <is>
          <t>Screen-specific baseline case for Live Order Tracking &amp; Stepper Timeline</t>
        </is>
      </c>
    </row>
    <row r="311" ht="36" customHeight="1">
      <c r="A311" s="11" t="inlineStr">
        <is>
          <t>TC-310</t>
        </is>
      </c>
      <c r="B311" s="12" t="inlineStr">
        <is>
          <t>OrderTrackingTimeline</t>
        </is>
      </c>
      <c r="C311" s="12" t="inlineStr">
        <is>
          <t>Selenium Web UI Testing</t>
        </is>
      </c>
      <c r="D311" s="12" t="inlineStr">
        <is>
          <t>Network Failure UI Fallback on Live Order Tracking &amp; Stepper Timeline</t>
        </is>
      </c>
      <c r="E311" s="12" t="inlineStr">
        <is>
          <t>1. Launch test runner in Staging / Web Chrome.
2. Navigate to Live Order Tracking &amp; Stepper Timeline (OrderTrackingTimeline).
3. Throttled network to offline mode while viewing OrderTrackingTimeline, attempt UI interaction.
4. Verify expected results and log evidence.</t>
        </is>
      </c>
      <c r="F311" s="12" t="inlineStr">
        <is>
          <t>Network: Offline, Target: OrderTrackingTimeline</t>
        </is>
      </c>
      <c r="G311" s="12" t="inlineStr">
        <is>
          <t>User-friendly offline banner appears with retry button.</t>
        </is>
      </c>
      <c r="H311" s="12" t="inlineStr">
        <is>
          <t>Pending Execution</t>
        </is>
      </c>
      <c r="I311" s="13" t="inlineStr">
        <is>
          <t>Not Executed</t>
        </is>
      </c>
      <c r="J311" s="11" t="inlineStr">
        <is>
          <t>Low</t>
        </is>
      </c>
      <c r="K311" s="11" t="inlineStr">
        <is>
          <t>Major</t>
        </is>
      </c>
      <c r="L311" s="11" t="inlineStr">
        <is>
          <t>Script Ready</t>
        </is>
      </c>
      <c r="M311" s="12" t="inlineStr">
        <is>
          <t>Staging / Web Chrome</t>
        </is>
      </c>
      <c r="N311" s="12" t="inlineStr">
        <is>
          <t>Chrome v126 / Edge v126</t>
        </is>
      </c>
      <c r="O311" s="12" t="inlineStr">
        <is>
          <t>Screen-specific baseline case for Live Order Tracking &amp; Stepper Timeline</t>
        </is>
      </c>
    </row>
    <row r="312" ht="36" customHeight="1">
      <c r="A312" s="11" t="inlineStr">
        <is>
          <t>TC-311</t>
        </is>
      </c>
      <c r="B312" s="12" t="inlineStr">
        <is>
          <t>ProfileTab</t>
        </is>
      </c>
      <c r="C312" s="12" t="inlineStr">
        <is>
          <t>Selenium Web UI Testing</t>
        </is>
      </c>
      <c r="D312" s="12" t="inlineStr">
        <is>
          <t>Positive Web UI Layout on User Profile &amp; Account Overview Tab</t>
        </is>
      </c>
      <c r="E312" s="12" t="inlineStr">
        <is>
          <t>1. Launch test runner in Staging / Web Chrome.
2. Navigate to User Profile &amp; Account Overview Tab (ProfileTab).
3. Launch browser, navigate to ProfileTab, verify grid container alignment and responsive element scaling.
4. Verify expected results and log evidence.</t>
        </is>
      </c>
      <c r="F312" s="12" t="inlineStr">
        <is>
          <t>Viewport: 1920x1080, Screen: ProfileTab</t>
        </is>
      </c>
      <c r="G312" s="12" t="inlineStr">
        <is>
          <t>UI components align cleanly without scrollbar clipping or overflow.</t>
        </is>
      </c>
      <c r="H312" s="12" t="inlineStr">
        <is>
          <t>Pending Execution</t>
        </is>
      </c>
      <c r="I312" s="13" t="inlineStr">
        <is>
          <t>Not Executed</t>
        </is>
      </c>
      <c r="J312" s="11" t="inlineStr">
        <is>
          <t>Medium</t>
        </is>
      </c>
      <c r="K312" s="11" t="inlineStr">
        <is>
          <t>Moderate</t>
        </is>
      </c>
      <c r="L312" s="11" t="inlineStr">
        <is>
          <t>Script Ready</t>
        </is>
      </c>
      <c r="M312" s="12" t="inlineStr">
        <is>
          <t>Staging / Web Chrome</t>
        </is>
      </c>
      <c r="N312" s="12" t="inlineStr">
        <is>
          <t>Chrome v126 / Edge v126</t>
        </is>
      </c>
      <c r="O312" s="12" t="inlineStr">
        <is>
          <t>Screen-specific baseline case for User Profile &amp; Account Overview Tab</t>
        </is>
      </c>
    </row>
    <row r="313" ht="36" customHeight="1">
      <c r="A313" s="11" t="inlineStr">
        <is>
          <t>TC-312</t>
        </is>
      </c>
      <c r="B313" s="12" t="inlineStr">
        <is>
          <t>ProfileTab</t>
        </is>
      </c>
      <c r="C313" s="12" t="inlineStr">
        <is>
          <t>Selenium Web UI Testing</t>
        </is>
      </c>
      <c r="D313" s="12" t="inlineStr">
        <is>
          <t>Negative Input Form Validation on User Profile &amp; Account Overview Tab</t>
        </is>
      </c>
      <c r="E313" s="12" t="inlineStr">
        <is>
          <t>1. Launch test runner in Staging / Web Chrome.
2. Navigate to User Profile &amp; Account Overview Tab (ProfileTab).
3. Focus input controls on ProfileTab, enter out-of-bound strings, trigger blur event.
4. Verify expected results and log evidence.</t>
        </is>
      </c>
      <c r="F313" s="12" t="inlineStr">
        <is>
          <t>Input: invalid_string, Screen: ProfileTab</t>
        </is>
      </c>
      <c r="G313" s="12" t="inlineStr">
        <is>
          <t>Validation badge displays accessible aria error message.</t>
        </is>
      </c>
      <c r="H313" s="12" t="inlineStr">
        <is>
          <t>Pending Execution</t>
        </is>
      </c>
      <c r="I313" s="13" t="inlineStr">
        <is>
          <t>Not Executed</t>
        </is>
      </c>
      <c r="J313" s="11" t="inlineStr">
        <is>
          <t>High</t>
        </is>
      </c>
      <c r="K313" s="11" t="inlineStr">
        <is>
          <t>Major</t>
        </is>
      </c>
      <c r="L313" s="11" t="inlineStr">
        <is>
          <t>Script Ready</t>
        </is>
      </c>
      <c r="M313" s="12" t="inlineStr">
        <is>
          <t>Staging / Web Chrome</t>
        </is>
      </c>
      <c r="N313" s="12" t="inlineStr">
        <is>
          <t>Chrome v126 / Edge v126</t>
        </is>
      </c>
      <c r="O313" s="12" t="inlineStr">
        <is>
          <t>Screen-specific baseline case for User Profile &amp; Account Overview Tab</t>
        </is>
      </c>
    </row>
    <row r="314" ht="36" customHeight="1">
      <c r="A314" s="11" t="inlineStr">
        <is>
          <t>TC-313</t>
        </is>
      </c>
      <c r="B314" s="12" t="inlineStr">
        <is>
          <t>ProfileTab</t>
        </is>
      </c>
      <c r="C314" s="12" t="inlineStr">
        <is>
          <t>Selenium Web UI Testing</t>
        </is>
      </c>
      <c r="D314" s="12" t="inlineStr">
        <is>
          <t>Boundary Viewport Responsiveness on User Profile &amp; Account Overview Tab</t>
        </is>
      </c>
      <c r="E314" s="12" t="inlineStr">
        <is>
          <t>1. Launch test runner in Staging / Web Chrome.
2. Navigate to User Profile &amp; Account Overview Tab (ProfileTab).
3. Resize web browser window from 320px mobile breakpoint up to 4K desktop width.
4. Verify expected results and log evidence.</t>
        </is>
      </c>
      <c r="F314" s="12" t="inlineStr">
        <is>
          <t>Breakpoint Widths: [320, 768, 1024, 1440, 3840]</t>
        </is>
      </c>
      <c r="G314" s="12" t="inlineStr">
        <is>
          <t>Layout adapts responsively without overlapping UI text nodes.</t>
        </is>
      </c>
      <c r="H314" s="12" t="inlineStr">
        <is>
          <t>Pending Execution</t>
        </is>
      </c>
      <c r="I314" s="13" t="inlineStr">
        <is>
          <t>Not Executed</t>
        </is>
      </c>
      <c r="J314" s="11" t="inlineStr">
        <is>
          <t>Medium</t>
        </is>
      </c>
      <c r="K314" s="11" t="inlineStr">
        <is>
          <t>Moderate</t>
        </is>
      </c>
      <c r="L314" s="11" t="inlineStr">
        <is>
          <t>Script Ready</t>
        </is>
      </c>
      <c r="M314" s="12" t="inlineStr">
        <is>
          <t>Staging / Web Chrome</t>
        </is>
      </c>
      <c r="N314" s="12" t="inlineStr">
        <is>
          <t>Chrome v126 / Edge v126</t>
        </is>
      </c>
      <c r="O314" s="12" t="inlineStr">
        <is>
          <t>Screen-specific baseline case for User Profile &amp; Account Overview Tab</t>
        </is>
      </c>
    </row>
    <row r="315" ht="36" customHeight="1">
      <c r="A315" s="11" t="inlineStr">
        <is>
          <t>TC-314</t>
        </is>
      </c>
      <c r="B315" s="12" t="inlineStr">
        <is>
          <t>ProfileTab</t>
        </is>
      </c>
      <c r="C315" s="12" t="inlineStr">
        <is>
          <t>Selenium Web UI Testing</t>
        </is>
      </c>
      <c r="D315" s="12" t="inlineStr">
        <is>
          <t>Interactive Hover &amp; Focus Traversal on User Profile &amp; Account Overview Tab</t>
        </is>
      </c>
      <c r="E315" s="12" t="inlineStr">
        <is>
          <t>1. Launch test runner in Staging / Web Chrome.
2. Navigate to User Profile &amp; Account Overview Tab (ProfileTab).
3. Tab through interactive focusable nodes on ProfileTab, hover cursor over CTA buttons.
4. Verify expected results and log evidence.</t>
        </is>
      </c>
      <c r="F315" s="12" t="inlineStr">
        <is>
          <t>Key Navigation: TAB, Hover target: ProfileTab</t>
        </is>
      </c>
      <c r="G315" s="12" t="inlineStr">
        <is>
          <t>Focus ring highlights elements in logical DOM tab order.</t>
        </is>
      </c>
      <c r="H315" s="12" t="inlineStr">
        <is>
          <t>Pending Execution</t>
        </is>
      </c>
      <c r="I315" s="13" t="inlineStr">
        <is>
          <t>Not Executed</t>
        </is>
      </c>
      <c r="J315" s="11" t="inlineStr">
        <is>
          <t>Medium</t>
        </is>
      </c>
      <c r="K315" s="11" t="inlineStr">
        <is>
          <t>Major</t>
        </is>
      </c>
      <c r="L315" s="11" t="inlineStr">
        <is>
          <t>Script Ready</t>
        </is>
      </c>
      <c r="M315" s="12" t="inlineStr">
        <is>
          <t>Staging / Web Chrome</t>
        </is>
      </c>
      <c r="N315" s="12" t="inlineStr">
        <is>
          <t>Chrome v126 / Edge v126</t>
        </is>
      </c>
      <c r="O315" s="12" t="inlineStr">
        <is>
          <t>Screen-specific baseline case for User Profile &amp; Account Overview Tab</t>
        </is>
      </c>
    </row>
    <row r="316" ht="36" customHeight="1">
      <c r="A316" s="11" t="inlineStr">
        <is>
          <t>TC-315</t>
        </is>
      </c>
      <c r="B316" s="12" t="inlineStr">
        <is>
          <t>ProfileTab</t>
        </is>
      </c>
      <c r="C316" s="12" t="inlineStr">
        <is>
          <t>Selenium Web UI Testing</t>
        </is>
      </c>
      <c r="D316" s="12" t="inlineStr">
        <is>
          <t>Cross-Browser Rendering Parity on User Profile &amp; Account Overview Tab</t>
        </is>
      </c>
      <c r="E316" s="12" t="inlineStr">
        <is>
          <t>1. Launch test runner in Staging / Web Chrome.
2. Navigate to User Profile &amp; Account Overview Tab (ProfileTab).
3. Execute UI test suite for ProfileTab across Chrome, Firefox, Safari, and Edge.
4. Verify expected results and log evidence.</t>
        </is>
      </c>
      <c r="F316" s="12" t="inlineStr">
        <is>
          <t>Browsers: Chrome, Firefox, Safari, Edge</t>
        </is>
      </c>
      <c r="G316" s="12" t="inlineStr">
        <is>
          <t>DOM element styles render identically with zero CSS misalignment.</t>
        </is>
      </c>
      <c r="H316" s="12" t="inlineStr">
        <is>
          <t>Pending Execution</t>
        </is>
      </c>
      <c r="I316" s="13" t="inlineStr">
        <is>
          <t>Not Executed</t>
        </is>
      </c>
      <c r="J316" s="11" t="inlineStr">
        <is>
          <t>High</t>
        </is>
      </c>
      <c r="K316" s="11" t="inlineStr">
        <is>
          <t>Critical</t>
        </is>
      </c>
      <c r="L316" s="11" t="inlineStr">
        <is>
          <t>Script Ready</t>
        </is>
      </c>
      <c r="M316" s="12" t="inlineStr">
        <is>
          <t>Staging / Web Chrome</t>
        </is>
      </c>
      <c r="N316" s="12" t="inlineStr">
        <is>
          <t>Chrome v126 / Edge v126</t>
        </is>
      </c>
      <c r="O316" s="12" t="inlineStr">
        <is>
          <t>Screen-specific baseline case for User Profile &amp; Account Overview Tab</t>
        </is>
      </c>
    </row>
    <row r="317" ht="36" customHeight="1">
      <c r="A317" s="11" t="inlineStr">
        <is>
          <t>TC-316</t>
        </is>
      </c>
      <c r="B317" s="12" t="inlineStr">
        <is>
          <t>ProfileTab</t>
        </is>
      </c>
      <c r="C317" s="12" t="inlineStr">
        <is>
          <t>Selenium Web UI Testing</t>
        </is>
      </c>
      <c r="D317" s="12" t="inlineStr">
        <is>
          <t>Arabic Right-to-Left (RTL) Layout on User Profile &amp; Account Overview Tab</t>
        </is>
      </c>
      <c r="E317" s="12" t="inlineStr">
        <is>
          <t>1. Launch test runner in Staging / Web Chrome.
2. Navigate to User Profile &amp; Account Overview Tab (ProfileTab).
3. Switch locale to Arabic (ar_SA) on ProfileTab, inspect text direction and icon mirroring.
4. Verify expected results and log evidence.</t>
        </is>
      </c>
      <c r="F317" s="12" t="inlineStr">
        <is>
          <t>Locale: ar_SA, Target: ProfileTab</t>
        </is>
      </c>
      <c r="G317" s="12" t="inlineStr">
        <is>
          <t>UI flips to right-to-left layout with mirrored icons and aligned text.</t>
        </is>
      </c>
      <c r="H317" s="12" t="inlineStr">
        <is>
          <t>Pending Execution</t>
        </is>
      </c>
      <c r="I317" s="13" t="inlineStr">
        <is>
          <t>Not Executed</t>
        </is>
      </c>
      <c r="J317" s="11" t="inlineStr">
        <is>
          <t>Medium</t>
        </is>
      </c>
      <c r="K317" s="11" t="inlineStr">
        <is>
          <t>Major</t>
        </is>
      </c>
      <c r="L317" s="11" t="inlineStr">
        <is>
          <t>Script Ready</t>
        </is>
      </c>
      <c r="M317" s="12" t="inlineStr">
        <is>
          <t>Staging / Web Chrome</t>
        </is>
      </c>
      <c r="N317" s="12" t="inlineStr">
        <is>
          <t>Chrome v126 / Edge v126</t>
        </is>
      </c>
      <c r="O317" s="12" t="inlineStr">
        <is>
          <t>Screen-specific baseline case for User Profile &amp; Account Overview Tab</t>
        </is>
      </c>
    </row>
    <row r="318" ht="36" customHeight="1">
      <c r="A318" s="11" t="inlineStr">
        <is>
          <t>TC-317</t>
        </is>
      </c>
      <c r="B318" s="12" t="inlineStr">
        <is>
          <t>ProfileTab</t>
        </is>
      </c>
      <c r="C318" s="12" t="inlineStr">
        <is>
          <t>Selenium Web UI Testing</t>
        </is>
      </c>
      <c r="D318" s="12" t="inlineStr">
        <is>
          <t>Localization &amp; Multi-Language Switching on User Profile &amp; Account Overview Tab</t>
        </is>
      </c>
      <c r="E318" s="12" t="inlineStr">
        <is>
          <t>1. Launch test runner in Staging / Web Chrome.
2. Navigate to User Profile &amp; Account Overview Tab (ProfileTab).
3. Toggle header language dropdown on ProfileTab between English, Hindi, and Arabic.
4. Verify expected results and log evidence.</t>
        </is>
      </c>
      <c r="F318" s="12" t="inlineStr">
        <is>
          <t>Locales: en, hi, ar</t>
        </is>
      </c>
      <c r="G318" s="12" t="inlineStr">
        <is>
          <t>All visible text strings update to selected language instantly.</t>
        </is>
      </c>
      <c r="H318" s="12" t="inlineStr">
        <is>
          <t>Pending Execution</t>
        </is>
      </c>
      <c r="I318" s="13" t="inlineStr">
        <is>
          <t>Not Executed</t>
        </is>
      </c>
      <c r="J318" s="11" t="inlineStr">
        <is>
          <t>Medium</t>
        </is>
      </c>
      <c r="K318" s="11" t="inlineStr">
        <is>
          <t>Moderate</t>
        </is>
      </c>
      <c r="L318" s="11" t="inlineStr">
        <is>
          <t>Script Ready</t>
        </is>
      </c>
      <c r="M318" s="12" t="inlineStr">
        <is>
          <t>Staging / Web Chrome</t>
        </is>
      </c>
      <c r="N318" s="12" t="inlineStr">
        <is>
          <t>Chrome v126 / Edge v126</t>
        </is>
      </c>
      <c r="O318" s="12" t="inlineStr">
        <is>
          <t>Screen-specific baseline case for User Profile &amp; Account Overview Tab</t>
        </is>
      </c>
    </row>
    <row r="319" ht="36" customHeight="1">
      <c r="A319" s="11" t="inlineStr">
        <is>
          <t>TC-318</t>
        </is>
      </c>
      <c r="B319" s="12" t="inlineStr">
        <is>
          <t>ProfileTab</t>
        </is>
      </c>
      <c r="C319" s="12" t="inlineStr">
        <is>
          <t>Selenium Web UI Testing</t>
        </is>
      </c>
      <c r="D319" s="12" t="inlineStr">
        <is>
          <t>Data Table &amp; Grid State Retention on User Profile &amp; Account Overview Tab</t>
        </is>
      </c>
      <c r="E319" s="12" t="inlineStr">
        <is>
          <t>1. Launch test runner in Staging / Web Chrome.
2. Navigate to User Profile &amp; Account Overview Tab (ProfileTab).
3. Interact with data filters or state controls on ProfileTab, navigate away and return.
4. Verify expected results and log evidence.</t>
        </is>
      </c>
      <c r="F319" s="12" t="inlineStr">
        <is>
          <t>State Payload: ProfileTab_filter</t>
        </is>
      </c>
      <c r="G319" s="12" t="inlineStr">
        <is>
          <t>Screen preserves applied filter state without unexpected reset.</t>
        </is>
      </c>
      <c r="H319" s="12" t="inlineStr">
        <is>
          <t>Pending Execution</t>
        </is>
      </c>
      <c r="I319" s="13" t="inlineStr">
        <is>
          <t>Not Executed</t>
        </is>
      </c>
      <c r="J319" s="11" t="inlineStr">
        <is>
          <t>High</t>
        </is>
      </c>
      <c r="K319" s="11" t="inlineStr">
        <is>
          <t>Major</t>
        </is>
      </c>
      <c r="L319" s="11" t="inlineStr">
        <is>
          <t>Script Ready</t>
        </is>
      </c>
      <c r="M319" s="12" t="inlineStr">
        <is>
          <t>Staging / Web Chrome</t>
        </is>
      </c>
      <c r="N319" s="12" t="inlineStr">
        <is>
          <t>Chrome v126 / Edge v126</t>
        </is>
      </c>
      <c r="O319" s="12" t="inlineStr">
        <is>
          <t>Screen-specific baseline case for User Profile &amp; Account Overview Tab</t>
        </is>
      </c>
    </row>
    <row r="320" ht="36" customHeight="1">
      <c r="A320" s="11" t="inlineStr">
        <is>
          <t>TC-319</t>
        </is>
      </c>
      <c r="B320" s="12" t="inlineStr">
        <is>
          <t>ProfileTab</t>
        </is>
      </c>
      <c r="C320" s="12" t="inlineStr">
        <is>
          <t>Selenium Web UI Testing</t>
        </is>
      </c>
      <c r="D320" s="12" t="inlineStr">
        <is>
          <t>Modal Backdrop &amp; Keyboard Escape on User Profile &amp; Account Overview Tab</t>
        </is>
      </c>
      <c r="E320" s="12" t="inlineStr">
        <is>
          <t>1. Launch test runner in Staging / Web Chrome.
2. Navigate to User Profile &amp; Account Overview Tab (ProfileTab).
3. Trigger pop-up dialog/modal on ProfileTab, press Escape key to dismiss.
4. Verify expected results and log evidence.</t>
        </is>
      </c>
      <c r="F320" s="12" t="inlineStr">
        <is>
          <t>Modal Target: ProfileTab</t>
        </is>
      </c>
      <c r="G320" s="12" t="inlineStr">
        <is>
          <t>Modal closes smoothly and returns focus to parent container.</t>
        </is>
      </c>
      <c r="H320" s="12" t="inlineStr">
        <is>
          <t>Pending Execution</t>
        </is>
      </c>
      <c r="I320" s="13" t="inlineStr">
        <is>
          <t>Not Executed</t>
        </is>
      </c>
      <c r="J320" s="11" t="inlineStr">
        <is>
          <t>Medium</t>
        </is>
      </c>
      <c r="K320" s="11" t="inlineStr">
        <is>
          <t>Moderate</t>
        </is>
      </c>
      <c r="L320" s="11" t="inlineStr">
        <is>
          <t>Script Ready</t>
        </is>
      </c>
      <c r="M320" s="12" t="inlineStr">
        <is>
          <t>Staging / Web Chrome</t>
        </is>
      </c>
      <c r="N320" s="12" t="inlineStr">
        <is>
          <t>Chrome v126 / Edge v126</t>
        </is>
      </c>
      <c r="O320" s="12" t="inlineStr">
        <is>
          <t>Screen-specific baseline case for User Profile &amp; Account Overview Tab</t>
        </is>
      </c>
    </row>
    <row r="321" ht="36" customHeight="1">
      <c r="A321" s="11" t="inlineStr">
        <is>
          <t>TC-320</t>
        </is>
      </c>
      <c r="B321" s="12" t="inlineStr">
        <is>
          <t>ProfileTab</t>
        </is>
      </c>
      <c r="C321" s="12" t="inlineStr">
        <is>
          <t>Selenium Web UI Testing</t>
        </is>
      </c>
      <c r="D321" s="12" t="inlineStr">
        <is>
          <t>Network Failure UI Fallback on User Profile &amp; Account Overview Tab</t>
        </is>
      </c>
      <c r="E321" s="12" t="inlineStr">
        <is>
          <t>1. Launch test runner in Staging / Web Chrome.
2. Navigate to User Profile &amp; Account Overview Tab (ProfileTab).
3. Throttled network to offline mode while viewing ProfileTab, attempt UI interaction.
4. Verify expected results and log evidence.</t>
        </is>
      </c>
      <c r="F321" s="12" t="inlineStr">
        <is>
          <t>Network: Offline, Target: ProfileTab</t>
        </is>
      </c>
      <c r="G321" s="12" t="inlineStr">
        <is>
          <t>User-friendly offline banner appears with retry button.</t>
        </is>
      </c>
      <c r="H321" s="12" t="inlineStr">
        <is>
          <t>Pending Execution</t>
        </is>
      </c>
      <c r="I321" s="13" t="inlineStr">
        <is>
          <t>Not Executed</t>
        </is>
      </c>
      <c r="J321" s="11" t="inlineStr">
        <is>
          <t>Low</t>
        </is>
      </c>
      <c r="K321" s="11" t="inlineStr">
        <is>
          <t>Major</t>
        </is>
      </c>
      <c r="L321" s="11" t="inlineStr">
        <is>
          <t>Script Ready</t>
        </is>
      </c>
      <c r="M321" s="12" t="inlineStr">
        <is>
          <t>Staging / Web Chrome</t>
        </is>
      </c>
      <c r="N321" s="12" t="inlineStr">
        <is>
          <t>Chrome v126 / Edge v126</t>
        </is>
      </c>
      <c r="O321" s="12" t="inlineStr">
        <is>
          <t>Screen-specific baseline case for User Profile &amp; Account Overview Tab</t>
        </is>
      </c>
    </row>
    <row r="322" ht="36" customHeight="1">
      <c r="A322" s="11" t="inlineStr">
        <is>
          <t>TC-321</t>
        </is>
      </c>
      <c r="B322" s="12" t="inlineStr">
        <is>
          <t>RemindersNotificationModule</t>
        </is>
      </c>
      <c r="C322" s="12" t="inlineStr">
        <is>
          <t>Selenium Web UI Testing</t>
        </is>
      </c>
      <c r="D322" s="12" t="inlineStr">
        <is>
          <t>Positive Web UI Layout on Reminders &amp; Push Notifications Module</t>
        </is>
      </c>
      <c r="E322" s="12" t="inlineStr">
        <is>
          <t>1. Launch test runner in Staging / Web Chrome.
2. Navigate to Reminders &amp; Push Notifications Module (RemindersNotificationModule).
3. Launch browser, navigate to RemindersNotificationModule, verify grid container alignment and responsive element scaling.
4. Verify expected results and log evidence.</t>
        </is>
      </c>
      <c r="F322" s="12" t="inlineStr">
        <is>
          <t>Viewport: 1920x1080, Screen: RemindersNotificationModule</t>
        </is>
      </c>
      <c r="G322" s="12" t="inlineStr">
        <is>
          <t>UI components align cleanly without scrollbar clipping or overflow.</t>
        </is>
      </c>
      <c r="H322" s="12" t="inlineStr">
        <is>
          <t>Pending Execution</t>
        </is>
      </c>
      <c r="I322" s="13" t="inlineStr">
        <is>
          <t>Not Executed</t>
        </is>
      </c>
      <c r="J322" s="11" t="inlineStr">
        <is>
          <t>High</t>
        </is>
      </c>
      <c r="K322" s="11" t="inlineStr">
        <is>
          <t>Moderate</t>
        </is>
      </c>
      <c r="L322" s="11" t="inlineStr">
        <is>
          <t>Script Ready</t>
        </is>
      </c>
      <c r="M322" s="12" t="inlineStr">
        <is>
          <t>Staging / Web Chrome</t>
        </is>
      </c>
      <c r="N322" s="12" t="inlineStr">
        <is>
          <t>Chrome v126 / Edge v126</t>
        </is>
      </c>
      <c r="O322" s="12" t="inlineStr">
        <is>
          <t>Screen-specific baseline case for Reminders &amp; Push Notifications Module</t>
        </is>
      </c>
    </row>
    <row r="323" ht="36" customHeight="1">
      <c r="A323" s="11" t="inlineStr">
        <is>
          <t>TC-322</t>
        </is>
      </c>
      <c r="B323" s="12" t="inlineStr">
        <is>
          <t>RemindersNotificationModule</t>
        </is>
      </c>
      <c r="C323" s="12" t="inlineStr">
        <is>
          <t>Selenium Web UI Testing</t>
        </is>
      </c>
      <c r="D323" s="12" t="inlineStr">
        <is>
          <t>Negative Input Form Validation on Reminders &amp; Push Notifications Module</t>
        </is>
      </c>
      <c r="E323" s="12" t="inlineStr">
        <is>
          <t>1. Launch test runner in Staging / Web Chrome.
2. Navigate to Reminders &amp; Push Notifications Module (RemindersNotificationModule).
3. Focus input controls on RemindersNotificationModule, enter out-of-bound strings, trigger blur event.
4. Verify expected results and log evidence.</t>
        </is>
      </c>
      <c r="F323" s="12" t="inlineStr">
        <is>
          <t>Input: invalid_string, Screen: RemindersNotificationModule</t>
        </is>
      </c>
      <c r="G323" s="12" t="inlineStr">
        <is>
          <t>Validation badge displays accessible aria error message.</t>
        </is>
      </c>
      <c r="H323" s="12" t="inlineStr">
        <is>
          <t>Pending Execution</t>
        </is>
      </c>
      <c r="I323" s="13" t="inlineStr">
        <is>
          <t>Not Executed</t>
        </is>
      </c>
      <c r="J323" s="11" t="inlineStr">
        <is>
          <t>Medium</t>
        </is>
      </c>
      <c r="K323" s="11" t="inlineStr">
        <is>
          <t>Critical</t>
        </is>
      </c>
      <c r="L323" s="11" t="inlineStr">
        <is>
          <t>Script Ready</t>
        </is>
      </c>
      <c r="M323" s="12" t="inlineStr">
        <is>
          <t>Staging / Web Chrome</t>
        </is>
      </c>
      <c r="N323" s="12" t="inlineStr">
        <is>
          <t>Chrome v126 / Edge v126</t>
        </is>
      </c>
      <c r="O323" s="12" t="inlineStr">
        <is>
          <t>Screen-specific baseline case for Reminders &amp; Push Notifications Module</t>
        </is>
      </c>
    </row>
    <row r="324" ht="36" customHeight="1">
      <c r="A324" s="11" t="inlineStr">
        <is>
          <t>TC-323</t>
        </is>
      </c>
      <c r="B324" s="12" t="inlineStr">
        <is>
          <t>RemindersNotificationModule</t>
        </is>
      </c>
      <c r="C324" s="12" t="inlineStr">
        <is>
          <t>Selenium Web UI Testing</t>
        </is>
      </c>
      <c r="D324" s="12" t="inlineStr">
        <is>
          <t>Boundary Viewport Responsiveness on Reminders &amp; Push Notifications Module</t>
        </is>
      </c>
      <c r="E324" s="12" t="inlineStr">
        <is>
          <t>1. Launch test runner in Staging / Web Chrome.
2. Navigate to Reminders &amp; Push Notifications Module (RemindersNotificationModule).
3. Resize web browser window from 320px mobile breakpoint up to 4K desktop width.
4. Verify expected results and log evidence.</t>
        </is>
      </c>
      <c r="F324" s="12" t="inlineStr">
        <is>
          <t>Breakpoint Widths: [320, 768, 1024, 1440, 3840]</t>
        </is>
      </c>
      <c r="G324" s="12" t="inlineStr">
        <is>
          <t>Layout adapts responsively without overlapping UI text nodes.</t>
        </is>
      </c>
      <c r="H324" s="12" t="inlineStr">
        <is>
          <t>Pending Execution</t>
        </is>
      </c>
      <c r="I324" s="13" t="inlineStr">
        <is>
          <t>Not Executed</t>
        </is>
      </c>
      <c r="J324" s="11" t="inlineStr">
        <is>
          <t>Medium</t>
        </is>
      </c>
      <c r="K324" s="11" t="inlineStr">
        <is>
          <t>Moderate</t>
        </is>
      </c>
      <c r="L324" s="11" t="inlineStr">
        <is>
          <t>Script Ready</t>
        </is>
      </c>
      <c r="M324" s="12" t="inlineStr">
        <is>
          <t>Staging / Web Chrome</t>
        </is>
      </c>
      <c r="N324" s="12" t="inlineStr">
        <is>
          <t>Chrome v126 / Edge v126</t>
        </is>
      </c>
      <c r="O324" s="12" t="inlineStr">
        <is>
          <t>Screen-specific baseline case for Reminders &amp; Push Notifications Module</t>
        </is>
      </c>
    </row>
    <row r="325" ht="36" customHeight="1">
      <c r="A325" s="11" t="inlineStr">
        <is>
          <t>TC-324</t>
        </is>
      </c>
      <c r="B325" s="12" t="inlineStr">
        <is>
          <t>RemindersNotificationModule</t>
        </is>
      </c>
      <c r="C325" s="12" t="inlineStr">
        <is>
          <t>Selenium Web UI Testing</t>
        </is>
      </c>
      <c r="D325" s="12" t="inlineStr">
        <is>
          <t>Interactive Hover &amp; Focus Traversal on Reminders &amp; Push Notifications Module</t>
        </is>
      </c>
      <c r="E325" s="12" t="inlineStr">
        <is>
          <t>1. Launch test runner in Staging / Web Chrome.
2. Navigate to Reminders &amp; Push Notifications Module (RemindersNotificationModule).
3. Tab through interactive focusable nodes on RemindersNotificationModule, hover cursor over CTA buttons.
4. Verify expected results and log evidence.</t>
        </is>
      </c>
      <c r="F325" s="12" t="inlineStr">
        <is>
          <t>Key Navigation: TAB, Hover target: RemindersNotificationModule</t>
        </is>
      </c>
      <c r="G325" s="12" t="inlineStr">
        <is>
          <t>Focus ring highlights elements in logical DOM tab order.</t>
        </is>
      </c>
      <c r="H325" s="12" t="inlineStr">
        <is>
          <t>Pending Execution</t>
        </is>
      </c>
      <c r="I325" s="13" t="inlineStr">
        <is>
          <t>Not Executed</t>
        </is>
      </c>
      <c r="J325" s="11" t="inlineStr">
        <is>
          <t>High</t>
        </is>
      </c>
      <c r="K325" s="11" t="inlineStr">
        <is>
          <t>Major</t>
        </is>
      </c>
      <c r="L325" s="11" t="inlineStr">
        <is>
          <t>Script Ready</t>
        </is>
      </c>
      <c r="M325" s="12" t="inlineStr">
        <is>
          <t>Staging / Web Chrome</t>
        </is>
      </c>
      <c r="N325" s="12" t="inlineStr">
        <is>
          <t>Chrome v126 / Edge v126</t>
        </is>
      </c>
      <c r="O325" s="12" t="inlineStr">
        <is>
          <t>Screen-specific baseline case for Reminders &amp; Push Notifications Module</t>
        </is>
      </c>
    </row>
    <row r="326" ht="36" customHeight="1">
      <c r="A326" s="11" t="inlineStr">
        <is>
          <t>TC-325</t>
        </is>
      </c>
      <c r="B326" s="12" t="inlineStr">
        <is>
          <t>RemindersNotificationModule</t>
        </is>
      </c>
      <c r="C326" s="12" t="inlineStr">
        <is>
          <t>Selenium Web UI Testing</t>
        </is>
      </c>
      <c r="D326" s="12" t="inlineStr">
        <is>
          <t>Cross-Browser Rendering Parity on Reminders &amp; Push Notifications Module</t>
        </is>
      </c>
      <c r="E326" s="12" t="inlineStr">
        <is>
          <t>1. Launch test runner in Staging / Web Chrome.
2. Navigate to Reminders &amp; Push Notifications Module (RemindersNotificationModule).
3. Execute UI test suite for RemindersNotificationModule across Chrome, Firefox, Safari, and Edge.
4. Verify expected results and log evidence.</t>
        </is>
      </c>
      <c r="F326" s="12" t="inlineStr">
        <is>
          <t>Browsers: Chrome, Firefox, Safari, Edge</t>
        </is>
      </c>
      <c r="G326" s="12" t="inlineStr">
        <is>
          <t>DOM element styles render identically with zero CSS misalignment.</t>
        </is>
      </c>
      <c r="H326" s="12" t="inlineStr">
        <is>
          <t>Pending Execution</t>
        </is>
      </c>
      <c r="I326" s="13" t="inlineStr">
        <is>
          <t>Not Executed</t>
        </is>
      </c>
      <c r="J326" s="11" t="inlineStr">
        <is>
          <t>Low</t>
        </is>
      </c>
      <c r="K326" s="11" t="inlineStr">
        <is>
          <t>Moderate</t>
        </is>
      </c>
      <c r="L326" s="11" t="inlineStr">
        <is>
          <t>Script Ready</t>
        </is>
      </c>
      <c r="M326" s="12" t="inlineStr">
        <is>
          <t>Staging / Web Chrome</t>
        </is>
      </c>
      <c r="N326" s="12" t="inlineStr">
        <is>
          <t>Chrome v126 / Edge v126</t>
        </is>
      </c>
      <c r="O326" s="12" t="inlineStr">
        <is>
          <t>Screen-specific baseline case for Reminders &amp; Push Notifications Module</t>
        </is>
      </c>
    </row>
    <row r="327" ht="36" customHeight="1">
      <c r="A327" s="11" t="inlineStr">
        <is>
          <t>TC-326</t>
        </is>
      </c>
      <c r="B327" s="12" t="inlineStr">
        <is>
          <t>RemindersNotificationModule</t>
        </is>
      </c>
      <c r="C327" s="12" t="inlineStr">
        <is>
          <t>Selenium Web UI Testing</t>
        </is>
      </c>
      <c r="D327" s="12" t="inlineStr">
        <is>
          <t>Arabic Right-to-Left (RTL) Layout on Reminders &amp; Push Notifications Module</t>
        </is>
      </c>
      <c r="E327" s="12" t="inlineStr">
        <is>
          <t>1. Launch test runner in Staging / Web Chrome.
2. Navigate to Reminders &amp; Push Notifications Module (RemindersNotificationModule).
3. Switch locale to Arabic (ar_SA) on RemindersNotificationModule, inspect text direction and icon mirroring.
4. Verify expected results and log evidence.</t>
        </is>
      </c>
      <c r="F327" s="12" t="inlineStr">
        <is>
          <t>Locale: ar_SA, Target: RemindersNotificationModule</t>
        </is>
      </c>
      <c r="G327" s="12" t="inlineStr">
        <is>
          <t>UI flips to right-to-left layout with mirrored icons and aligned text.</t>
        </is>
      </c>
      <c r="H327" s="12" t="inlineStr">
        <is>
          <t>Pending Execution</t>
        </is>
      </c>
      <c r="I327" s="13" t="inlineStr">
        <is>
          <t>Not Executed</t>
        </is>
      </c>
      <c r="J327" s="11" t="inlineStr">
        <is>
          <t>Medium</t>
        </is>
      </c>
      <c r="K327" s="11" t="inlineStr">
        <is>
          <t>Major</t>
        </is>
      </c>
      <c r="L327" s="11" t="inlineStr">
        <is>
          <t>Script Ready</t>
        </is>
      </c>
      <c r="M327" s="12" t="inlineStr">
        <is>
          <t>Staging / Web Chrome</t>
        </is>
      </c>
      <c r="N327" s="12" t="inlineStr">
        <is>
          <t>Chrome v126 / Edge v126</t>
        </is>
      </c>
      <c r="O327" s="12" t="inlineStr">
        <is>
          <t>Screen-specific baseline case for Reminders &amp; Push Notifications Module</t>
        </is>
      </c>
    </row>
    <row r="328" ht="36" customHeight="1">
      <c r="A328" s="11" t="inlineStr">
        <is>
          <t>TC-327</t>
        </is>
      </c>
      <c r="B328" s="12" t="inlineStr">
        <is>
          <t>RemindersNotificationModule</t>
        </is>
      </c>
      <c r="C328" s="12" t="inlineStr">
        <is>
          <t>Selenium Web UI Testing</t>
        </is>
      </c>
      <c r="D328" s="12" t="inlineStr">
        <is>
          <t>Localization &amp; Multi-Language Switching on Reminders &amp; Push Notifications Module</t>
        </is>
      </c>
      <c r="E328" s="12" t="inlineStr">
        <is>
          <t>1. Launch test runner in Staging / Web Chrome.
2. Navigate to Reminders &amp; Push Notifications Module (RemindersNotificationModule).
3. Toggle header language dropdown on RemindersNotificationModule between English, Hindi, and Arabic.
4. Verify expected results and log evidence.</t>
        </is>
      </c>
      <c r="F328" s="12" t="inlineStr">
        <is>
          <t>Locales: en, hi, ar</t>
        </is>
      </c>
      <c r="G328" s="12" t="inlineStr">
        <is>
          <t>All visible text strings update to selected language instantly.</t>
        </is>
      </c>
      <c r="H328" s="12" t="inlineStr">
        <is>
          <t>Pending Execution</t>
        </is>
      </c>
      <c r="I328" s="13" t="inlineStr">
        <is>
          <t>Not Executed</t>
        </is>
      </c>
      <c r="J328" s="11" t="inlineStr">
        <is>
          <t>High</t>
        </is>
      </c>
      <c r="K328" s="11" t="inlineStr">
        <is>
          <t>Moderate</t>
        </is>
      </c>
      <c r="L328" s="11" t="inlineStr">
        <is>
          <t>Script Ready</t>
        </is>
      </c>
      <c r="M328" s="12" t="inlineStr">
        <is>
          <t>Staging / Web Chrome</t>
        </is>
      </c>
      <c r="N328" s="12" t="inlineStr">
        <is>
          <t>Chrome v126 / Edge v126</t>
        </is>
      </c>
      <c r="O328" s="12" t="inlineStr">
        <is>
          <t>Screen-specific baseline case for Reminders &amp; Push Notifications Module</t>
        </is>
      </c>
    </row>
    <row r="329" ht="36" customHeight="1">
      <c r="A329" s="11" t="inlineStr">
        <is>
          <t>TC-328</t>
        </is>
      </c>
      <c r="B329" s="12" t="inlineStr">
        <is>
          <t>RemindersNotificationModule</t>
        </is>
      </c>
      <c r="C329" s="12" t="inlineStr">
        <is>
          <t>Selenium Web UI Testing</t>
        </is>
      </c>
      <c r="D329" s="12" t="inlineStr">
        <is>
          <t>Data Table &amp; Grid State Retention on Reminders &amp; Push Notifications Module</t>
        </is>
      </c>
      <c r="E329" s="12" t="inlineStr">
        <is>
          <t>1. Launch test runner in Staging / Web Chrome.
2. Navigate to Reminders &amp; Push Notifications Module (RemindersNotificationModule).
3. Interact with data filters or state controls on RemindersNotificationModule, navigate away and return.
4. Verify expected results and log evidence.</t>
        </is>
      </c>
      <c r="F329" s="12" t="inlineStr">
        <is>
          <t>State Payload: RemindersNotificationModule_filter</t>
        </is>
      </c>
      <c r="G329" s="12" t="inlineStr">
        <is>
          <t>Screen preserves applied filter state without unexpected reset.</t>
        </is>
      </c>
      <c r="H329" s="12" t="inlineStr">
        <is>
          <t>Pending Execution</t>
        </is>
      </c>
      <c r="I329" s="13" t="inlineStr">
        <is>
          <t>Not Executed</t>
        </is>
      </c>
      <c r="J329" s="11" t="inlineStr">
        <is>
          <t>Medium</t>
        </is>
      </c>
      <c r="K329" s="11" t="inlineStr">
        <is>
          <t>Major</t>
        </is>
      </c>
      <c r="L329" s="11" t="inlineStr">
        <is>
          <t>Script Ready</t>
        </is>
      </c>
      <c r="M329" s="12" t="inlineStr">
        <is>
          <t>Staging / Web Chrome</t>
        </is>
      </c>
      <c r="N329" s="12" t="inlineStr">
        <is>
          <t>Chrome v126 / Edge v126</t>
        </is>
      </c>
      <c r="O329" s="12" t="inlineStr">
        <is>
          <t>Screen-specific baseline case for Reminders &amp; Push Notifications Module</t>
        </is>
      </c>
    </row>
    <row r="330" ht="36" customHeight="1">
      <c r="A330" s="11" t="inlineStr">
        <is>
          <t>TC-329</t>
        </is>
      </c>
      <c r="B330" s="12" t="inlineStr">
        <is>
          <t>RemindersNotificationModule</t>
        </is>
      </c>
      <c r="C330" s="12" t="inlineStr">
        <is>
          <t>Selenium Web UI Testing</t>
        </is>
      </c>
      <c r="D330" s="12" t="inlineStr">
        <is>
          <t>Modal Backdrop &amp; Keyboard Escape on Reminders &amp; Push Notifications Module</t>
        </is>
      </c>
      <c r="E330" s="12" t="inlineStr">
        <is>
          <t>1. Launch test runner in Staging / Web Chrome.
2. Navigate to Reminders &amp; Push Notifications Module (RemindersNotificationModule).
3. Trigger pop-up dialog/modal on RemindersNotificationModule, press Escape key to dismiss.
4. Verify expected results and log evidence.</t>
        </is>
      </c>
      <c r="F330" s="12" t="inlineStr">
        <is>
          <t>Modal Target: RemindersNotificationModule</t>
        </is>
      </c>
      <c r="G330" s="12" t="inlineStr">
        <is>
          <t>Modal closes smoothly and returns focus to parent container.</t>
        </is>
      </c>
      <c r="H330" s="12" t="inlineStr">
        <is>
          <t>Pending Execution</t>
        </is>
      </c>
      <c r="I330" s="13" t="inlineStr">
        <is>
          <t>Not Executed</t>
        </is>
      </c>
      <c r="J330" s="11" t="inlineStr">
        <is>
          <t>Medium</t>
        </is>
      </c>
      <c r="K330" s="11" t="inlineStr">
        <is>
          <t>Critical</t>
        </is>
      </c>
      <c r="L330" s="11" t="inlineStr">
        <is>
          <t>Script Ready</t>
        </is>
      </c>
      <c r="M330" s="12" t="inlineStr">
        <is>
          <t>Staging / Web Chrome</t>
        </is>
      </c>
      <c r="N330" s="12" t="inlineStr">
        <is>
          <t>Chrome v126 / Edge v126</t>
        </is>
      </c>
      <c r="O330" s="12" t="inlineStr">
        <is>
          <t>Screen-specific baseline case for Reminders &amp; Push Notifications Module</t>
        </is>
      </c>
    </row>
    <row r="331" ht="36" customHeight="1">
      <c r="A331" s="11" t="inlineStr">
        <is>
          <t>TC-330</t>
        </is>
      </c>
      <c r="B331" s="12" t="inlineStr">
        <is>
          <t>RemindersNotificationModule</t>
        </is>
      </c>
      <c r="C331" s="12" t="inlineStr">
        <is>
          <t>Selenium Web UI Testing</t>
        </is>
      </c>
      <c r="D331" s="12" t="inlineStr">
        <is>
          <t>Network Failure UI Fallback on Reminders &amp; Push Notifications Module</t>
        </is>
      </c>
      <c r="E331" s="12" t="inlineStr">
        <is>
          <t>1. Launch test runner in Staging / Web Chrome.
2. Navigate to Reminders &amp; Push Notifications Module (RemindersNotificationModule).
3. Throttled network to offline mode while viewing RemindersNotificationModule, attempt UI interaction.
4. Verify expected results and log evidence.</t>
        </is>
      </c>
      <c r="F331" s="12" t="inlineStr">
        <is>
          <t>Network: Offline, Target: RemindersNotificationModule</t>
        </is>
      </c>
      <c r="G331" s="12" t="inlineStr">
        <is>
          <t>User-friendly offline banner appears with retry button.</t>
        </is>
      </c>
      <c r="H331" s="12" t="inlineStr">
        <is>
          <t>Pending Execution</t>
        </is>
      </c>
      <c r="I331" s="13" t="inlineStr">
        <is>
          <t>Not Executed</t>
        </is>
      </c>
      <c r="J331" s="11" t="inlineStr">
        <is>
          <t>High</t>
        </is>
      </c>
      <c r="K331" s="11" t="inlineStr">
        <is>
          <t>Major</t>
        </is>
      </c>
      <c r="L331" s="11" t="inlineStr">
        <is>
          <t>Script Ready</t>
        </is>
      </c>
      <c r="M331" s="12" t="inlineStr">
        <is>
          <t>Staging / Web Chrome</t>
        </is>
      </c>
      <c r="N331" s="12" t="inlineStr">
        <is>
          <t>Chrome v126 / Edge v126</t>
        </is>
      </c>
      <c r="O331" s="12" t="inlineStr">
        <is>
          <t>Screen-specific baseline case for Reminders &amp; Push Notifications Module</t>
        </is>
      </c>
    </row>
    <row r="332" ht="36" customHeight="1">
      <c r="A332" s="11" t="inlineStr">
        <is>
          <t>TC-331</t>
        </is>
      </c>
      <c r="B332" s="12" t="inlineStr">
        <is>
          <t>SettingsLocalizationModule</t>
        </is>
      </c>
      <c r="C332" s="12" t="inlineStr">
        <is>
          <t>Selenium Web UI Testing</t>
        </is>
      </c>
      <c r="D332" s="12" t="inlineStr">
        <is>
          <t>Positive Web UI Layout on Language Switcher &amp; Theme Settings</t>
        </is>
      </c>
      <c r="E332" s="12" t="inlineStr">
        <is>
          <t>1. Launch test runner in Staging / Web Chrome.
2. Navigate to Language Switcher &amp; Theme Settings (SettingsLocalizationModule).
3. Launch browser, navigate to SettingsLocalizationModule, verify grid container alignment and responsive element scaling.
4. Verify expected results and log evidence.</t>
        </is>
      </c>
      <c r="F332" s="12" t="inlineStr">
        <is>
          <t>Viewport: 1920x1080, Screen: SettingsLocalizationModule</t>
        </is>
      </c>
      <c r="G332" s="12" t="inlineStr">
        <is>
          <t>UI components align cleanly without scrollbar clipping or overflow.</t>
        </is>
      </c>
      <c r="H332" s="12" t="inlineStr">
        <is>
          <t>Pending Execution</t>
        </is>
      </c>
      <c r="I332" s="13" t="inlineStr">
        <is>
          <t>Not Executed</t>
        </is>
      </c>
      <c r="J332" s="11" t="inlineStr">
        <is>
          <t>Medium</t>
        </is>
      </c>
      <c r="K332" s="11" t="inlineStr">
        <is>
          <t>Moderate</t>
        </is>
      </c>
      <c r="L332" s="11" t="inlineStr">
        <is>
          <t>Script Ready</t>
        </is>
      </c>
      <c r="M332" s="12" t="inlineStr">
        <is>
          <t>Staging / Web Chrome</t>
        </is>
      </c>
      <c r="N332" s="12" t="inlineStr">
        <is>
          <t>Chrome v126 / Edge v126</t>
        </is>
      </c>
      <c r="O332" s="12" t="inlineStr">
        <is>
          <t>Screen-specific baseline case for Language Switcher &amp; Theme Settings</t>
        </is>
      </c>
    </row>
    <row r="333" ht="36" customHeight="1">
      <c r="A333" s="11" t="inlineStr">
        <is>
          <t>TC-332</t>
        </is>
      </c>
      <c r="B333" s="12" t="inlineStr">
        <is>
          <t>SettingsLocalizationModule</t>
        </is>
      </c>
      <c r="C333" s="12" t="inlineStr">
        <is>
          <t>Selenium Web UI Testing</t>
        </is>
      </c>
      <c r="D333" s="12" t="inlineStr">
        <is>
          <t>Negative Input Form Validation on Language Switcher &amp; Theme Settings</t>
        </is>
      </c>
      <c r="E333" s="12" t="inlineStr">
        <is>
          <t>1. Launch test runner in Staging / Web Chrome.
2. Navigate to Language Switcher &amp; Theme Settings (SettingsLocalizationModule).
3. Focus input controls on SettingsLocalizationModule, enter out-of-bound strings, trigger blur event.
4. Verify expected results and log evidence.</t>
        </is>
      </c>
      <c r="F333" s="12" t="inlineStr">
        <is>
          <t>Input: invalid_string, Screen: SettingsLocalizationModule</t>
        </is>
      </c>
      <c r="G333" s="12" t="inlineStr">
        <is>
          <t>Validation badge displays accessible aria error message.</t>
        </is>
      </c>
      <c r="H333" s="12" t="inlineStr">
        <is>
          <t>Pending Execution</t>
        </is>
      </c>
      <c r="I333" s="13" t="inlineStr">
        <is>
          <t>Not Executed</t>
        </is>
      </c>
      <c r="J333" s="11" t="inlineStr">
        <is>
          <t>Medium</t>
        </is>
      </c>
      <c r="K333" s="11" t="inlineStr">
        <is>
          <t>Major</t>
        </is>
      </c>
      <c r="L333" s="11" t="inlineStr">
        <is>
          <t>Script Ready</t>
        </is>
      </c>
      <c r="M333" s="12" t="inlineStr">
        <is>
          <t>Staging / Web Chrome</t>
        </is>
      </c>
      <c r="N333" s="12" t="inlineStr">
        <is>
          <t>Chrome v126 / Edge v126</t>
        </is>
      </c>
      <c r="O333" s="12" t="inlineStr">
        <is>
          <t>Screen-specific baseline case for Language Switcher &amp; Theme Settings</t>
        </is>
      </c>
    </row>
    <row r="334" ht="36" customHeight="1">
      <c r="A334" s="11" t="inlineStr">
        <is>
          <t>TC-333</t>
        </is>
      </c>
      <c r="B334" s="12" t="inlineStr">
        <is>
          <t>SettingsLocalizationModule</t>
        </is>
      </c>
      <c r="C334" s="12" t="inlineStr">
        <is>
          <t>Selenium Web UI Testing</t>
        </is>
      </c>
      <c r="D334" s="12" t="inlineStr">
        <is>
          <t>Boundary Viewport Responsiveness on Language Switcher &amp; Theme Settings</t>
        </is>
      </c>
      <c r="E334" s="12" t="inlineStr">
        <is>
          <t>1. Launch test runner in Staging / Web Chrome.
2. Navigate to Language Switcher &amp; Theme Settings (SettingsLocalizationModule).
3. Resize web browser window from 320px mobile breakpoint up to 4K desktop width.
4. Verify expected results and log evidence.</t>
        </is>
      </c>
      <c r="F334" s="12" t="inlineStr">
        <is>
          <t>Breakpoint Widths: [320, 768, 1024, 1440, 3840]</t>
        </is>
      </c>
      <c r="G334" s="12" t="inlineStr">
        <is>
          <t>Layout adapts responsively without overlapping UI text nodes.</t>
        </is>
      </c>
      <c r="H334" s="12" t="inlineStr">
        <is>
          <t>Pending Execution</t>
        </is>
      </c>
      <c r="I334" s="13" t="inlineStr">
        <is>
          <t>Not Executed</t>
        </is>
      </c>
      <c r="J334" s="11" t="inlineStr">
        <is>
          <t>High</t>
        </is>
      </c>
      <c r="K334" s="11" t="inlineStr">
        <is>
          <t>Moderate</t>
        </is>
      </c>
      <c r="L334" s="11" t="inlineStr">
        <is>
          <t>Script Ready</t>
        </is>
      </c>
      <c r="M334" s="12" t="inlineStr">
        <is>
          <t>Staging / Web Chrome</t>
        </is>
      </c>
      <c r="N334" s="12" t="inlineStr">
        <is>
          <t>Chrome v126 / Edge v126</t>
        </is>
      </c>
      <c r="O334" s="12" t="inlineStr">
        <is>
          <t>Screen-specific baseline case for Language Switcher &amp; Theme Settings</t>
        </is>
      </c>
    </row>
    <row r="335" ht="36" customHeight="1">
      <c r="A335" s="11" t="inlineStr">
        <is>
          <t>TC-334</t>
        </is>
      </c>
      <c r="B335" s="12" t="inlineStr">
        <is>
          <t>SettingsLocalizationModule</t>
        </is>
      </c>
      <c r="C335" s="12" t="inlineStr">
        <is>
          <t>Selenium Web UI Testing</t>
        </is>
      </c>
      <c r="D335" s="12" t="inlineStr">
        <is>
          <t>Interactive Hover &amp; Focus Traversal on Language Switcher &amp; Theme Settings</t>
        </is>
      </c>
      <c r="E335" s="12" t="inlineStr">
        <is>
          <t>1. Launch test runner in Staging / Web Chrome.
2. Navigate to Language Switcher &amp; Theme Settings (SettingsLocalizationModule).
3. Tab through interactive focusable nodes on SettingsLocalizationModule, hover cursor over CTA buttons.
4. Verify expected results and log evidence.</t>
        </is>
      </c>
      <c r="F335" s="12" t="inlineStr">
        <is>
          <t>Key Navigation: TAB, Hover target: SettingsLocalizationModule</t>
        </is>
      </c>
      <c r="G335" s="12" t="inlineStr">
        <is>
          <t>Focus ring highlights elements in logical DOM tab order.</t>
        </is>
      </c>
      <c r="H335" s="12" t="inlineStr">
        <is>
          <t>Pending Execution</t>
        </is>
      </c>
      <c r="I335" s="13" t="inlineStr">
        <is>
          <t>Not Executed</t>
        </is>
      </c>
      <c r="J335" s="11" t="inlineStr">
        <is>
          <t>Medium</t>
        </is>
      </c>
      <c r="K335" s="11" t="inlineStr">
        <is>
          <t>Major</t>
        </is>
      </c>
      <c r="L335" s="11" t="inlineStr">
        <is>
          <t>Script Ready</t>
        </is>
      </c>
      <c r="M335" s="12" t="inlineStr">
        <is>
          <t>Staging / Web Chrome</t>
        </is>
      </c>
      <c r="N335" s="12" t="inlineStr">
        <is>
          <t>Chrome v126 / Edge v126</t>
        </is>
      </c>
      <c r="O335" s="12" t="inlineStr">
        <is>
          <t>Screen-specific baseline case for Language Switcher &amp; Theme Settings</t>
        </is>
      </c>
    </row>
    <row r="336" ht="36" customHeight="1">
      <c r="A336" s="11" t="inlineStr">
        <is>
          <t>TC-335</t>
        </is>
      </c>
      <c r="B336" s="12" t="inlineStr">
        <is>
          <t>SettingsLocalizationModule</t>
        </is>
      </c>
      <c r="C336" s="12" t="inlineStr">
        <is>
          <t>Selenium Web UI Testing</t>
        </is>
      </c>
      <c r="D336" s="12" t="inlineStr">
        <is>
          <t>Cross-Browser Rendering Parity on Language Switcher &amp; Theme Settings</t>
        </is>
      </c>
      <c r="E336" s="12" t="inlineStr">
        <is>
          <t>1. Launch test runner in Staging / Web Chrome.
2. Navigate to Language Switcher &amp; Theme Settings (SettingsLocalizationModule).
3. Execute UI test suite for SettingsLocalizationModule across Chrome, Firefox, Safari, and Edge.
4. Verify expected results and log evidence.</t>
        </is>
      </c>
      <c r="F336" s="12" t="inlineStr">
        <is>
          <t>Browsers: Chrome, Firefox, Safari, Edge</t>
        </is>
      </c>
      <c r="G336" s="12" t="inlineStr">
        <is>
          <t>DOM element styles render identically with zero CSS misalignment.</t>
        </is>
      </c>
      <c r="H336" s="12" t="inlineStr">
        <is>
          <t>Pending Execution</t>
        </is>
      </c>
      <c r="I336" s="13" t="inlineStr">
        <is>
          <t>Not Executed</t>
        </is>
      </c>
      <c r="J336" s="11" t="inlineStr">
        <is>
          <t>Low</t>
        </is>
      </c>
      <c r="K336" s="11" t="inlineStr">
        <is>
          <t>Moderate</t>
        </is>
      </c>
      <c r="L336" s="11" t="inlineStr">
        <is>
          <t>Script Ready</t>
        </is>
      </c>
      <c r="M336" s="12" t="inlineStr">
        <is>
          <t>Staging / Web Chrome</t>
        </is>
      </c>
      <c r="N336" s="12" t="inlineStr">
        <is>
          <t>Chrome v126 / Edge v126</t>
        </is>
      </c>
      <c r="O336" s="12" t="inlineStr">
        <is>
          <t>Screen-specific baseline case for Language Switcher &amp; Theme Settings</t>
        </is>
      </c>
    </row>
    <row r="337" ht="36" customHeight="1">
      <c r="A337" s="11" t="inlineStr">
        <is>
          <t>TC-336</t>
        </is>
      </c>
      <c r="B337" s="12" t="inlineStr">
        <is>
          <t>SettingsLocalizationModule</t>
        </is>
      </c>
      <c r="C337" s="12" t="inlineStr">
        <is>
          <t>Selenium Web UI Testing</t>
        </is>
      </c>
      <c r="D337" s="12" t="inlineStr">
        <is>
          <t>Arabic Right-to-Left (RTL) Layout on Language Switcher &amp; Theme Settings</t>
        </is>
      </c>
      <c r="E337" s="12" t="inlineStr">
        <is>
          <t>1. Launch test runner in Staging / Web Chrome.
2. Navigate to Language Switcher &amp; Theme Settings (SettingsLocalizationModule).
3. Switch locale to Arabic (ar_SA) on SettingsLocalizationModule, inspect text direction and icon mirroring.
4. Verify expected results and log evidence.</t>
        </is>
      </c>
      <c r="F337" s="12" t="inlineStr">
        <is>
          <t>Locale: ar_SA, Target: SettingsLocalizationModule</t>
        </is>
      </c>
      <c r="G337" s="12" t="inlineStr">
        <is>
          <t>UI flips to right-to-left layout with mirrored icons and aligned text.</t>
        </is>
      </c>
      <c r="H337" s="12" t="inlineStr">
        <is>
          <t>Pending Execution</t>
        </is>
      </c>
      <c r="I337" s="13" t="inlineStr">
        <is>
          <t>Not Executed</t>
        </is>
      </c>
      <c r="J337" s="11" t="inlineStr">
        <is>
          <t>High</t>
        </is>
      </c>
      <c r="K337" s="11" t="inlineStr">
        <is>
          <t>Critical</t>
        </is>
      </c>
      <c r="L337" s="11" t="inlineStr">
        <is>
          <t>Script Ready</t>
        </is>
      </c>
      <c r="M337" s="12" t="inlineStr">
        <is>
          <t>Staging / Web Chrome</t>
        </is>
      </c>
      <c r="N337" s="12" t="inlineStr">
        <is>
          <t>Chrome v126 / Edge v126</t>
        </is>
      </c>
      <c r="O337" s="12" t="inlineStr">
        <is>
          <t>Screen-specific baseline case for Language Switcher &amp; Theme Settings</t>
        </is>
      </c>
    </row>
    <row r="338" ht="36" customHeight="1">
      <c r="A338" s="11" t="inlineStr">
        <is>
          <t>TC-337</t>
        </is>
      </c>
      <c r="B338" s="12" t="inlineStr">
        <is>
          <t>SettingsLocalizationModule</t>
        </is>
      </c>
      <c r="C338" s="12" t="inlineStr">
        <is>
          <t>Selenium Web UI Testing</t>
        </is>
      </c>
      <c r="D338" s="12" t="inlineStr">
        <is>
          <t>Localization &amp; Multi-Language Switching on Language Switcher &amp; Theme Settings</t>
        </is>
      </c>
      <c r="E338" s="12" t="inlineStr">
        <is>
          <t>1. Launch test runner in Staging / Web Chrome.
2. Navigate to Language Switcher &amp; Theme Settings (SettingsLocalizationModule).
3. Toggle header language dropdown on SettingsLocalizationModule between English, Hindi, and Arabic.
4. Verify expected results and log evidence.</t>
        </is>
      </c>
      <c r="F338" s="12" t="inlineStr">
        <is>
          <t>Locales: en, hi, ar</t>
        </is>
      </c>
      <c r="G338" s="12" t="inlineStr">
        <is>
          <t>All visible text strings update to selected language instantly.</t>
        </is>
      </c>
      <c r="H338" s="12" t="inlineStr">
        <is>
          <t>Pending Execution</t>
        </is>
      </c>
      <c r="I338" s="13" t="inlineStr">
        <is>
          <t>Not Executed</t>
        </is>
      </c>
      <c r="J338" s="11" t="inlineStr">
        <is>
          <t>Medium</t>
        </is>
      </c>
      <c r="K338" s="11" t="inlineStr">
        <is>
          <t>Moderate</t>
        </is>
      </c>
      <c r="L338" s="11" t="inlineStr">
        <is>
          <t>Script Ready</t>
        </is>
      </c>
      <c r="M338" s="12" t="inlineStr">
        <is>
          <t>Staging / Web Chrome</t>
        </is>
      </c>
      <c r="N338" s="12" t="inlineStr">
        <is>
          <t>Chrome v126 / Edge v126</t>
        </is>
      </c>
      <c r="O338" s="12" t="inlineStr">
        <is>
          <t>Screen-specific baseline case for Language Switcher &amp; Theme Settings</t>
        </is>
      </c>
    </row>
    <row r="339" ht="36" customHeight="1">
      <c r="A339" s="11" t="inlineStr">
        <is>
          <t>TC-338</t>
        </is>
      </c>
      <c r="B339" s="12" t="inlineStr">
        <is>
          <t>SettingsLocalizationModule</t>
        </is>
      </c>
      <c r="C339" s="12" t="inlineStr">
        <is>
          <t>Selenium Web UI Testing</t>
        </is>
      </c>
      <c r="D339" s="12" t="inlineStr">
        <is>
          <t>Data Table &amp; Grid State Retention on Language Switcher &amp; Theme Settings</t>
        </is>
      </c>
      <c r="E339" s="12" t="inlineStr">
        <is>
          <t>1. Launch test runner in Staging / Web Chrome.
2. Navigate to Language Switcher &amp; Theme Settings (SettingsLocalizationModule).
3. Interact with data filters or state controls on SettingsLocalizationModule, navigate away and return.
4. Verify expected results and log evidence.</t>
        </is>
      </c>
      <c r="F339" s="12" t="inlineStr">
        <is>
          <t>State Payload: SettingsLocalizationModule_filter</t>
        </is>
      </c>
      <c r="G339" s="12" t="inlineStr">
        <is>
          <t>Screen preserves applied filter state without unexpected reset.</t>
        </is>
      </c>
      <c r="H339" s="12" t="inlineStr">
        <is>
          <t>Pending Execution</t>
        </is>
      </c>
      <c r="I339" s="13" t="inlineStr">
        <is>
          <t>Not Executed</t>
        </is>
      </c>
      <c r="J339" s="11" t="inlineStr">
        <is>
          <t>Medium</t>
        </is>
      </c>
      <c r="K339" s="11" t="inlineStr">
        <is>
          <t>Major</t>
        </is>
      </c>
      <c r="L339" s="11" t="inlineStr">
        <is>
          <t>Script Ready</t>
        </is>
      </c>
      <c r="M339" s="12" t="inlineStr">
        <is>
          <t>Staging / Web Chrome</t>
        </is>
      </c>
      <c r="N339" s="12" t="inlineStr">
        <is>
          <t>Chrome v126 / Edge v126</t>
        </is>
      </c>
      <c r="O339" s="12" t="inlineStr">
        <is>
          <t>Screen-specific baseline case for Language Switcher &amp; Theme Settings</t>
        </is>
      </c>
    </row>
    <row r="340" ht="36" customHeight="1">
      <c r="A340" s="11" t="inlineStr">
        <is>
          <t>TC-339</t>
        </is>
      </c>
      <c r="B340" s="12" t="inlineStr">
        <is>
          <t>SettingsLocalizationModule</t>
        </is>
      </c>
      <c r="C340" s="12" t="inlineStr">
        <is>
          <t>Selenium Web UI Testing</t>
        </is>
      </c>
      <c r="D340" s="12" t="inlineStr">
        <is>
          <t>Modal Backdrop &amp; Keyboard Escape on Language Switcher &amp; Theme Settings</t>
        </is>
      </c>
      <c r="E340" s="12" t="inlineStr">
        <is>
          <t>1. Launch test runner in Staging / Web Chrome.
2. Navigate to Language Switcher &amp; Theme Settings (SettingsLocalizationModule).
3. Trigger pop-up dialog/modal on SettingsLocalizationModule, press Escape key to dismiss.
4. Verify expected results and log evidence.</t>
        </is>
      </c>
      <c r="F340" s="12" t="inlineStr">
        <is>
          <t>Modal Target: SettingsLocalizationModule</t>
        </is>
      </c>
      <c r="G340" s="12" t="inlineStr">
        <is>
          <t>Modal closes smoothly and returns focus to parent container.</t>
        </is>
      </c>
      <c r="H340" s="12" t="inlineStr">
        <is>
          <t>Pending Execution</t>
        </is>
      </c>
      <c r="I340" s="13" t="inlineStr">
        <is>
          <t>Not Executed</t>
        </is>
      </c>
      <c r="J340" s="11" t="inlineStr">
        <is>
          <t>High</t>
        </is>
      </c>
      <c r="K340" s="11" t="inlineStr">
        <is>
          <t>Moderate</t>
        </is>
      </c>
      <c r="L340" s="11" t="inlineStr">
        <is>
          <t>Script Ready</t>
        </is>
      </c>
      <c r="M340" s="12" t="inlineStr">
        <is>
          <t>Staging / Web Chrome</t>
        </is>
      </c>
      <c r="N340" s="12" t="inlineStr">
        <is>
          <t>Chrome v126 / Edge v126</t>
        </is>
      </c>
      <c r="O340" s="12" t="inlineStr">
        <is>
          <t>Screen-specific baseline case for Language Switcher &amp; Theme Settings</t>
        </is>
      </c>
    </row>
    <row r="341" ht="36" customHeight="1">
      <c r="A341" s="11" t="inlineStr">
        <is>
          <t>TC-340</t>
        </is>
      </c>
      <c r="B341" s="12" t="inlineStr">
        <is>
          <t>SettingsLocalizationModule</t>
        </is>
      </c>
      <c r="C341" s="12" t="inlineStr">
        <is>
          <t>Selenium Web UI Testing</t>
        </is>
      </c>
      <c r="D341" s="12" t="inlineStr">
        <is>
          <t>Network Failure UI Fallback on Language Switcher &amp; Theme Settings</t>
        </is>
      </c>
      <c r="E341" s="12" t="inlineStr">
        <is>
          <t>1. Launch test runner in Staging / Web Chrome.
2. Navigate to Language Switcher &amp; Theme Settings (SettingsLocalizationModule).
3. Throttled network to offline mode while viewing SettingsLocalizationModule, attempt UI interaction.
4. Verify expected results and log evidence.</t>
        </is>
      </c>
      <c r="F341" s="12" t="inlineStr">
        <is>
          <t>Network: Offline, Target: SettingsLocalizationModule</t>
        </is>
      </c>
      <c r="G341" s="12" t="inlineStr">
        <is>
          <t>User-friendly offline banner appears with retry button.</t>
        </is>
      </c>
      <c r="H341" s="12" t="inlineStr">
        <is>
          <t>Pending Execution</t>
        </is>
      </c>
      <c r="I341" s="13" t="inlineStr">
        <is>
          <t>Not Executed</t>
        </is>
      </c>
      <c r="J341" s="11" t="inlineStr">
        <is>
          <t>Low</t>
        </is>
      </c>
      <c r="K341" s="11" t="inlineStr">
        <is>
          <t>Major</t>
        </is>
      </c>
      <c r="L341" s="11" t="inlineStr">
        <is>
          <t>Script Ready</t>
        </is>
      </c>
      <c r="M341" s="12" t="inlineStr">
        <is>
          <t>Staging / Web Chrome</t>
        </is>
      </c>
      <c r="N341" s="12" t="inlineStr">
        <is>
          <t>Chrome v126 / Edge v126</t>
        </is>
      </c>
      <c r="O341" s="12" t="inlineStr">
        <is>
          <t>Screen-specific baseline case for Language Switcher &amp; Theme Settings</t>
        </is>
      </c>
    </row>
    <row r="342" ht="36" customHeight="1">
      <c r="A342" s="11" t="inlineStr">
        <is>
          <t>TC-341</t>
        </is>
      </c>
      <c r="B342" s="12" t="inlineStr">
        <is>
          <t>SupabaseIntegrationModule</t>
        </is>
      </c>
      <c r="C342" s="12" t="inlineStr">
        <is>
          <t>Selenium Web UI Testing</t>
        </is>
      </c>
      <c r="D342" s="12" t="inlineStr">
        <is>
          <t>Positive Web UI Layout on Supabase PostgreSQL Database Sync</t>
        </is>
      </c>
      <c r="E342" s="12" t="inlineStr">
        <is>
          <t>1. Launch test runner in Staging / Web Chrome.
2. Navigate to Supabase PostgreSQL Database Sync (SupabaseIntegrationModule).
3. Launch browser, navigate to SupabaseIntegrationModule, verify grid container alignment and responsive element scaling.
4. Verify expected results and log evidence.</t>
        </is>
      </c>
      <c r="F342" s="12" t="inlineStr">
        <is>
          <t>Viewport: 1920x1080, Screen: SupabaseIntegrationModule</t>
        </is>
      </c>
      <c r="G342" s="12" t="inlineStr">
        <is>
          <t>UI components align cleanly without scrollbar clipping or overflow.</t>
        </is>
      </c>
      <c r="H342" s="12" t="inlineStr">
        <is>
          <t>Pending Execution</t>
        </is>
      </c>
      <c r="I342" s="13" t="inlineStr">
        <is>
          <t>Not Executed</t>
        </is>
      </c>
      <c r="J342" s="11" t="inlineStr">
        <is>
          <t>Medium</t>
        </is>
      </c>
      <c r="K342" s="11" t="inlineStr">
        <is>
          <t>Moderate</t>
        </is>
      </c>
      <c r="L342" s="11" t="inlineStr">
        <is>
          <t>Script Ready</t>
        </is>
      </c>
      <c r="M342" s="12" t="inlineStr">
        <is>
          <t>Staging / Web Chrome</t>
        </is>
      </c>
      <c r="N342" s="12" t="inlineStr">
        <is>
          <t>Chrome v126 / Edge v126</t>
        </is>
      </c>
      <c r="O342" s="12" t="inlineStr">
        <is>
          <t>Screen-specific baseline case for Supabase PostgreSQL Database Sync</t>
        </is>
      </c>
    </row>
    <row r="343" ht="36" customHeight="1">
      <c r="A343" s="11" t="inlineStr">
        <is>
          <t>TC-342</t>
        </is>
      </c>
      <c r="B343" s="12" t="inlineStr">
        <is>
          <t>SupabaseIntegrationModule</t>
        </is>
      </c>
      <c r="C343" s="12" t="inlineStr">
        <is>
          <t>Selenium Web UI Testing</t>
        </is>
      </c>
      <c r="D343" s="12" t="inlineStr">
        <is>
          <t>Negative Input Form Validation on Supabase PostgreSQL Database Sync</t>
        </is>
      </c>
      <c r="E343" s="12" t="inlineStr">
        <is>
          <t>1. Launch test runner in Staging / Web Chrome.
2. Navigate to Supabase PostgreSQL Database Sync (SupabaseIntegrationModule).
3. Focus input controls on SupabaseIntegrationModule, enter out-of-bound strings, trigger blur event.
4. Verify expected results and log evidence.</t>
        </is>
      </c>
      <c r="F343" s="12" t="inlineStr">
        <is>
          <t>Input: invalid_string, Screen: SupabaseIntegrationModule</t>
        </is>
      </c>
      <c r="G343" s="12" t="inlineStr">
        <is>
          <t>Validation badge displays accessible aria error message.</t>
        </is>
      </c>
      <c r="H343" s="12" t="inlineStr">
        <is>
          <t>Pending Execution</t>
        </is>
      </c>
      <c r="I343" s="13" t="inlineStr">
        <is>
          <t>Not Executed</t>
        </is>
      </c>
      <c r="J343" s="11" t="inlineStr">
        <is>
          <t>High</t>
        </is>
      </c>
      <c r="K343" s="11" t="inlineStr">
        <is>
          <t>Major</t>
        </is>
      </c>
      <c r="L343" s="11" t="inlineStr">
        <is>
          <t>Script Ready</t>
        </is>
      </c>
      <c r="M343" s="12" t="inlineStr">
        <is>
          <t>Staging / Web Chrome</t>
        </is>
      </c>
      <c r="N343" s="12" t="inlineStr">
        <is>
          <t>Chrome v126 / Edge v126</t>
        </is>
      </c>
      <c r="O343" s="12" t="inlineStr">
        <is>
          <t>Screen-specific baseline case for Supabase PostgreSQL Database Sync</t>
        </is>
      </c>
    </row>
    <row r="344" ht="36" customHeight="1">
      <c r="A344" s="11" t="inlineStr">
        <is>
          <t>TC-343</t>
        </is>
      </c>
      <c r="B344" s="12" t="inlineStr">
        <is>
          <t>SupabaseIntegrationModule</t>
        </is>
      </c>
      <c r="C344" s="12" t="inlineStr">
        <is>
          <t>Selenium Web UI Testing</t>
        </is>
      </c>
      <c r="D344" s="12" t="inlineStr">
        <is>
          <t>Boundary Viewport Responsiveness on Supabase PostgreSQL Database Sync</t>
        </is>
      </c>
      <c r="E344" s="12" t="inlineStr">
        <is>
          <t>1. Launch test runner in Staging / Web Chrome.
2. Navigate to Supabase PostgreSQL Database Sync (SupabaseIntegrationModule).
3. Resize web browser window from 320px mobile breakpoint up to 4K desktop width.
4. Verify expected results and log evidence.</t>
        </is>
      </c>
      <c r="F344" s="12" t="inlineStr">
        <is>
          <t>Breakpoint Widths: [320, 768, 1024, 1440, 3840]</t>
        </is>
      </c>
      <c r="G344" s="12" t="inlineStr">
        <is>
          <t>Layout adapts responsively without overlapping UI text nodes.</t>
        </is>
      </c>
      <c r="H344" s="12" t="inlineStr">
        <is>
          <t>Pending Execution</t>
        </is>
      </c>
      <c r="I344" s="13" t="inlineStr">
        <is>
          <t>Not Executed</t>
        </is>
      </c>
      <c r="J344" s="11" t="inlineStr">
        <is>
          <t>Medium</t>
        </is>
      </c>
      <c r="K344" s="11" t="inlineStr">
        <is>
          <t>Critical</t>
        </is>
      </c>
      <c r="L344" s="11" t="inlineStr">
        <is>
          <t>Script Ready</t>
        </is>
      </c>
      <c r="M344" s="12" t="inlineStr">
        <is>
          <t>Staging / Web Chrome</t>
        </is>
      </c>
      <c r="N344" s="12" t="inlineStr">
        <is>
          <t>Chrome v126 / Edge v126</t>
        </is>
      </c>
      <c r="O344" s="12" t="inlineStr">
        <is>
          <t>Screen-specific baseline case for Supabase PostgreSQL Database Sync</t>
        </is>
      </c>
    </row>
    <row r="345" ht="36" customHeight="1">
      <c r="A345" s="11" t="inlineStr">
        <is>
          <t>TC-344</t>
        </is>
      </c>
      <c r="B345" s="12" t="inlineStr">
        <is>
          <t>SupabaseIntegrationModule</t>
        </is>
      </c>
      <c r="C345" s="12" t="inlineStr">
        <is>
          <t>Selenium Web UI Testing</t>
        </is>
      </c>
      <c r="D345" s="12" t="inlineStr">
        <is>
          <t>Interactive Hover &amp; Focus Traversal on Supabase PostgreSQL Database Sync</t>
        </is>
      </c>
      <c r="E345" s="12" t="inlineStr">
        <is>
          <t>1. Launch test runner in Staging / Web Chrome.
2. Navigate to Supabase PostgreSQL Database Sync (SupabaseIntegrationModule).
3. Tab through interactive focusable nodes on SupabaseIntegrationModule, hover cursor over CTA buttons.
4. Verify expected results and log evidence.</t>
        </is>
      </c>
      <c r="F345" s="12" t="inlineStr">
        <is>
          <t>Key Navigation: TAB, Hover target: SupabaseIntegrationModule</t>
        </is>
      </c>
      <c r="G345" s="12" t="inlineStr">
        <is>
          <t>Focus ring highlights elements in logical DOM tab order.</t>
        </is>
      </c>
      <c r="H345" s="12" t="inlineStr">
        <is>
          <t>Pending Execution</t>
        </is>
      </c>
      <c r="I345" s="13" t="inlineStr">
        <is>
          <t>Not Executed</t>
        </is>
      </c>
      <c r="J345" s="11" t="inlineStr">
        <is>
          <t>Medium</t>
        </is>
      </c>
      <c r="K345" s="11" t="inlineStr">
        <is>
          <t>Major</t>
        </is>
      </c>
      <c r="L345" s="11" t="inlineStr">
        <is>
          <t>Script Ready</t>
        </is>
      </c>
      <c r="M345" s="12" t="inlineStr">
        <is>
          <t>Staging / Web Chrome</t>
        </is>
      </c>
      <c r="N345" s="12" t="inlineStr">
        <is>
          <t>Chrome v126 / Edge v126</t>
        </is>
      </c>
      <c r="O345" s="12" t="inlineStr">
        <is>
          <t>Screen-specific baseline case for Supabase PostgreSQL Database Sync</t>
        </is>
      </c>
    </row>
    <row r="346" ht="36" customHeight="1">
      <c r="A346" s="11" t="inlineStr">
        <is>
          <t>TC-345</t>
        </is>
      </c>
      <c r="B346" s="12" t="inlineStr">
        <is>
          <t>SupabaseIntegrationModule</t>
        </is>
      </c>
      <c r="C346" s="12" t="inlineStr">
        <is>
          <t>Selenium Web UI Testing</t>
        </is>
      </c>
      <c r="D346" s="12" t="inlineStr">
        <is>
          <t>Cross-Browser Rendering Parity on Supabase PostgreSQL Database Sync</t>
        </is>
      </c>
      <c r="E346" s="12" t="inlineStr">
        <is>
          <t>1. Launch test runner in Staging / Web Chrome.
2. Navigate to Supabase PostgreSQL Database Sync (SupabaseIntegrationModule).
3. Execute UI test suite for SupabaseIntegrationModule across Chrome, Firefox, Safari, and Edge.
4. Verify expected results and log evidence.</t>
        </is>
      </c>
      <c r="F346" s="12" t="inlineStr">
        <is>
          <t>Browsers: Chrome, Firefox, Safari, Edge</t>
        </is>
      </c>
      <c r="G346" s="12" t="inlineStr">
        <is>
          <t>DOM element styles render identically with zero CSS misalignment.</t>
        </is>
      </c>
      <c r="H346" s="12" t="inlineStr">
        <is>
          <t>Pending Execution</t>
        </is>
      </c>
      <c r="I346" s="13" t="inlineStr">
        <is>
          <t>Not Executed</t>
        </is>
      </c>
      <c r="J346" s="11" t="inlineStr">
        <is>
          <t>High</t>
        </is>
      </c>
      <c r="K346" s="11" t="inlineStr">
        <is>
          <t>Moderate</t>
        </is>
      </c>
      <c r="L346" s="11" t="inlineStr">
        <is>
          <t>Script Ready</t>
        </is>
      </c>
      <c r="M346" s="12" t="inlineStr">
        <is>
          <t>Staging / Web Chrome</t>
        </is>
      </c>
      <c r="N346" s="12" t="inlineStr">
        <is>
          <t>Chrome v126 / Edge v126</t>
        </is>
      </c>
      <c r="O346" s="12" t="inlineStr">
        <is>
          <t>Screen-specific baseline case for Supabase PostgreSQL Database Sync</t>
        </is>
      </c>
    </row>
    <row r="347" ht="36" customHeight="1">
      <c r="A347" s="11" t="inlineStr">
        <is>
          <t>TC-346</t>
        </is>
      </c>
      <c r="B347" s="12" t="inlineStr">
        <is>
          <t>SupabaseIntegrationModule</t>
        </is>
      </c>
      <c r="C347" s="12" t="inlineStr">
        <is>
          <t>Selenium Web UI Testing</t>
        </is>
      </c>
      <c r="D347" s="12" t="inlineStr">
        <is>
          <t>Arabic Right-to-Left (RTL) Layout on Supabase PostgreSQL Database Sync</t>
        </is>
      </c>
      <c r="E347" s="12" t="inlineStr">
        <is>
          <t>1. Launch test runner in Staging / Web Chrome.
2. Navigate to Supabase PostgreSQL Database Sync (SupabaseIntegrationModule).
3. Switch locale to Arabic (ar_SA) on SupabaseIntegrationModule, inspect text direction and icon mirroring.
4. Verify expected results and log evidence.</t>
        </is>
      </c>
      <c r="F347" s="12" t="inlineStr">
        <is>
          <t>Locale: ar_SA, Target: SupabaseIntegrationModule</t>
        </is>
      </c>
      <c r="G347" s="12" t="inlineStr">
        <is>
          <t>UI flips to right-to-left layout with mirrored icons and aligned text.</t>
        </is>
      </c>
      <c r="H347" s="12" t="inlineStr">
        <is>
          <t>Pending Execution</t>
        </is>
      </c>
      <c r="I347" s="13" t="inlineStr">
        <is>
          <t>Not Executed</t>
        </is>
      </c>
      <c r="J347" s="11" t="inlineStr">
        <is>
          <t>Medium</t>
        </is>
      </c>
      <c r="K347" s="11" t="inlineStr">
        <is>
          <t>Major</t>
        </is>
      </c>
      <c r="L347" s="11" t="inlineStr">
        <is>
          <t>Script Ready</t>
        </is>
      </c>
      <c r="M347" s="12" t="inlineStr">
        <is>
          <t>Staging / Web Chrome</t>
        </is>
      </c>
      <c r="N347" s="12" t="inlineStr">
        <is>
          <t>Chrome v126 / Edge v126</t>
        </is>
      </c>
      <c r="O347" s="12" t="inlineStr">
        <is>
          <t>Screen-specific baseline case for Supabase PostgreSQL Database Sync</t>
        </is>
      </c>
    </row>
    <row r="348" ht="36" customHeight="1">
      <c r="A348" s="11" t="inlineStr">
        <is>
          <t>TC-347</t>
        </is>
      </c>
      <c r="B348" s="12" t="inlineStr">
        <is>
          <t>SupabaseIntegrationModule</t>
        </is>
      </c>
      <c r="C348" s="12" t="inlineStr">
        <is>
          <t>Selenium Web UI Testing</t>
        </is>
      </c>
      <c r="D348" s="12" t="inlineStr">
        <is>
          <t>Localization &amp; Multi-Language Switching on Supabase PostgreSQL Database Sync</t>
        </is>
      </c>
      <c r="E348" s="12" t="inlineStr">
        <is>
          <t>1. Launch test runner in Staging / Web Chrome.
2. Navigate to Supabase PostgreSQL Database Sync (SupabaseIntegrationModule).
3. Toggle header language dropdown on SupabaseIntegrationModule between English, Hindi, and Arabic.
4. Verify expected results and log evidence.</t>
        </is>
      </c>
      <c r="F348" s="12" t="inlineStr">
        <is>
          <t>Locales: en, hi, ar</t>
        </is>
      </c>
      <c r="G348" s="12" t="inlineStr">
        <is>
          <t>All visible text strings update to selected language instantly.</t>
        </is>
      </c>
      <c r="H348" s="12" t="inlineStr">
        <is>
          <t>Pending Execution</t>
        </is>
      </c>
      <c r="I348" s="13" t="inlineStr">
        <is>
          <t>Not Executed</t>
        </is>
      </c>
      <c r="J348" s="11" t="inlineStr">
        <is>
          <t>Medium</t>
        </is>
      </c>
      <c r="K348" s="11" t="inlineStr">
        <is>
          <t>Moderate</t>
        </is>
      </c>
      <c r="L348" s="11" t="inlineStr">
        <is>
          <t>Script Ready</t>
        </is>
      </c>
      <c r="M348" s="12" t="inlineStr">
        <is>
          <t>Staging / Web Chrome</t>
        </is>
      </c>
      <c r="N348" s="12" t="inlineStr">
        <is>
          <t>Chrome v126 / Edge v126</t>
        </is>
      </c>
      <c r="O348" s="12" t="inlineStr">
        <is>
          <t>Screen-specific baseline case for Supabase PostgreSQL Database Sync</t>
        </is>
      </c>
    </row>
    <row r="349" ht="36" customHeight="1">
      <c r="A349" s="11" t="inlineStr">
        <is>
          <t>TC-348</t>
        </is>
      </c>
      <c r="B349" s="12" t="inlineStr">
        <is>
          <t>SupabaseIntegrationModule</t>
        </is>
      </c>
      <c r="C349" s="12" t="inlineStr">
        <is>
          <t>Selenium Web UI Testing</t>
        </is>
      </c>
      <c r="D349" s="12" t="inlineStr">
        <is>
          <t>Data Table &amp; Grid State Retention on Supabase PostgreSQL Database Sync</t>
        </is>
      </c>
      <c r="E349" s="12" t="inlineStr">
        <is>
          <t>1. Launch test runner in Staging / Web Chrome.
2. Navigate to Supabase PostgreSQL Database Sync (SupabaseIntegrationModule).
3. Interact with data filters or state controls on SupabaseIntegrationModule, navigate away and return.
4. Verify expected results and log evidence.</t>
        </is>
      </c>
      <c r="F349" s="12" t="inlineStr">
        <is>
          <t>State Payload: SupabaseIntegrationModule_filter</t>
        </is>
      </c>
      <c r="G349" s="12" t="inlineStr">
        <is>
          <t>Screen preserves applied filter state without unexpected reset.</t>
        </is>
      </c>
      <c r="H349" s="12" t="inlineStr">
        <is>
          <t>Pending Execution</t>
        </is>
      </c>
      <c r="I349" s="13" t="inlineStr">
        <is>
          <t>Not Executed</t>
        </is>
      </c>
      <c r="J349" s="11" t="inlineStr">
        <is>
          <t>High</t>
        </is>
      </c>
      <c r="K349" s="11" t="inlineStr">
        <is>
          <t>Major</t>
        </is>
      </c>
      <c r="L349" s="11" t="inlineStr">
        <is>
          <t>Script Ready</t>
        </is>
      </c>
      <c r="M349" s="12" t="inlineStr">
        <is>
          <t>Staging / Web Chrome</t>
        </is>
      </c>
      <c r="N349" s="12" t="inlineStr">
        <is>
          <t>Chrome v126 / Edge v126</t>
        </is>
      </c>
      <c r="O349" s="12" t="inlineStr">
        <is>
          <t>Screen-specific baseline case for Supabase PostgreSQL Database Sync</t>
        </is>
      </c>
    </row>
    <row r="350" ht="36" customHeight="1">
      <c r="A350" s="11" t="inlineStr">
        <is>
          <t>TC-349</t>
        </is>
      </c>
      <c r="B350" s="12" t="inlineStr">
        <is>
          <t>SupabaseIntegrationModule</t>
        </is>
      </c>
      <c r="C350" s="12" t="inlineStr">
        <is>
          <t>Selenium Web UI Testing</t>
        </is>
      </c>
      <c r="D350" s="12" t="inlineStr">
        <is>
          <t>Modal Backdrop &amp; Keyboard Escape on Supabase PostgreSQL Database Sync</t>
        </is>
      </c>
      <c r="E350" s="12" t="inlineStr">
        <is>
          <t>1. Launch test runner in Staging / Web Chrome.
2. Navigate to Supabase PostgreSQL Database Sync (SupabaseIntegrationModule).
3. Trigger pop-up dialog/modal on SupabaseIntegrationModule, press Escape key to dismiss.
4. Verify expected results and log evidence.</t>
        </is>
      </c>
      <c r="F350" s="12" t="inlineStr">
        <is>
          <t>Modal Target: SupabaseIntegrationModule</t>
        </is>
      </c>
      <c r="G350" s="12" t="inlineStr">
        <is>
          <t>Modal closes smoothly and returns focus to parent container.</t>
        </is>
      </c>
      <c r="H350" s="12" t="inlineStr">
        <is>
          <t>Pending Execution</t>
        </is>
      </c>
      <c r="I350" s="13" t="inlineStr">
        <is>
          <t>Not Executed</t>
        </is>
      </c>
      <c r="J350" s="11" t="inlineStr">
        <is>
          <t>Medium</t>
        </is>
      </c>
      <c r="K350" s="11" t="inlineStr">
        <is>
          <t>Moderate</t>
        </is>
      </c>
      <c r="L350" s="11" t="inlineStr">
        <is>
          <t>Script Ready</t>
        </is>
      </c>
      <c r="M350" s="12" t="inlineStr">
        <is>
          <t>Staging / Web Chrome</t>
        </is>
      </c>
      <c r="N350" s="12" t="inlineStr">
        <is>
          <t>Chrome v126 / Edge v126</t>
        </is>
      </c>
      <c r="O350" s="12" t="inlineStr">
        <is>
          <t>Screen-specific baseline case for Supabase PostgreSQL Database Sync</t>
        </is>
      </c>
    </row>
    <row r="351" ht="36" customHeight="1">
      <c r="A351" s="11" t="inlineStr">
        <is>
          <t>TC-350</t>
        </is>
      </c>
      <c r="B351" s="12" t="inlineStr">
        <is>
          <t>SupabaseIntegrationModule</t>
        </is>
      </c>
      <c r="C351" s="12" t="inlineStr">
        <is>
          <t>Selenium Web UI Testing</t>
        </is>
      </c>
      <c r="D351" s="12" t="inlineStr">
        <is>
          <t>Network Failure UI Fallback on Supabase PostgreSQL Database Sync</t>
        </is>
      </c>
      <c r="E351" s="12" t="inlineStr">
        <is>
          <t>1. Launch test runner in Staging / Web Chrome.
2. Navigate to Supabase PostgreSQL Database Sync (SupabaseIntegrationModule).
3. Throttled network to offline mode while viewing SupabaseIntegrationModule, attempt UI interaction.
4. Verify expected results and log evidence.</t>
        </is>
      </c>
      <c r="F351" s="12" t="inlineStr">
        <is>
          <t>Network: Offline, Target: SupabaseIntegrationModule</t>
        </is>
      </c>
      <c r="G351" s="12" t="inlineStr">
        <is>
          <t>User-friendly offline banner appears with retry button.</t>
        </is>
      </c>
      <c r="H351" s="12" t="inlineStr">
        <is>
          <t>Pending Execution</t>
        </is>
      </c>
      <c r="I351" s="13" t="inlineStr">
        <is>
          <t>Not Executed</t>
        </is>
      </c>
      <c r="J351" s="11" t="inlineStr">
        <is>
          <t>Low</t>
        </is>
      </c>
      <c r="K351" s="11" t="inlineStr">
        <is>
          <t>Critical</t>
        </is>
      </c>
      <c r="L351" s="11" t="inlineStr">
        <is>
          <t>Script Ready</t>
        </is>
      </c>
      <c r="M351" s="12" t="inlineStr">
        <is>
          <t>Staging / Web Chrome</t>
        </is>
      </c>
      <c r="N351" s="12" t="inlineStr">
        <is>
          <t>Chrome v126 / Edge v126</t>
        </is>
      </c>
      <c r="O351" s="12" t="inlineStr">
        <is>
          <t>Screen-specific baseline case for Supabase PostgreSQL Database Sync</t>
        </is>
      </c>
    </row>
  </sheetData>
  <autoFilter ref="A1:O3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showGridLines="1"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ht="28" customHeight="1">
      <c r="A1" s="6" t="inlineStr">
        <is>
          <t>Test Case ID</t>
        </is>
      </c>
      <c r="B1" s="6" t="inlineStr">
        <is>
          <t>Module/Screen</t>
        </is>
      </c>
      <c r="C1" s="6" t="inlineStr">
        <is>
          <t>Test Scenario</t>
        </is>
      </c>
      <c r="D1" s="6" t="inlineStr">
        <is>
          <t>Status</t>
        </is>
      </c>
      <c r="E1" s="6" t="inlineStr">
        <is>
          <t>Evidence Path</t>
        </is>
      </c>
      <c r="F1" s="6" t="inlineStr">
        <is>
          <t>Timestamp</t>
        </is>
      </c>
      <c r="G1" s="6" t="inlineStr">
        <is>
          <t>Verification Notes</t>
        </is>
      </c>
    </row>
    <row r="2">
      <c r="A2" s="12" t="inlineStr">
        <is>
          <t>TC-001</t>
        </is>
      </c>
      <c r="B2" s="12" t="inlineStr">
        <is>
          <t>SplashScreen</t>
        </is>
      </c>
      <c r="C2" s="12" t="inlineStr">
        <is>
          <t>Positive Web UI Layout on Splash &amp; Onboarding Screen</t>
        </is>
      </c>
      <c r="D2" s="12" t="inlineStr">
        <is>
          <t>Not Executed</t>
        </is>
      </c>
      <c r="E2" s="12" t="inlineStr">
        <is>
          <t>testing-reports/evidence/tc-001_proof.png</t>
        </is>
      </c>
      <c r="F2" s="12" t="inlineStr">
        <is>
          <t>2026-07-22 00:00:00 UTC</t>
        </is>
      </c>
      <c r="G2" s="12" t="inlineStr">
        <is>
          <t>Baseline execution artifact initialized</t>
        </is>
      </c>
    </row>
    <row r="3">
      <c r="A3" s="12" t="inlineStr">
        <is>
          <t>TC-002</t>
        </is>
      </c>
      <c r="B3" s="12" t="inlineStr">
        <is>
          <t>SplashScreen</t>
        </is>
      </c>
      <c r="C3" s="12" t="inlineStr">
        <is>
          <t>Negative Input Form Validation on Splash &amp; Onboarding Screen</t>
        </is>
      </c>
      <c r="D3" s="12" t="inlineStr">
        <is>
          <t>Not Executed</t>
        </is>
      </c>
      <c r="E3" s="12" t="inlineStr">
        <is>
          <t>testing-reports/evidence/tc-002_proof.png</t>
        </is>
      </c>
      <c r="F3" s="12" t="inlineStr">
        <is>
          <t>2026-07-22 00:00:00 UTC</t>
        </is>
      </c>
      <c r="G3" s="12" t="inlineStr">
        <is>
          <t>Baseline execution artifact initialized</t>
        </is>
      </c>
    </row>
    <row r="4">
      <c r="A4" s="12" t="inlineStr">
        <is>
          <t>TC-003</t>
        </is>
      </c>
      <c r="B4" s="12" t="inlineStr">
        <is>
          <t>SplashScreen</t>
        </is>
      </c>
      <c r="C4" s="12" t="inlineStr">
        <is>
          <t>Boundary Viewport Responsiveness on Splash &amp; Onboarding Screen</t>
        </is>
      </c>
      <c r="D4" s="12" t="inlineStr">
        <is>
          <t>Not Executed</t>
        </is>
      </c>
      <c r="E4" s="12" t="inlineStr">
        <is>
          <t>testing-reports/evidence/tc-003_proof.png</t>
        </is>
      </c>
      <c r="F4" s="12" t="inlineStr">
        <is>
          <t>2026-07-22 00:00:00 UTC</t>
        </is>
      </c>
      <c r="G4" s="12" t="inlineStr">
        <is>
          <t>Baseline execution artifact initialized</t>
        </is>
      </c>
    </row>
    <row r="5">
      <c r="A5" s="12" t="inlineStr">
        <is>
          <t>TC-004</t>
        </is>
      </c>
      <c r="B5" s="12" t="inlineStr">
        <is>
          <t>SplashScreen</t>
        </is>
      </c>
      <c r="C5" s="12" t="inlineStr">
        <is>
          <t>Interactive Hover &amp; Focus Traversal on Splash &amp; Onboarding Screen</t>
        </is>
      </c>
      <c r="D5" s="12" t="inlineStr">
        <is>
          <t>Not Executed</t>
        </is>
      </c>
      <c r="E5" s="12" t="inlineStr">
        <is>
          <t>testing-reports/evidence/tc-004_proof.png</t>
        </is>
      </c>
      <c r="F5" s="12" t="inlineStr">
        <is>
          <t>2026-07-22 00:00:00 UTC</t>
        </is>
      </c>
      <c r="G5" s="12" t="inlineStr">
        <is>
          <t>Baseline execution artifact initialized</t>
        </is>
      </c>
    </row>
    <row r="6">
      <c r="A6" s="12" t="inlineStr">
        <is>
          <t>TC-005</t>
        </is>
      </c>
      <c r="B6" s="12" t="inlineStr">
        <is>
          <t>SplashScreen</t>
        </is>
      </c>
      <c r="C6" s="12" t="inlineStr">
        <is>
          <t>Cross-Browser Rendering Parity on Splash &amp; Onboarding Screen</t>
        </is>
      </c>
      <c r="D6" s="12" t="inlineStr">
        <is>
          <t>Not Executed</t>
        </is>
      </c>
      <c r="E6" s="12" t="inlineStr">
        <is>
          <t>testing-reports/evidence/tc-005_proof.png</t>
        </is>
      </c>
      <c r="F6" s="12" t="inlineStr">
        <is>
          <t>2026-07-22 00:00:00 UTC</t>
        </is>
      </c>
      <c r="G6" s="12" t="inlineStr">
        <is>
          <t>Baseline execution artifact initialized</t>
        </is>
      </c>
    </row>
    <row r="7">
      <c r="A7" s="12" t="inlineStr">
        <is>
          <t>TC-006</t>
        </is>
      </c>
      <c r="B7" s="12" t="inlineStr">
        <is>
          <t>SplashScreen</t>
        </is>
      </c>
      <c r="C7" s="12" t="inlineStr">
        <is>
          <t>Arabic Right-to-Left (RTL) Layout on Splash &amp; Onboarding Screen</t>
        </is>
      </c>
      <c r="D7" s="12" t="inlineStr">
        <is>
          <t>Not Executed</t>
        </is>
      </c>
      <c r="E7" s="12" t="inlineStr">
        <is>
          <t>testing-reports/evidence/tc-006_proof.png</t>
        </is>
      </c>
      <c r="F7" s="12" t="inlineStr">
        <is>
          <t>2026-07-22 00:00:00 UTC</t>
        </is>
      </c>
      <c r="G7" s="12" t="inlineStr">
        <is>
          <t>Baseline execution artifact initialized</t>
        </is>
      </c>
    </row>
    <row r="8">
      <c r="A8" s="12" t="inlineStr">
        <is>
          <t>TC-007</t>
        </is>
      </c>
      <c r="B8" s="12" t="inlineStr">
        <is>
          <t>SplashScreen</t>
        </is>
      </c>
      <c r="C8" s="12" t="inlineStr">
        <is>
          <t>Localization &amp; Multi-Language Switching on Splash &amp; Onboarding Screen</t>
        </is>
      </c>
      <c r="D8" s="12" t="inlineStr">
        <is>
          <t>Not Executed</t>
        </is>
      </c>
      <c r="E8" s="12" t="inlineStr">
        <is>
          <t>testing-reports/evidence/tc-007_proof.png</t>
        </is>
      </c>
      <c r="F8" s="12" t="inlineStr">
        <is>
          <t>2026-07-22 00:00:00 UTC</t>
        </is>
      </c>
      <c r="G8" s="12" t="inlineStr">
        <is>
          <t>Baseline execution artifact initialized</t>
        </is>
      </c>
    </row>
    <row r="9">
      <c r="A9" s="12" t="inlineStr">
        <is>
          <t>TC-008</t>
        </is>
      </c>
      <c r="B9" s="12" t="inlineStr">
        <is>
          <t>SplashScreen</t>
        </is>
      </c>
      <c r="C9" s="12" t="inlineStr">
        <is>
          <t>Data Table &amp; Grid State Retention on Splash &amp; Onboarding Screen</t>
        </is>
      </c>
      <c r="D9" s="12" t="inlineStr">
        <is>
          <t>Not Executed</t>
        </is>
      </c>
      <c r="E9" s="12" t="inlineStr">
        <is>
          <t>testing-reports/evidence/tc-008_proof.png</t>
        </is>
      </c>
      <c r="F9" s="12" t="inlineStr">
        <is>
          <t>2026-07-22 00:00:00 UTC</t>
        </is>
      </c>
      <c r="G9" s="12" t="inlineStr">
        <is>
          <t>Baseline execution artifact initialized</t>
        </is>
      </c>
    </row>
    <row r="10">
      <c r="A10" s="12" t="inlineStr">
        <is>
          <t>TC-009</t>
        </is>
      </c>
      <c r="B10" s="12" t="inlineStr">
        <is>
          <t>SplashScreen</t>
        </is>
      </c>
      <c r="C10" s="12" t="inlineStr">
        <is>
          <t>Modal Backdrop &amp; Keyboard Escape on Splash &amp; Onboarding Screen</t>
        </is>
      </c>
      <c r="D10" s="12" t="inlineStr">
        <is>
          <t>Not Executed</t>
        </is>
      </c>
      <c r="E10" s="12" t="inlineStr">
        <is>
          <t>testing-reports/evidence/tc-009_proof.png</t>
        </is>
      </c>
      <c r="F10" s="12" t="inlineStr">
        <is>
          <t>2026-07-22 00:00:00 UTC</t>
        </is>
      </c>
      <c r="G10" s="12" t="inlineStr">
        <is>
          <t>Baseline execution artifact initialized</t>
        </is>
      </c>
    </row>
    <row r="11">
      <c r="A11" s="12" t="inlineStr">
        <is>
          <t>TC-010</t>
        </is>
      </c>
      <c r="B11" s="12" t="inlineStr">
        <is>
          <t>SplashScreen</t>
        </is>
      </c>
      <c r="C11" s="12" t="inlineStr">
        <is>
          <t>Network Failure UI Fallback on Splash &amp; Onboarding Screen</t>
        </is>
      </c>
      <c r="D11" s="12" t="inlineStr">
        <is>
          <t>Not Executed</t>
        </is>
      </c>
      <c r="E11" s="12" t="inlineStr">
        <is>
          <t>testing-reports/evidence/tc-010_proof.png</t>
        </is>
      </c>
      <c r="F11" s="12" t="inlineStr">
        <is>
          <t>2026-07-22 00:00:00 UTC</t>
        </is>
      </c>
      <c r="G11" s="12" t="inlineStr">
        <is>
          <t>Baseline execution artifact initialized</t>
        </is>
      </c>
    </row>
    <row r="12">
      <c r="A12" s="12" t="inlineStr">
        <is>
          <t>TC-011</t>
        </is>
      </c>
      <c r="B12" s="12" t="inlineStr">
        <is>
          <t>LoginScreen</t>
        </is>
      </c>
      <c r="C12" s="12" t="inlineStr">
        <is>
          <t>Positive Web UI Layout on Login &amp; Authentication Screen</t>
        </is>
      </c>
      <c r="D12" s="12" t="inlineStr">
        <is>
          <t>Not Executed</t>
        </is>
      </c>
      <c r="E12" s="12" t="inlineStr">
        <is>
          <t>testing-reports/evidence/tc-011_proof.png</t>
        </is>
      </c>
      <c r="F12" s="12" t="inlineStr">
        <is>
          <t>2026-07-22 00:00:00 UTC</t>
        </is>
      </c>
      <c r="G12" s="12" t="inlineStr">
        <is>
          <t>Baseline execution artifact initialized</t>
        </is>
      </c>
    </row>
    <row r="13">
      <c r="A13" s="12" t="inlineStr">
        <is>
          <t>TC-012</t>
        </is>
      </c>
      <c r="B13" s="12" t="inlineStr">
        <is>
          <t>LoginScreen</t>
        </is>
      </c>
      <c r="C13" s="12" t="inlineStr">
        <is>
          <t>Negative Input Form Validation on Login &amp; Authentication Screen</t>
        </is>
      </c>
      <c r="D13" s="12" t="inlineStr">
        <is>
          <t>Not Executed</t>
        </is>
      </c>
      <c r="E13" s="12" t="inlineStr">
        <is>
          <t>testing-reports/evidence/tc-012_proof.png</t>
        </is>
      </c>
      <c r="F13" s="12" t="inlineStr">
        <is>
          <t>2026-07-22 00:00:00 UTC</t>
        </is>
      </c>
      <c r="G13" s="12" t="inlineStr">
        <is>
          <t>Baseline execution artifact initialized</t>
        </is>
      </c>
    </row>
    <row r="14">
      <c r="A14" s="12" t="inlineStr">
        <is>
          <t>TC-013</t>
        </is>
      </c>
      <c r="B14" s="12" t="inlineStr">
        <is>
          <t>LoginScreen</t>
        </is>
      </c>
      <c r="C14" s="12" t="inlineStr">
        <is>
          <t>Boundary Viewport Responsiveness on Login &amp; Authentication Screen</t>
        </is>
      </c>
      <c r="D14" s="12" t="inlineStr">
        <is>
          <t>Not Executed</t>
        </is>
      </c>
      <c r="E14" s="12" t="inlineStr">
        <is>
          <t>testing-reports/evidence/tc-013_proof.png</t>
        </is>
      </c>
      <c r="F14" s="12" t="inlineStr">
        <is>
          <t>2026-07-22 00:00:00 UTC</t>
        </is>
      </c>
      <c r="G14" s="12" t="inlineStr">
        <is>
          <t>Baseline execution artifact initialized</t>
        </is>
      </c>
    </row>
    <row r="15">
      <c r="A15" s="12" t="inlineStr">
        <is>
          <t>TC-014</t>
        </is>
      </c>
      <c r="B15" s="12" t="inlineStr">
        <is>
          <t>LoginScreen</t>
        </is>
      </c>
      <c r="C15" s="12" t="inlineStr">
        <is>
          <t>Interactive Hover &amp; Focus Traversal on Login &amp; Authentication Screen</t>
        </is>
      </c>
      <c r="D15" s="12" t="inlineStr">
        <is>
          <t>Not Executed</t>
        </is>
      </c>
      <c r="E15" s="12" t="inlineStr">
        <is>
          <t>testing-reports/evidence/tc-014_proof.png</t>
        </is>
      </c>
      <c r="F15" s="12" t="inlineStr">
        <is>
          <t>2026-07-22 00:00:00 UTC</t>
        </is>
      </c>
      <c r="G15" s="12" t="inlineStr">
        <is>
          <t>Baseline execution artifact initialized</t>
        </is>
      </c>
    </row>
    <row r="16">
      <c r="A16" s="12" t="inlineStr">
        <is>
          <t>TC-015</t>
        </is>
      </c>
      <c r="B16" s="12" t="inlineStr">
        <is>
          <t>LoginScreen</t>
        </is>
      </c>
      <c r="C16" s="12" t="inlineStr">
        <is>
          <t>Cross-Browser Rendering Parity on Login &amp; Authentication Screen</t>
        </is>
      </c>
      <c r="D16" s="12" t="inlineStr">
        <is>
          <t>Not Executed</t>
        </is>
      </c>
      <c r="E16" s="12" t="inlineStr">
        <is>
          <t>testing-reports/evidence/tc-015_proof.png</t>
        </is>
      </c>
      <c r="F16" s="12" t="inlineStr">
        <is>
          <t>2026-07-22 00:00:00 UTC</t>
        </is>
      </c>
      <c r="G16" s="12" t="inlineStr">
        <is>
          <t>Baseline execution artifact initialized</t>
        </is>
      </c>
    </row>
    <row r="17">
      <c r="A17" s="12" t="inlineStr">
        <is>
          <t>TC-016</t>
        </is>
      </c>
      <c r="B17" s="12" t="inlineStr">
        <is>
          <t>LoginScreen</t>
        </is>
      </c>
      <c r="C17" s="12" t="inlineStr">
        <is>
          <t>Arabic Right-to-Left (RTL) Layout on Login &amp; Authentication Screen</t>
        </is>
      </c>
      <c r="D17" s="12" t="inlineStr">
        <is>
          <t>Not Executed</t>
        </is>
      </c>
      <c r="E17" s="12" t="inlineStr">
        <is>
          <t>testing-reports/evidence/tc-016_proof.png</t>
        </is>
      </c>
      <c r="F17" s="12" t="inlineStr">
        <is>
          <t>2026-07-22 00:00:00 UTC</t>
        </is>
      </c>
      <c r="G17" s="12" t="inlineStr">
        <is>
          <t>Baseline execution artifact initialized</t>
        </is>
      </c>
    </row>
    <row r="18">
      <c r="A18" s="12" t="inlineStr">
        <is>
          <t>TC-017</t>
        </is>
      </c>
      <c r="B18" s="12" t="inlineStr">
        <is>
          <t>LoginScreen</t>
        </is>
      </c>
      <c r="C18" s="12" t="inlineStr">
        <is>
          <t>Localization &amp; Multi-Language Switching on Login &amp; Authentication Screen</t>
        </is>
      </c>
      <c r="D18" s="12" t="inlineStr">
        <is>
          <t>Not Executed</t>
        </is>
      </c>
      <c r="E18" s="12" t="inlineStr">
        <is>
          <t>testing-reports/evidence/tc-017_proof.png</t>
        </is>
      </c>
      <c r="F18" s="12" t="inlineStr">
        <is>
          <t>2026-07-22 00:00:00 UTC</t>
        </is>
      </c>
      <c r="G18" s="12" t="inlineStr">
        <is>
          <t>Baseline execution artifact initialized</t>
        </is>
      </c>
    </row>
    <row r="19">
      <c r="A19" s="12" t="inlineStr">
        <is>
          <t>TC-018</t>
        </is>
      </c>
      <c r="B19" s="12" t="inlineStr">
        <is>
          <t>LoginScreen</t>
        </is>
      </c>
      <c r="C19" s="12" t="inlineStr">
        <is>
          <t>Data Table &amp; Grid State Retention on Login &amp; Authentication Screen</t>
        </is>
      </c>
      <c r="D19" s="12" t="inlineStr">
        <is>
          <t>Not Executed</t>
        </is>
      </c>
      <c r="E19" s="12" t="inlineStr">
        <is>
          <t>testing-reports/evidence/tc-018_proof.png</t>
        </is>
      </c>
      <c r="F19" s="12" t="inlineStr">
        <is>
          <t>2026-07-22 00:00:00 UTC</t>
        </is>
      </c>
      <c r="G19" s="12" t="inlineStr">
        <is>
          <t>Baseline execution artifact initialized</t>
        </is>
      </c>
    </row>
    <row r="20">
      <c r="A20" s="12" t="inlineStr">
        <is>
          <t>TC-019</t>
        </is>
      </c>
      <c r="B20" s="12" t="inlineStr">
        <is>
          <t>LoginScreen</t>
        </is>
      </c>
      <c r="C20" s="12" t="inlineStr">
        <is>
          <t>Modal Backdrop &amp; Keyboard Escape on Login &amp; Authentication Screen</t>
        </is>
      </c>
      <c r="D20" s="12" t="inlineStr">
        <is>
          <t>Not Executed</t>
        </is>
      </c>
      <c r="E20" s="12" t="inlineStr">
        <is>
          <t>testing-reports/evidence/tc-019_proof.png</t>
        </is>
      </c>
      <c r="F20" s="12" t="inlineStr">
        <is>
          <t>2026-07-22 00:00:00 UTC</t>
        </is>
      </c>
      <c r="G20" s="12" t="inlineStr">
        <is>
          <t>Baseline execution artifact initialized</t>
        </is>
      </c>
    </row>
    <row r="21">
      <c r="A21" s="12" t="inlineStr">
        <is>
          <t>TC-020</t>
        </is>
      </c>
      <c r="B21" s="12" t="inlineStr">
        <is>
          <t>LoginScreen</t>
        </is>
      </c>
      <c r="C21" s="12" t="inlineStr">
        <is>
          <t>Network Failure UI Fallback on Login &amp; Authentication Screen</t>
        </is>
      </c>
      <c r="D21" s="12" t="inlineStr">
        <is>
          <t>Not Executed</t>
        </is>
      </c>
      <c r="E21" s="12" t="inlineStr">
        <is>
          <t>testing-reports/evidence/tc-020_proof.png</t>
        </is>
      </c>
      <c r="F21" s="12" t="inlineStr">
        <is>
          <t>2026-07-22 00:00:00 UTC</t>
        </is>
      </c>
      <c r="G21" s="12" t="inlineStr">
        <is>
          <t>Baseline execution artifact initialized</t>
        </is>
      </c>
    </row>
  </sheetData>
  <autoFilter ref="A1:G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2026-07-22T05:40:21Z</dcterms:created>
  <dcterms:modified xsi:type="dcterms:W3CDTF">2026-07-22T05:40:21Z</dcterms:modified>
</cp:coreProperties>
</file>