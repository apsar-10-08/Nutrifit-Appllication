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Cases'!$A$1:$N$351</definedName>
    <definedName name="_xlnm._FilterDatabase" localSheetId="2" hidden="1">'Execution Evidence'!$A$1:$G$16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- Functional Test Suite Summary</t>
        </is>
      </c>
    </row>
    <row r="2" ht="18" customHeight="1">
      <c r="A2" s="2" t="inlineStr">
        <is>
          <t>Category: Functional | Total Test Cases: 350 | Target: Local Test Environment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Cases'!M:M, "Passed")</f>
        <v/>
      </c>
      <c r="C5" s="4">
        <f>COUNTIF('Detailed Test Cases'!M:M, "Failed")</f>
        <v/>
      </c>
      <c r="D5" s="4">
        <f>COUNTIF('Detailed Test Cases'!M:M, "Skipped")</f>
        <v/>
      </c>
      <c r="E5" s="4">
        <f>COUNTIF('Detailed Test Cases'!M:M, "Blocked")</f>
        <v/>
      </c>
      <c r="F5" s="4">
        <f>COUNTIF('Detailed Test Cases'!M:M, "Not Executed")</f>
        <v/>
      </c>
      <c r="G5" s="4">
        <f>IF(B4=0, "0%", TEXT(B5/B4, "0.0%"))</f>
        <v/>
      </c>
    </row>
    <row r="7">
      <c r="A7" s="5" t="inlineStr">
        <is>
          <t>Module-Wise Test Coverage Breakdown (All 22 Modules)</t>
        </is>
      </c>
    </row>
    <row r="8" ht="24" customHeight="1">
      <c r="A8" s="6" t="inlineStr">
        <is>
          <t>Module Name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Authentication</t>
        </is>
      </c>
      <c r="B9" s="8">
        <f>COUNTIF('Detailed Test Cases'!B:B, A9)</f>
        <v/>
      </c>
      <c r="C9" s="8">
        <f>COUNTIFS('Detailed Test Cases'!B:B, A9, 'Detailed Test Cases'!M:M, "Passed")</f>
        <v/>
      </c>
      <c r="D9" s="8">
        <f>COUNTIFS('Detailed Test Cases'!B:B, A9, 'Detailed Test Cases'!M:M, "Failed")</f>
        <v/>
      </c>
      <c r="E9" s="8">
        <f>COUNTIFS('Detailed Test Cases'!B:B, A9, 'Detailed Test Cases'!M:M, "Skipped")</f>
        <v/>
      </c>
      <c r="F9" s="8">
        <f>COUNTIFS('Detailed Test Cases'!B:B, A9, 'Detailed Test Cases'!M:M, "Blocked")</f>
        <v/>
      </c>
      <c r="G9" s="8">
        <f>COUNTIFS('Detailed Test Cases'!B:B, A9, 'Detailed Test Cases'!M:M, "Not Executed")</f>
        <v/>
      </c>
    </row>
    <row r="10">
      <c r="A10" s="7" t="inlineStr">
        <is>
          <t>Dashboard</t>
        </is>
      </c>
      <c r="B10" s="8">
        <f>COUNTIF('Detailed Test Cases'!B:B, A10)</f>
        <v/>
      </c>
      <c r="C10" s="8">
        <f>COUNTIFS('Detailed Test Cases'!B:B, A10, 'Detailed Test Cases'!M:M, "Passed")</f>
        <v/>
      </c>
      <c r="D10" s="8">
        <f>COUNTIFS('Detailed Test Cases'!B:B, A10, 'Detailed Test Cases'!M:M, "Failed")</f>
        <v/>
      </c>
      <c r="E10" s="8">
        <f>COUNTIFS('Detailed Test Cases'!B:B, A10, 'Detailed Test Cases'!M:M, "Skipped")</f>
        <v/>
      </c>
      <c r="F10" s="8">
        <f>COUNTIFS('Detailed Test Cases'!B:B, A10, 'Detailed Test Cases'!M:M, "Blocked")</f>
        <v/>
      </c>
      <c r="G10" s="8">
        <f>COUNTIFS('Detailed Test Cases'!B:B, A10, 'Detailed Test Cases'!M:M, "Not Executed")</f>
        <v/>
      </c>
    </row>
    <row r="11">
      <c r="A11" s="7" t="inlineStr">
        <is>
          <t>Workout</t>
        </is>
      </c>
      <c r="B11" s="8">
        <f>COUNTIF('Detailed Test Cases'!B:B, A11)</f>
        <v/>
      </c>
      <c r="C11" s="8">
        <f>COUNTIFS('Detailed Test Cases'!B:B, A11, 'Detailed Test Cases'!M:M, "Passed")</f>
        <v/>
      </c>
      <c r="D11" s="8">
        <f>COUNTIFS('Detailed Test Cases'!B:B, A11, 'Detailed Test Cases'!M:M, "Failed")</f>
        <v/>
      </c>
      <c r="E11" s="8">
        <f>COUNTIFS('Detailed Test Cases'!B:B, A11, 'Detailed Test Cases'!M:M, "Skipped")</f>
        <v/>
      </c>
      <c r="F11" s="8">
        <f>COUNTIFS('Detailed Test Cases'!B:B, A11, 'Detailed Test Cases'!M:M, "Blocked")</f>
        <v/>
      </c>
      <c r="G11" s="8">
        <f>COUNTIFS('Detailed Test Cases'!B:B, A11, 'Detailed Test Cases'!M:M, "Not Executed")</f>
        <v/>
      </c>
    </row>
    <row r="12">
      <c r="A12" s="7" t="inlineStr">
        <is>
          <t>Diet</t>
        </is>
      </c>
      <c r="B12" s="8">
        <f>COUNTIF('Detailed Test Cases'!B:B, A12)</f>
        <v/>
      </c>
      <c r="C12" s="8">
        <f>COUNTIFS('Detailed Test Cases'!B:B, A12, 'Detailed Test Cases'!M:M, "Passed")</f>
        <v/>
      </c>
      <c r="D12" s="8">
        <f>COUNTIFS('Detailed Test Cases'!B:B, A12, 'Detailed Test Cases'!M:M, "Failed")</f>
        <v/>
      </c>
      <c r="E12" s="8">
        <f>COUNTIFS('Detailed Test Cases'!B:B, A12, 'Detailed Test Cases'!M:M, "Skipped")</f>
        <v/>
      </c>
      <c r="F12" s="8">
        <f>COUNTIFS('Detailed Test Cases'!B:B, A12, 'Detailed Test Cases'!M:M, "Blocked")</f>
        <v/>
      </c>
      <c r="G12" s="8">
        <f>COUNTIFS('Detailed Test Cases'!B:B, A12, 'Detailed Test Cases'!M:M, "Not Executed")</f>
        <v/>
      </c>
    </row>
    <row r="13">
      <c r="A13" s="7" t="inlineStr">
        <is>
          <t>Budget Diet</t>
        </is>
      </c>
      <c r="B13" s="8">
        <f>COUNTIF('Detailed Test Cases'!B:B, A13)</f>
        <v/>
      </c>
      <c r="C13" s="8">
        <f>COUNTIFS('Detailed Test Cases'!B:B, A13, 'Detailed Test Cases'!M:M, "Passed")</f>
        <v/>
      </c>
      <c r="D13" s="8">
        <f>COUNTIFS('Detailed Test Cases'!B:B, A13, 'Detailed Test Cases'!M:M, "Failed")</f>
        <v/>
      </c>
      <c r="E13" s="8">
        <f>COUNTIFS('Detailed Test Cases'!B:B, A13, 'Detailed Test Cases'!M:M, "Skipped")</f>
        <v/>
      </c>
      <c r="F13" s="8">
        <f>COUNTIFS('Detailed Test Cases'!B:B, A13, 'Detailed Test Cases'!M:M, "Blocked")</f>
        <v/>
      </c>
      <c r="G13" s="8">
        <f>COUNTIFS('Detailed Test Cases'!B:B, A13, 'Detailed Test Cases'!M:M, "Not Executed")</f>
        <v/>
      </c>
    </row>
    <row r="14">
      <c r="A14" s="7" t="inlineStr">
        <is>
          <t>Stretching</t>
        </is>
      </c>
      <c r="B14" s="8">
        <f>COUNTIF('Detailed Test Cases'!B:B, A14)</f>
        <v/>
      </c>
      <c r="C14" s="8">
        <f>COUNTIFS('Detailed Test Cases'!B:B, A14, 'Detailed Test Cases'!M:M, "Passed")</f>
        <v/>
      </c>
      <c r="D14" s="8">
        <f>COUNTIFS('Detailed Test Cases'!B:B, A14, 'Detailed Test Cases'!M:M, "Failed")</f>
        <v/>
      </c>
      <c r="E14" s="8">
        <f>COUNTIFS('Detailed Test Cases'!B:B, A14, 'Detailed Test Cases'!M:M, "Skipped")</f>
        <v/>
      </c>
      <c r="F14" s="8">
        <f>COUNTIFS('Detailed Test Cases'!B:B, A14, 'Detailed Test Cases'!M:M, "Blocked")</f>
        <v/>
      </c>
      <c r="G14" s="8">
        <f>COUNTIFS('Detailed Test Cases'!B:B, A14, 'Detailed Test Cases'!M:M, "Not Executed")</f>
        <v/>
      </c>
    </row>
    <row r="15">
      <c r="A15" s="7" t="inlineStr">
        <is>
          <t>Water Tracker</t>
        </is>
      </c>
      <c r="B15" s="8">
        <f>COUNTIF('Detailed Test Cases'!B:B, A15)</f>
        <v/>
      </c>
      <c r="C15" s="8">
        <f>COUNTIFS('Detailed Test Cases'!B:B, A15, 'Detailed Test Cases'!M:M, "Passed")</f>
        <v/>
      </c>
      <c r="D15" s="8">
        <f>COUNTIFS('Detailed Test Cases'!B:B, A15, 'Detailed Test Cases'!M:M, "Failed")</f>
        <v/>
      </c>
      <c r="E15" s="8">
        <f>COUNTIFS('Detailed Test Cases'!B:B, A15, 'Detailed Test Cases'!M:M, "Skipped")</f>
        <v/>
      </c>
      <c r="F15" s="8">
        <f>COUNTIFS('Detailed Test Cases'!B:B, A15, 'Detailed Test Cases'!M:M, "Blocked")</f>
        <v/>
      </c>
      <c r="G15" s="8">
        <f>COUNTIFS('Detailed Test Cases'!B:B, A15, 'Detailed Test Cases'!M:M, "Not Executed")</f>
        <v/>
      </c>
    </row>
    <row r="16">
      <c r="A16" s="7" t="inlineStr">
        <is>
          <t>Sleep Tracker</t>
        </is>
      </c>
      <c r="B16" s="8">
        <f>COUNTIF('Detailed Test Cases'!B:B, A16)</f>
        <v/>
      </c>
      <c r="C16" s="8">
        <f>COUNTIFS('Detailed Test Cases'!B:B, A16, 'Detailed Test Cases'!M:M, "Passed")</f>
        <v/>
      </c>
      <c r="D16" s="8">
        <f>COUNTIFS('Detailed Test Cases'!B:B, A16, 'Detailed Test Cases'!M:M, "Failed")</f>
        <v/>
      </c>
      <c r="E16" s="8">
        <f>COUNTIFS('Detailed Test Cases'!B:B, A16, 'Detailed Test Cases'!M:M, "Skipped")</f>
        <v/>
      </c>
      <c r="F16" s="8">
        <f>COUNTIFS('Detailed Test Cases'!B:B, A16, 'Detailed Test Cases'!M:M, "Blocked")</f>
        <v/>
      </c>
      <c r="G16" s="8">
        <f>COUNTIFS('Detailed Test Cases'!B:B, A16, 'Detailed Test Cases'!M:M, "Not Executed")</f>
        <v/>
      </c>
    </row>
    <row r="17">
      <c r="A17" s="7" t="inlineStr">
        <is>
          <t>Step Tracker</t>
        </is>
      </c>
      <c r="B17" s="8">
        <f>COUNTIF('Detailed Test Cases'!B:B, A17)</f>
        <v/>
      </c>
      <c r="C17" s="8">
        <f>COUNTIFS('Detailed Test Cases'!B:B, A17, 'Detailed Test Cases'!M:M, "Passed")</f>
        <v/>
      </c>
      <c r="D17" s="8">
        <f>COUNTIFS('Detailed Test Cases'!B:B, A17, 'Detailed Test Cases'!M:M, "Failed")</f>
        <v/>
      </c>
      <c r="E17" s="8">
        <f>COUNTIFS('Detailed Test Cases'!B:B, A17, 'Detailed Test Cases'!M:M, "Skipped")</f>
        <v/>
      </c>
      <c r="F17" s="8">
        <f>COUNTIFS('Detailed Test Cases'!B:B, A17, 'Detailed Test Cases'!M:M, "Blocked")</f>
        <v/>
      </c>
      <c r="G17" s="8">
        <f>COUNTIFS('Detailed Test Cases'!B:B, A17, 'Detailed Test Cases'!M:M, "Not Executed")</f>
        <v/>
      </c>
    </row>
    <row r="18">
      <c r="A18" s="7" t="inlineStr">
        <is>
          <t>AI Trainer</t>
        </is>
      </c>
      <c r="B18" s="8">
        <f>COUNTIF('Detailed Test Cases'!B:B, A18)</f>
        <v/>
      </c>
      <c r="C18" s="8">
        <f>COUNTIFS('Detailed Test Cases'!B:B, A18, 'Detailed Test Cases'!M:M, "Passed")</f>
        <v/>
      </c>
      <c r="D18" s="8">
        <f>COUNTIFS('Detailed Test Cases'!B:B, A18, 'Detailed Test Cases'!M:M, "Failed")</f>
        <v/>
      </c>
      <c r="E18" s="8">
        <f>COUNTIFS('Detailed Test Cases'!B:B, A18, 'Detailed Test Cases'!M:M, "Skipped")</f>
        <v/>
      </c>
      <c r="F18" s="8">
        <f>COUNTIFS('Detailed Test Cases'!B:B, A18, 'Detailed Test Cases'!M:M, "Blocked")</f>
        <v/>
      </c>
      <c r="G18" s="8">
        <f>COUNTIFS('Detailed Test Cases'!B:B, A18, 'Detailed Test Cases'!M:M, "Not Executed")</f>
        <v/>
      </c>
    </row>
    <row r="19">
      <c r="A19" s="7" t="inlineStr">
        <is>
          <t>Shop</t>
        </is>
      </c>
      <c r="B19" s="8">
        <f>COUNTIF('Detailed Test Cases'!B:B, A19)</f>
        <v/>
      </c>
      <c r="C19" s="8">
        <f>COUNTIFS('Detailed Test Cases'!B:B, A19, 'Detailed Test Cases'!M:M, "Passed")</f>
        <v/>
      </c>
      <c r="D19" s="8">
        <f>COUNTIFS('Detailed Test Cases'!B:B, A19, 'Detailed Test Cases'!M:M, "Failed")</f>
        <v/>
      </c>
      <c r="E19" s="8">
        <f>COUNTIFS('Detailed Test Cases'!B:B, A19, 'Detailed Test Cases'!M:M, "Skipped")</f>
        <v/>
      </c>
      <c r="F19" s="8">
        <f>COUNTIFS('Detailed Test Cases'!B:B, A19, 'Detailed Test Cases'!M:M, "Blocked")</f>
        <v/>
      </c>
      <c r="G19" s="8">
        <f>COUNTIFS('Detailed Test Cases'!B:B, A19, 'Detailed Test Cases'!M:M, "Not Executed")</f>
        <v/>
      </c>
    </row>
    <row r="20">
      <c r="A20" s="7" t="inlineStr">
        <is>
          <t>Cart</t>
        </is>
      </c>
      <c r="B20" s="8">
        <f>COUNTIF('Detailed Test Cases'!B:B, A20)</f>
        <v/>
      </c>
      <c r="C20" s="8">
        <f>COUNTIFS('Detailed Test Cases'!B:B, A20, 'Detailed Test Cases'!M:M, "Passed")</f>
        <v/>
      </c>
      <c r="D20" s="8">
        <f>COUNTIFS('Detailed Test Cases'!B:B, A20, 'Detailed Test Cases'!M:M, "Failed")</f>
        <v/>
      </c>
      <c r="E20" s="8">
        <f>COUNTIFS('Detailed Test Cases'!B:B, A20, 'Detailed Test Cases'!M:M, "Skipped")</f>
        <v/>
      </c>
      <c r="F20" s="8">
        <f>COUNTIFS('Detailed Test Cases'!B:B, A20, 'Detailed Test Cases'!M:M, "Blocked")</f>
        <v/>
      </c>
      <c r="G20" s="8">
        <f>COUNTIFS('Detailed Test Cases'!B:B, A20, 'Detailed Test Cases'!M:M, "Not Executed")</f>
        <v/>
      </c>
    </row>
    <row r="21">
      <c r="A21" s="7" t="inlineStr">
        <is>
          <t>Checkout</t>
        </is>
      </c>
      <c r="B21" s="8">
        <f>COUNTIF('Detailed Test Cases'!B:B, A21)</f>
        <v/>
      </c>
      <c r="C21" s="8">
        <f>COUNTIFS('Detailed Test Cases'!B:B, A21, 'Detailed Test Cases'!M:M, "Passed")</f>
        <v/>
      </c>
      <c r="D21" s="8">
        <f>COUNTIFS('Detailed Test Cases'!B:B, A21, 'Detailed Test Cases'!M:M, "Failed")</f>
        <v/>
      </c>
      <c r="E21" s="8">
        <f>COUNTIFS('Detailed Test Cases'!B:B, A21, 'Detailed Test Cases'!M:M, "Skipped")</f>
        <v/>
      </c>
      <c r="F21" s="8">
        <f>COUNTIFS('Detailed Test Cases'!B:B, A21, 'Detailed Test Cases'!M:M, "Blocked")</f>
        <v/>
      </c>
      <c r="G21" s="8">
        <f>COUNTIFS('Detailed Test Cases'!B:B, A21, 'Detailed Test Cases'!M:M, "Not Executed")</f>
        <v/>
      </c>
    </row>
    <row r="22">
      <c r="A22" s="7" t="inlineStr">
        <is>
          <t>Address</t>
        </is>
      </c>
      <c r="B22" s="8">
        <f>COUNTIF('Detailed Test Cases'!B:B, A22)</f>
        <v/>
      </c>
      <c r="C22" s="8">
        <f>COUNTIFS('Detailed Test Cases'!B:B, A22, 'Detailed Test Cases'!M:M, "Passed")</f>
        <v/>
      </c>
      <c r="D22" s="8">
        <f>COUNTIFS('Detailed Test Cases'!B:B, A22, 'Detailed Test Cases'!M:M, "Failed")</f>
        <v/>
      </c>
      <c r="E22" s="8">
        <f>COUNTIFS('Detailed Test Cases'!B:B, A22, 'Detailed Test Cases'!M:M, "Skipped")</f>
        <v/>
      </c>
      <c r="F22" s="8">
        <f>COUNTIFS('Detailed Test Cases'!B:B, A22, 'Detailed Test Cases'!M:M, "Blocked")</f>
        <v/>
      </c>
      <c r="G22" s="8">
        <f>COUNTIFS('Detailed Test Cases'!B:B, A22, 'Detailed Test Cases'!M:M, "Not Executed")</f>
        <v/>
      </c>
    </row>
    <row r="23">
      <c r="A23" s="7" t="inlineStr">
        <is>
          <t>Orders</t>
        </is>
      </c>
      <c r="B23" s="8">
        <f>COUNTIF('Detailed Test Cases'!B:B, A23)</f>
        <v/>
      </c>
      <c r="C23" s="8">
        <f>COUNTIFS('Detailed Test Cases'!B:B, A23, 'Detailed Test Cases'!M:M, "Passed")</f>
        <v/>
      </c>
      <c r="D23" s="8">
        <f>COUNTIFS('Detailed Test Cases'!B:B, A23, 'Detailed Test Cases'!M:M, "Failed")</f>
        <v/>
      </c>
      <c r="E23" s="8">
        <f>COUNTIFS('Detailed Test Cases'!B:B, A23, 'Detailed Test Cases'!M:M, "Skipped")</f>
        <v/>
      </c>
      <c r="F23" s="8">
        <f>COUNTIFS('Detailed Test Cases'!B:B, A23, 'Detailed Test Cases'!M:M, "Blocked")</f>
        <v/>
      </c>
      <c r="G23" s="8">
        <f>COUNTIFS('Detailed Test Cases'!B:B, A23, 'Detailed Test Cases'!M:M, "Not Executed")</f>
        <v/>
      </c>
    </row>
    <row r="24">
      <c r="A24" s="7" t="inlineStr">
        <is>
          <t>Profile</t>
        </is>
      </c>
      <c r="B24" s="8">
        <f>COUNTIF('Detailed Test Cases'!B:B, A24)</f>
        <v/>
      </c>
      <c r="C24" s="8">
        <f>COUNTIFS('Detailed Test Cases'!B:B, A24, 'Detailed Test Cases'!M:M, "Passed")</f>
        <v/>
      </c>
      <c r="D24" s="8">
        <f>COUNTIFS('Detailed Test Cases'!B:B, A24, 'Detailed Test Cases'!M:M, "Failed")</f>
        <v/>
      </c>
      <c r="E24" s="8">
        <f>COUNTIFS('Detailed Test Cases'!B:B, A24, 'Detailed Test Cases'!M:M, "Skipped")</f>
        <v/>
      </c>
      <c r="F24" s="8">
        <f>COUNTIFS('Detailed Test Cases'!B:B, A24, 'Detailed Test Cases'!M:M, "Blocked")</f>
        <v/>
      </c>
      <c r="G24" s="8">
        <f>COUNTIFS('Detailed Test Cases'!B:B, A24, 'Detailed Test Cases'!M:M, "Not Executed")</f>
        <v/>
      </c>
    </row>
    <row r="25">
      <c r="A25" s="7" t="inlineStr">
        <is>
          <t>Notifications</t>
        </is>
      </c>
      <c r="B25" s="8">
        <f>COUNTIF('Detailed Test Cases'!B:B, A25)</f>
        <v/>
      </c>
      <c r="C25" s="8">
        <f>COUNTIFS('Detailed Test Cases'!B:B, A25, 'Detailed Test Cases'!M:M, "Passed")</f>
        <v/>
      </c>
      <c r="D25" s="8">
        <f>COUNTIFS('Detailed Test Cases'!B:B, A25, 'Detailed Test Cases'!M:M, "Failed")</f>
        <v/>
      </c>
      <c r="E25" s="8">
        <f>COUNTIFS('Detailed Test Cases'!B:B, A25, 'Detailed Test Cases'!M:M, "Skipped")</f>
        <v/>
      </c>
      <c r="F25" s="8">
        <f>COUNTIFS('Detailed Test Cases'!B:B, A25, 'Detailed Test Cases'!M:M, "Blocked")</f>
        <v/>
      </c>
      <c r="G25" s="8">
        <f>COUNTIFS('Detailed Test Cases'!B:B, A25, 'Detailed Test Cases'!M:M, "Not Executed")</f>
        <v/>
      </c>
    </row>
    <row r="26">
      <c r="A26" s="7" t="inlineStr">
        <is>
          <t>Settings</t>
        </is>
      </c>
      <c r="B26" s="8">
        <f>COUNTIF('Detailed Test Cases'!B:B, A26)</f>
        <v/>
      </c>
      <c r="C26" s="8">
        <f>COUNTIFS('Detailed Test Cases'!B:B, A26, 'Detailed Test Cases'!M:M, "Passed")</f>
        <v/>
      </c>
      <c r="D26" s="8">
        <f>COUNTIFS('Detailed Test Cases'!B:B, A26, 'Detailed Test Cases'!M:M, "Failed")</f>
        <v/>
      </c>
      <c r="E26" s="8">
        <f>COUNTIFS('Detailed Test Cases'!B:B, A26, 'Detailed Test Cases'!M:M, "Skipped")</f>
        <v/>
      </c>
      <c r="F26" s="8">
        <f>COUNTIFS('Detailed Test Cases'!B:B, A26, 'Detailed Test Cases'!M:M, "Blocked")</f>
        <v/>
      </c>
      <c r="G26" s="8">
        <f>COUNTIFS('Detailed Test Cases'!B:B, A26, 'Detailed Test Cases'!M:M, "Not Executed")</f>
        <v/>
      </c>
    </row>
    <row r="27">
      <c r="A27" s="7" t="inlineStr">
        <is>
          <t>Localization</t>
        </is>
      </c>
      <c r="B27" s="8">
        <f>COUNTIF('Detailed Test Cases'!B:B, A27)</f>
        <v/>
      </c>
      <c r="C27" s="8">
        <f>COUNTIFS('Detailed Test Cases'!B:B, A27, 'Detailed Test Cases'!M:M, "Passed")</f>
        <v/>
      </c>
      <c r="D27" s="8">
        <f>COUNTIFS('Detailed Test Cases'!B:B, A27, 'Detailed Test Cases'!M:M, "Failed")</f>
        <v/>
      </c>
      <c r="E27" s="8">
        <f>COUNTIFS('Detailed Test Cases'!B:B, A27, 'Detailed Test Cases'!M:M, "Skipped")</f>
        <v/>
      </c>
      <c r="F27" s="8">
        <f>COUNTIFS('Detailed Test Cases'!B:B, A27, 'Detailed Test Cases'!M:M, "Blocked")</f>
        <v/>
      </c>
      <c r="G27" s="8">
        <f>COUNTIFS('Detailed Test Cases'!B:B, A27, 'Detailed Test Cases'!M:M, "Not Executed")</f>
        <v/>
      </c>
    </row>
    <row r="28">
      <c r="A28" s="7" t="inlineStr">
        <is>
          <t>Supabase Integration</t>
        </is>
      </c>
      <c r="B28" s="8">
        <f>COUNTIF('Detailed Test Cases'!B:B, A28)</f>
        <v/>
      </c>
      <c r="C28" s="8">
        <f>COUNTIFS('Detailed Test Cases'!B:B, A28, 'Detailed Test Cases'!M:M, "Passed")</f>
        <v/>
      </c>
      <c r="D28" s="8">
        <f>COUNTIFS('Detailed Test Cases'!B:B, A28, 'Detailed Test Cases'!M:M, "Failed")</f>
        <v/>
      </c>
      <c r="E28" s="8">
        <f>COUNTIFS('Detailed Test Cases'!B:B, A28, 'Detailed Test Cases'!M:M, "Skipped")</f>
        <v/>
      </c>
      <c r="F28" s="8">
        <f>COUNTIFS('Detailed Test Cases'!B:B, A28, 'Detailed Test Cases'!M:M, "Blocked")</f>
        <v/>
      </c>
      <c r="G28" s="8">
        <f>COUNTIFS('Detailed Test Cases'!B:B, A28, 'Detailed Test Cases'!M:M, "Not Executed")</f>
        <v/>
      </c>
    </row>
    <row r="29">
      <c r="A29" s="7" t="inlineStr">
        <is>
          <t>Responsive Web</t>
        </is>
      </c>
      <c r="B29" s="8">
        <f>COUNTIF('Detailed Test Cases'!B:B, A29)</f>
        <v/>
      </c>
      <c r="C29" s="8">
        <f>COUNTIFS('Detailed Test Cases'!B:B, A29, 'Detailed Test Cases'!M:M, "Passed")</f>
        <v/>
      </c>
      <c r="D29" s="8">
        <f>COUNTIFS('Detailed Test Cases'!B:B, A29, 'Detailed Test Cases'!M:M, "Failed")</f>
        <v/>
      </c>
      <c r="E29" s="8">
        <f>COUNTIFS('Detailed Test Cases'!B:B, A29, 'Detailed Test Cases'!M:M, "Skipped")</f>
        <v/>
      </c>
      <c r="F29" s="8">
        <f>COUNTIFS('Detailed Test Cases'!B:B, A29, 'Detailed Test Cases'!M:M, "Blocked")</f>
        <v/>
      </c>
      <c r="G29" s="8">
        <f>COUNTIFS('Detailed Test Cases'!B:B, A29, 'Detailed Test Cases'!M:M, "Not Executed")</f>
        <v/>
      </c>
    </row>
    <row r="30">
      <c r="A30" s="7" t="inlineStr">
        <is>
          <t>Android UI</t>
        </is>
      </c>
      <c r="B30" s="8">
        <f>COUNTIF('Detailed Test Cases'!B:B, A30)</f>
        <v/>
      </c>
      <c r="C30" s="8">
        <f>COUNTIFS('Detailed Test Cases'!B:B, A30, 'Detailed Test Cases'!M:M, "Passed")</f>
        <v/>
      </c>
      <c r="D30" s="8">
        <f>COUNTIFS('Detailed Test Cases'!B:B, A30, 'Detailed Test Cases'!M:M, "Failed")</f>
        <v/>
      </c>
      <c r="E30" s="8">
        <f>COUNTIFS('Detailed Test Cases'!B:B, A30, 'Detailed Test Cases'!M:M, "Skipped")</f>
        <v/>
      </c>
      <c r="F30" s="8">
        <f>COUNTIFS('Detailed Test Cases'!B:B, A30, 'Detailed Test Cases'!M:M, "Blocked")</f>
        <v/>
      </c>
      <c r="G30" s="8">
        <f>COUNTIFS('Detailed Test Cases'!B:B, A30, 'Detailed Test Cases'!M:M, "Not Executed")</f>
        <v/>
      </c>
    </row>
    <row r="31">
      <c r="A31" s="9" t="inlineStr">
        <is>
          <t>Total Suite</t>
        </is>
      </c>
      <c r="B31" s="10">
        <f>SUM(B9:B30)</f>
        <v/>
      </c>
      <c r="C31" s="10">
        <f>SUM(C9:C30)</f>
        <v/>
      </c>
      <c r="D31" s="10">
        <f>SUM(D9:D30)</f>
        <v/>
      </c>
      <c r="E31" s="10">
        <f>SUM(E9:E30)</f>
        <v/>
      </c>
      <c r="F31" s="10">
        <f>SUM(F9:F30)</f>
        <v/>
      </c>
      <c r="G31" s="10">
        <f>SUM(G9:G30)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5" customWidth="1" min="4" max="4"/>
    <col width="35" customWidth="1" min="5" max="5"/>
    <col width="30" customWidth="1" min="6" max="6"/>
    <col width="45" customWidth="1" min="7" max="7"/>
    <col width="28" customWidth="1" min="8" max="8"/>
    <col width="35" customWidth="1" min="9" max="9"/>
    <col width="20" customWidth="1" min="10" max="10"/>
    <col width="12" customWidth="1" min="11" max="11"/>
    <col width="12" customWidth="1" min="12" max="12"/>
    <col width="15" customWidth="1" min="13" max="13"/>
    <col width="25" customWidth="1" min="14" max="14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Test Title</t>
        </is>
      </c>
      <c r="E1" s="6" t="inlineStr">
        <is>
          <t>Objective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Status</t>
        </is>
      </c>
      <c r="N1" s="6" t="inlineStr">
        <is>
          <t>Remarks</t>
        </is>
      </c>
    </row>
    <row r="2" ht="36" customHeight="1">
      <c r="A2" s="11" t="inlineStr">
        <is>
          <t>FUN-001</t>
        </is>
      </c>
      <c r="B2" s="12" t="inlineStr">
        <is>
          <t>Authentication</t>
        </is>
      </c>
      <c r="C2" s="12" t="inlineStr">
        <is>
          <t>Verify component logic and state mutation functions for Authentication</t>
        </is>
      </c>
      <c r="D2" s="12" t="inlineStr">
        <is>
          <t>Functional - Authentication - Verify component logic and state mutation functions (#1)</t>
        </is>
      </c>
      <c r="E2" s="12" t="inlineStr">
        <is>
          <t>Ensure Authentication module satisfies quality criteria for Functional category.</t>
        </is>
      </c>
      <c r="F2" s="12" t="inlineStr">
        <is>
          <t>Test environment active, NutriFit app launched on local test setup for Authentication.</t>
        </is>
      </c>
      <c r="G2" s="12" t="inlineStr">
        <is>
          <t>1. Open NutriFit app on target setup.
2. Navigate to Authentication screen.
3. Invoke component function with test parameters, observe return values and side effects.
4. Validate assertions.</t>
        </is>
      </c>
      <c r="H2" s="12" t="inlineStr">
        <is>
          <t>Module: Authentication, Setup: Local Host, Detail: Function params: Variant #1 (Authentication)</t>
        </is>
      </c>
      <c r="I2" s="12" t="inlineStr">
        <is>
          <t>Function executes logic accurately and updates internal state correctly. for module Authentication.</t>
        </is>
      </c>
      <c r="J2" s="12" t="inlineStr">
        <is>
          <t>Pending Execution</t>
        </is>
      </c>
      <c r="K2" s="11" t="inlineStr">
        <is>
          <t>Medium</t>
        </is>
      </c>
      <c r="L2" s="11" t="inlineStr">
        <is>
          <t>Moderate</t>
        </is>
      </c>
      <c r="M2" s="13" t="inlineStr">
        <is>
          <t>Not Executed</t>
        </is>
      </c>
      <c r="N2" s="12" t="inlineStr">
        <is>
          <t>Generated baseline case for Functional</t>
        </is>
      </c>
    </row>
    <row r="3" ht="36" customHeight="1">
      <c r="A3" s="11" t="inlineStr">
        <is>
          <t>FUN-002</t>
        </is>
      </c>
      <c r="B3" s="12" t="inlineStr">
        <is>
          <t>Dashboard</t>
        </is>
      </c>
      <c r="C3" s="12" t="inlineStr">
        <is>
          <t>Verify validation constraints and edge-case handling for Dashboard</t>
        </is>
      </c>
      <c r="D3" s="12" t="inlineStr">
        <is>
          <t>Functional - Dashboard - Verify validation constraints and edge-case handling (#2)</t>
        </is>
      </c>
      <c r="E3" s="12" t="inlineStr">
        <is>
          <t>Ensure Dashboard module satisfies quality criteria for Functional category.</t>
        </is>
      </c>
      <c r="F3" s="12" t="inlineStr">
        <is>
          <t>Test environment active, NutriFit app launched on local test setup for Dashboard.</t>
        </is>
      </c>
      <c r="G3" s="12" t="inlineStr">
        <is>
          <t>1. Open NutriFit app on target setup.
2. Navigate to Dashboard screen.
3. Pass boundary, empty, and out-of-bounds inputs to validation handler.
4. Validate assertions.</t>
        </is>
      </c>
      <c r="H3" s="12" t="inlineStr">
        <is>
          <t>Module: Dashboard, Setup: Local Host, Detail: Edge case input: Variant #2 (Dashboard)</t>
        </is>
      </c>
      <c r="I3" s="12" t="inlineStr">
        <is>
          <t>Validation rules enforce constraints and return precise error strings. for module Dashboard.</t>
        </is>
      </c>
      <c r="J3" s="12" t="inlineStr">
        <is>
          <t>Pending Execution</t>
        </is>
      </c>
      <c r="K3" s="11" t="inlineStr">
        <is>
          <t>Medium</t>
        </is>
      </c>
      <c r="L3" s="11" t="inlineStr">
        <is>
          <t>Major</t>
        </is>
      </c>
      <c r="M3" s="13" t="inlineStr">
        <is>
          <t>Not Executed</t>
        </is>
      </c>
      <c r="N3" s="12" t="inlineStr">
        <is>
          <t>Generated baseline case for Functional</t>
        </is>
      </c>
    </row>
    <row r="4" ht="36" customHeight="1">
      <c r="A4" s="11" t="inlineStr">
        <is>
          <t>FUN-003</t>
        </is>
      </c>
      <c r="B4" s="12" t="inlineStr">
        <is>
          <t>Workout</t>
        </is>
      </c>
      <c r="C4" s="12" t="inlineStr">
        <is>
          <t>Verify asynchronous service calls and Futures resolution for Workout</t>
        </is>
      </c>
      <c r="D4" s="12" t="inlineStr">
        <is>
          <t>Functional - Workout - Verify asynchronous service calls and Futures resolution (#3)</t>
        </is>
      </c>
      <c r="E4" s="12" t="inlineStr">
        <is>
          <t>Ensure Workout module satisfies quality criteria for Functional category.</t>
        </is>
      </c>
      <c r="F4" s="12" t="inlineStr">
        <is>
          <t>Test environment active, NutriFit app launched on local test setup for Workout.</t>
        </is>
      </c>
      <c r="G4" s="12" t="inlineStr">
        <is>
          <t>1. Open NutriFit app on target setup.
2. Navigate to Workout screen.
3. Execute async service method, await Future completion, parse response model.
4. Validate assertions.</t>
        </is>
      </c>
      <c r="H4" s="12" t="inlineStr">
        <is>
          <t>Module: Workout, Setup: Local Host, Detail: Async payload: Variant #3 (Workout)</t>
        </is>
      </c>
      <c r="I4" s="12" t="inlineStr">
        <is>
          <t>Service parses JSON response cleanly into domain model instance. for module Workout.</t>
        </is>
      </c>
      <c r="J4" s="12" t="inlineStr">
        <is>
          <t>Pending Execution</t>
        </is>
      </c>
      <c r="K4" s="11" t="inlineStr">
        <is>
          <t>High</t>
        </is>
      </c>
      <c r="L4" s="11" t="inlineStr">
        <is>
          <t>Moderate</t>
        </is>
      </c>
      <c r="M4" s="13" t="inlineStr">
        <is>
          <t>Not Executed</t>
        </is>
      </c>
      <c r="N4" s="12" t="inlineStr">
        <is>
          <t>Generated baseline case for Functional</t>
        </is>
      </c>
    </row>
    <row r="5" ht="36" customHeight="1">
      <c r="A5" s="11" t="inlineStr">
        <is>
          <t>FUN-004</t>
        </is>
      </c>
      <c r="B5" s="12" t="inlineStr">
        <is>
          <t>Diet</t>
        </is>
      </c>
      <c r="C5" s="12" t="inlineStr">
        <is>
          <t>Verify reactive state listener callbacks and UI rebuilds for Diet</t>
        </is>
      </c>
      <c r="D5" s="12" t="inlineStr">
        <is>
          <t>Functional - Diet - Verify reactive state listener callbacks and UI rebuilds (#4)</t>
        </is>
      </c>
      <c r="E5" s="12" t="inlineStr">
        <is>
          <t>Ensure Diet module satisfies quality criteria for Functional category.</t>
        </is>
      </c>
      <c r="F5" s="12" t="inlineStr">
        <is>
          <t>Test environment active, NutriFit app launched on local test setup for Diet.</t>
        </is>
      </c>
      <c r="G5" s="12" t="inlineStr">
        <is>
          <t>1. Open NutriFit app on target setup.
2. Navigate to Diet screen.
3. Mutate state property in Provider model, count listener callbacks triggered.
4. Validate assertions.</t>
        </is>
      </c>
      <c r="H5" s="12" t="inlineStr">
        <is>
          <t>Module: Diet, Setup: Local Host, Detail: Provider notify: Variant #4 (Diet)</t>
        </is>
      </c>
      <c r="I5" s="12" t="inlineStr">
        <is>
          <t>Listeners receive notification and rebuild bound UI components once. for module Diet.</t>
        </is>
      </c>
      <c r="J5" s="12" t="inlineStr">
        <is>
          <t>Pending Execution</t>
        </is>
      </c>
      <c r="K5" s="11" t="inlineStr">
        <is>
          <t>Medium</t>
        </is>
      </c>
      <c r="L5" s="11" t="inlineStr">
        <is>
          <t>Major</t>
        </is>
      </c>
      <c r="M5" s="13" t="inlineStr">
        <is>
          <t>Not Executed</t>
        </is>
      </c>
      <c r="N5" s="12" t="inlineStr">
        <is>
          <t>Generated baseline case for Functional</t>
        </is>
      </c>
    </row>
    <row r="6" ht="36" customHeight="1">
      <c r="A6" s="11" t="inlineStr">
        <is>
          <t>FUN-005</t>
        </is>
      </c>
      <c r="B6" s="12" t="inlineStr">
        <is>
          <t>Budget Diet</t>
        </is>
      </c>
      <c r="C6" s="12" t="inlineStr">
        <is>
          <t>Verify authorization guard rules and permission checks for Budget Diet</t>
        </is>
      </c>
      <c r="D6" s="12" t="inlineStr">
        <is>
          <t>Functional - Budget Diet - Verify authorization guard rules and permission checks (#5)</t>
        </is>
      </c>
      <c r="E6" s="12" t="inlineStr">
        <is>
          <t>Ensure Budget Diet module satisfies quality criteria for Functional category.</t>
        </is>
      </c>
      <c r="F6" s="12" t="inlineStr">
        <is>
          <t>Test environment active, NutriFit app launched on local test setup for Budget Diet.</t>
        </is>
      </c>
      <c r="G6" s="12" t="inlineStr">
        <is>
          <t>1. Open NutriFit app on target setup.
2. Navigate to Budget Diet screen.
3. Attempt feature access with restricted user permissions.
4. Validate assertions.</t>
        </is>
      </c>
      <c r="H6" s="12" t="inlineStr">
        <is>
          <t>Module: Budget Diet, Setup: Local Host, Detail: Auth role: Variant #5 (Budget Diet)</t>
        </is>
      </c>
      <c r="I6" s="12" t="inlineStr">
        <is>
          <t>Authorization guard blocks access and redirects to permission error screen. for module Budget Diet.</t>
        </is>
      </c>
      <c r="J6" s="12" t="inlineStr">
        <is>
          <t>Pending Execution</t>
        </is>
      </c>
      <c r="K6" s="11" t="inlineStr">
        <is>
          <t>Low</t>
        </is>
      </c>
      <c r="L6" s="11" t="inlineStr">
        <is>
          <t>Moderate</t>
        </is>
      </c>
      <c r="M6" s="13" t="inlineStr">
        <is>
          <t>Not Executed</t>
        </is>
      </c>
      <c r="N6" s="12" t="inlineStr">
        <is>
          <t>Generated baseline case for Functional</t>
        </is>
      </c>
    </row>
    <row r="7" ht="36" customHeight="1">
      <c r="A7" s="11" t="inlineStr">
        <is>
          <t>FUN-006</t>
        </is>
      </c>
      <c r="B7" s="12" t="inlineStr">
        <is>
          <t>Stretching</t>
        </is>
      </c>
      <c r="C7" s="12" t="inlineStr">
        <is>
          <t>Verify component logic and state mutation functions for Stretching</t>
        </is>
      </c>
      <c r="D7" s="12" t="inlineStr">
        <is>
          <t>Functional - Stretching - Verify component logic and state mutation functions (#6)</t>
        </is>
      </c>
      <c r="E7" s="12" t="inlineStr">
        <is>
          <t>Ensure Stretching module satisfies quality criteria for Functional category.</t>
        </is>
      </c>
      <c r="F7" s="12" t="inlineStr">
        <is>
          <t>Test environment active, NutriFit app launched on local test setup for Stretching.</t>
        </is>
      </c>
      <c r="G7" s="12" t="inlineStr">
        <is>
          <t>1. Open NutriFit app on target setup.
2. Navigate to Stretching screen.
3. Invoke component function with test parameters, observe return values and side effects.
4. Validate assertions.</t>
        </is>
      </c>
      <c r="H7" s="12" t="inlineStr">
        <is>
          <t>Module: Stretching, Setup: Local Host, Detail: Function params: Variant #6 (Stretching)</t>
        </is>
      </c>
      <c r="I7" s="12" t="inlineStr">
        <is>
          <t>Function executes logic accurately and updates internal state correctly. for module Stretching.</t>
        </is>
      </c>
      <c r="J7" s="12" t="inlineStr">
        <is>
          <t>Pending Execution</t>
        </is>
      </c>
      <c r="K7" s="11" t="inlineStr">
        <is>
          <t>High</t>
        </is>
      </c>
      <c r="L7" s="11" t="inlineStr">
        <is>
          <t>Major</t>
        </is>
      </c>
      <c r="M7" s="13" t="inlineStr">
        <is>
          <t>Not Executed</t>
        </is>
      </c>
      <c r="N7" s="12" t="inlineStr">
        <is>
          <t>Generated baseline case for Functional</t>
        </is>
      </c>
    </row>
    <row r="8" ht="36" customHeight="1">
      <c r="A8" s="11" t="inlineStr">
        <is>
          <t>FUN-007</t>
        </is>
      </c>
      <c r="B8" s="12" t="inlineStr">
        <is>
          <t>Water Tracker</t>
        </is>
      </c>
      <c r="C8" s="12" t="inlineStr">
        <is>
          <t>Verify validation constraints and edge-case handling for Water Tracker</t>
        </is>
      </c>
      <c r="D8" s="12" t="inlineStr">
        <is>
          <t>Functional - Water Tracker - Verify validation constraints and edge-case handling (#7)</t>
        </is>
      </c>
      <c r="E8" s="12" t="inlineStr">
        <is>
          <t>Ensure Water Tracker module satisfies quality criteria for Functional category.</t>
        </is>
      </c>
      <c r="F8" s="12" t="inlineStr">
        <is>
          <t>Test environment active, NutriFit app launched on local test setup for Water Tracker.</t>
        </is>
      </c>
      <c r="G8" s="12" t="inlineStr">
        <is>
          <t>1. Open NutriFit app on target setup.
2. Navigate to Water Tracker screen.
3. Pass boundary, empty, and out-of-bounds inputs to validation handler.
4. Validate assertions.</t>
        </is>
      </c>
      <c r="H8" s="12" t="inlineStr">
        <is>
          <t>Module: Water Tracker, Setup: Local Host, Detail: Edge case input: Variant #7 (Water Tracker)</t>
        </is>
      </c>
      <c r="I8" s="12" t="inlineStr">
        <is>
          <t>Validation rules enforce constraints and return precise error strings. for module Water Tracker.</t>
        </is>
      </c>
      <c r="J8" s="12" t="inlineStr">
        <is>
          <t>Pending Execution</t>
        </is>
      </c>
      <c r="K8" s="11" t="inlineStr">
        <is>
          <t>Medium</t>
        </is>
      </c>
      <c r="L8" s="11" t="inlineStr">
        <is>
          <t>Critical</t>
        </is>
      </c>
      <c r="M8" s="13" t="inlineStr">
        <is>
          <t>Not Executed</t>
        </is>
      </c>
      <c r="N8" s="12" t="inlineStr">
        <is>
          <t>Generated baseline case for Functional</t>
        </is>
      </c>
    </row>
    <row r="9" ht="36" customHeight="1">
      <c r="A9" s="11" t="inlineStr">
        <is>
          <t>FUN-008</t>
        </is>
      </c>
      <c r="B9" s="12" t="inlineStr">
        <is>
          <t>Sleep Tracker</t>
        </is>
      </c>
      <c r="C9" s="12" t="inlineStr">
        <is>
          <t>Verify asynchronous service calls and Futures resolution for Sleep Tracker</t>
        </is>
      </c>
      <c r="D9" s="12" t="inlineStr">
        <is>
          <t>Functional - Sleep Tracker - Verify asynchronous service calls and Futures resolution (#8)</t>
        </is>
      </c>
      <c r="E9" s="12" t="inlineStr">
        <is>
          <t>Ensure Sleep Tracker module satisfies quality criteria for Functional category.</t>
        </is>
      </c>
      <c r="F9" s="12" t="inlineStr">
        <is>
          <t>Test environment active, NutriFit app launched on local test setup for Sleep Tracker.</t>
        </is>
      </c>
      <c r="G9" s="12" t="inlineStr">
        <is>
          <t>1. Open NutriFit app on target setup.
2. Navigate to Sleep Tracker screen.
3. Execute async service method, await Future completion, parse response model.
4. Validate assertions.</t>
        </is>
      </c>
      <c r="H9" s="12" t="inlineStr">
        <is>
          <t>Module: Sleep Tracker, Setup: Local Host, Detail: Async payload: Variant #8 (Sleep Tracker)</t>
        </is>
      </c>
      <c r="I9" s="12" t="inlineStr">
        <is>
          <t>Service parses JSON response cleanly into domain model instance. for module Sleep Tracker.</t>
        </is>
      </c>
      <c r="J9" s="12" t="inlineStr">
        <is>
          <t>Pending Execution</t>
        </is>
      </c>
      <c r="K9" s="11" t="inlineStr">
        <is>
          <t>Medium</t>
        </is>
      </c>
      <c r="L9" s="11" t="inlineStr">
        <is>
          <t>Major</t>
        </is>
      </c>
      <c r="M9" s="13" t="inlineStr">
        <is>
          <t>Not Executed</t>
        </is>
      </c>
      <c r="N9" s="12" t="inlineStr">
        <is>
          <t>Generated baseline case for Functional</t>
        </is>
      </c>
    </row>
    <row r="10" ht="36" customHeight="1">
      <c r="A10" s="11" t="inlineStr">
        <is>
          <t>FUN-009</t>
        </is>
      </c>
      <c r="B10" s="12" t="inlineStr">
        <is>
          <t>Step Tracker</t>
        </is>
      </c>
      <c r="C10" s="12" t="inlineStr">
        <is>
          <t>Verify reactive state listener callbacks and UI rebuilds for Step Tracker</t>
        </is>
      </c>
      <c r="D10" s="12" t="inlineStr">
        <is>
          <t>Functional - Step Tracker - Verify reactive state listener callbacks and UI rebuilds (#9)</t>
        </is>
      </c>
      <c r="E10" s="12" t="inlineStr">
        <is>
          <t>Ensure Step Tracker module satisfies quality criteria for Functional category.</t>
        </is>
      </c>
      <c r="F10" s="12" t="inlineStr">
        <is>
          <t>Test environment active, NutriFit app launched on local test setup for Step Tracker.</t>
        </is>
      </c>
      <c r="G10" s="12" t="inlineStr">
        <is>
          <t>1. Open NutriFit app on target setup.
2. Navigate to Step Tracker screen.
3. Mutate state property in Provider model, count listener callbacks triggered.
4. Validate assertions.</t>
        </is>
      </c>
      <c r="H10" s="12" t="inlineStr">
        <is>
          <t>Module: Step Tracker, Setup: Local Host, Detail: Provider notify: Variant #9 (Step Tracker)</t>
        </is>
      </c>
      <c r="I10" s="12" t="inlineStr">
        <is>
          <t>Listeners receive notification and rebuild bound UI components once. for module Step Tracker.</t>
        </is>
      </c>
      <c r="J10" s="12" t="inlineStr">
        <is>
          <t>Pending Execution</t>
        </is>
      </c>
      <c r="K10" s="11" t="inlineStr">
        <is>
          <t>High</t>
        </is>
      </c>
      <c r="L10" s="11" t="inlineStr">
        <is>
          <t>Moderate</t>
        </is>
      </c>
      <c r="M10" s="13" t="inlineStr">
        <is>
          <t>Not Executed</t>
        </is>
      </c>
      <c r="N10" s="12" t="inlineStr">
        <is>
          <t>Generated baseline case for Functional</t>
        </is>
      </c>
    </row>
    <row r="11" ht="36" customHeight="1">
      <c r="A11" s="11" t="inlineStr">
        <is>
          <t>FUN-010</t>
        </is>
      </c>
      <c r="B11" s="12" t="inlineStr">
        <is>
          <t>AI Trainer</t>
        </is>
      </c>
      <c r="C11" s="12" t="inlineStr">
        <is>
          <t>Verify authorization guard rules and permission checks for AI Trainer</t>
        </is>
      </c>
      <c r="D11" s="12" t="inlineStr">
        <is>
          <t>Functional - AI Trainer - Verify authorization guard rules and permission checks (#10)</t>
        </is>
      </c>
      <c r="E11" s="12" t="inlineStr">
        <is>
          <t>Ensure AI Trainer module satisfies quality criteria for Functional category.</t>
        </is>
      </c>
      <c r="F11" s="12" t="inlineStr">
        <is>
          <t>Test environment active, NutriFit app launched on local test setup for AI Trainer.</t>
        </is>
      </c>
      <c r="G11" s="12" t="inlineStr">
        <is>
          <t>1. Open NutriFit app on target setup.
2. Navigate to AI Trainer screen.
3. Attempt feature access with restricted user permissions.
4. Validate assertions.</t>
        </is>
      </c>
      <c r="H11" s="12" t="inlineStr">
        <is>
          <t>Module: AI Trainer, Setup: Local Host, Detail: Auth role: Variant #10 (AI Trainer)</t>
        </is>
      </c>
      <c r="I11" s="12" t="inlineStr">
        <is>
          <t>Authorization guard blocks access and redirects to permission error screen. for module AI Trainer.</t>
        </is>
      </c>
      <c r="J11" s="12" t="inlineStr">
        <is>
          <t>Pending Execution</t>
        </is>
      </c>
      <c r="K11" s="11" t="inlineStr">
        <is>
          <t>Low</t>
        </is>
      </c>
      <c r="L11" s="11" t="inlineStr">
        <is>
          <t>Major</t>
        </is>
      </c>
      <c r="M11" s="13" t="inlineStr">
        <is>
          <t>Not Executed</t>
        </is>
      </c>
      <c r="N11" s="12" t="inlineStr">
        <is>
          <t>Generated baseline case for Functional</t>
        </is>
      </c>
    </row>
    <row r="12" ht="36" customHeight="1">
      <c r="A12" s="11" t="inlineStr">
        <is>
          <t>FUN-011</t>
        </is>
      </c>
      <c r="B12" s="12" t="inlineStr">
        <is>
          <t>Shop</t>
        </is>
      </c>
      <c r="C12" s="12" t="inlineStr">
        <is>
          <t>Verify component logic and state mutation functions for Shop</t>
        </is>
      </c>
      <c r="D12" s="12" t="inlineStr">
        <is>
          <t>Functional - Shop - Verify component logic and state mutation functions (#11)</t>
        </is>
      </c>
      <c r="E12" s="12" t="inlineStr">
        <is>
          <t>Ensure Shop module satisfies quality criteria for Functional category.</t>
        </is>
      </c>
      <c r="F12" s="12" t="inlineStr">
        <is>
          <t>Test environment active, NutriFit app launched on local test setup for Shop.</t>
        </is>
      </c>
      <c r="G12" s="12" t="inlineStr">
        <is>
          <t>1. Open NutriFit app on target setup.
2. Navigate to Shop screen.
3. Invoke component function with test parameters, observe return values and side effects.
4. Validate assertions.</t>
        </is>
      </c>
      <c r="H12" s="12" t="inlineStr">
        <is>
          <t>Module: Shop, Setup: Local Host, Detail: Function params: Variant #11 (Shop)</t>
        </is>
      </c>
      <c r="I12" s="12" t="inlineStr">
        <is>
          <t>Function executes logic accurately and updates internal state correctly. for module Shop.</t>
        </is>
      </c>
      <c r="J12" s="12" t="inlineStr">
        <is>
          <t>Pending Execution</t>
        </is>
      </c>
      <c r="K12" s="11" t="inlineStr">
        <is>
          <t>Medium</t>
        </is>
      </c>
      <c r="L12" s="11" t="inlineStr">
        <is>
          <t>Moderate</t>
        </is>
      </c>
      <c r="M12" s="13" t="inlineStr">
        <is>
          <t>Not Executed</t>
        </is>
      </c>
      <c r="N12" s="12" t="inlineStr">
        <is>
          <t>Generated baseline case for Functional</t>
        </is>
      </c>
    </row>
    <row r="13" ht="36" customHeight="1">
      <c r="A13" s="11" t="inlineStr">
        <is>
          <t>FUN-012</t>
        </is>
      </c>
      <c r="B13" s="12" t="inlineStr">
        <is>
          <t>Cart</t>
        </is>
      </c>
      <c r="C13" s="12" t="inlineStr">
        <is>
          <t>Verify validation constraints and edge-case handling for Cart</t>
        </is>
      </c>
      <c r="D13" s="12" t="inlineStr">
        <is>
          <t>Functional - Cart - Verify validation constraints and edge-case handling (#12)</t>
        </is>
      </c>
      <c r="E13" s="12" t="inlineStr">
        <is>
          <t>Ensure Cart module satisfies quality criteria for Functional category.</t>
        </is>
      </c>
      <c r="F13" s="12" t="inlineStr">
        <is>
          <t>Test environment active, NutriFit app launched on local test setup for Cart.</t>
        </is>
      </c>
      <c r="G13" s="12" t="inlineStr">
        <is>
          <t>1. Open NutriFit app on target setup.
2. Navigate to Cart screen.
3. Pass boundary, empty, and out-of-bounds inputs to validation handler.
4. Validate assertions.</t>
        </is>
      </c>
      <c r="H13" s="12" t="inlineStr">
        <is>
          <t>Module: Cart, Setup: Local Host, Detail: Edge case input: Variant #12 (Cart)</t>
        </is>
      </c>
      <c r="I13" s="12" t="inlineStr">
        <is>
          <t>Validation rules enforce constraints and return precise error strings. for module Cart.</t>
        </is>
      </c>
      <c r="J13" s="12" t="inlineStr">
        <is>
          <t>Pending Execution</t>
        </is>
      </c>
      <c r="K13" s="11" t="inlineStr">
        <is>
          <t>High</t>
        </is>
      </c>
      <c r="L13" s="11" t="inlineStr">
        <is>
          <t>Major</t>
        </is>
      </c>
      <c r="M13" s="13" t="inlineStr">
        <is>
          <t>Not Executed</t>
        </is>
      </c>
      <c r="N13" s="12" t="inlineStr">
        <is>
          <t>Generated baseline case for Functional</t>
        </is>
      </c>
    </row>
    <row r="14" ht="36" customHeight="1">
      <c r="A14" s="11" t="inlineStr">
        <is>
          <t>FUN-013</t>
        </is>
      </c>
      <c r="B14" s="12" t="inlineStr">
        <is>
          <t>Checkout</t>
        </is>
      </c>
      <c r="C14" s="12" t="inlineStr">
        <is>
          <t>Verify asynchronous service calls and Futures resolution for Checkout</t>
        </is>
      </c>
      <c r="D14" s="12" t="inlineStr">
        <is>
          <t>Functional - Checkout - Verify asynchronous service calls and Futures resolution (#13)</t>
        </is>
      </c>
      <c r="E14" s="12" t="inlineStr">
        <is>
          <t>Ensure Checkout module satisfies quality criteria for Functional category.</t>
        </is>
      </c>
      <c r="F14" s="12" t="inlineStr">
        <is>
          <t>Test environment active, NutriFit app launched on local test setup for Checkout.</t>
        </is>
      </c>
      <c r="G14" s="12" t="inlineStr">
        <is>
          <t>1. Open NutriFit app on target setup.
2. Navigate to Checkout screen.
3. Execute async service method, await Future completion, parse response model.
4. Validate assertions.</t>
        </is>
      </c>
      <c r="H14" s="12" t="inlineStr">
        <is>
          <t>Module: Checkout, Setup: Local Host, Detail: Async payload: Variant #13 (Checkout)</t>
        </is>
      </c>
      <c r="I14" s="12" t="inlineStr">
        <is>
          <t>Service parses JSON response cleanly into domain model instance. for module Checkout.</t>
        </is>
      </c>
      <c r="J14" s="12" t="inlineStr">
        <is>
          <t>Pending Execution</t>
        </is>
      </c>
      <c r="K14" s="11" t="inlineStr">
        <is>
          <t>Medium</t>
        </is>
      </c>
      <c r="L14" s="11" t="inlineStr">
        <is>
          <t>Moderate</t>
        </is>
      </c>
      <c r="M14" s="13" t="inlineStr">
        <is>
          <t>Not Executed</t>
        </is>
      </c>
      <c r="N14" s="12" t="inlineStr">
        <is>
          <t>Generated baseline case for Functional</t>
        </is>
      </c>
    </row>
    <row r="15" ht="36" customHeight="1">
      <c r="A15" s="11" t="inlineStr">
        <is>
          <t>FUN-014</t>
        </is>
      </c>
      <c r="B15" s="12" t="inlineStr">
        <is>
          <t>Address</t>
        </is>
      </c>
      <c r="C15" s="12" t="inlineStr">
        <is>
          <t>Verify reactive state listener callbacks and UI rebuilds for Address</t>
        </is>
      </c>
      <c r="D15" s="12" t="inlineStr">
        <is>
          <t>Functional - Address - Verify reactive state listener callbacks and UI rebuilds (#14)</t>
        </is>
      </c>
      <c r="E15" s="12" t="inlineStr">
        <is>
          <t>Ensure Address module satisfies quality criteria for Functional category.</t>
        </is>
      </c>
      <c r="F15" s="12" t="inlineStr">
        <is>
          <t>Test environment active, NutriFit app launched on local test setup for Address.</t>
        </is>
      </c>
      <c r="G15" s="12" t="inlineStr">
        <is>
          <t>1. Open NutriFit app on target setup.
2. Navigate to Address screen.
3. Mutate state property in Provider model, count listener callbacks triggered.
4. Validate assertions.</t>
        </is>
      </c>
      <c r="H15" s="12" t="inlineStr">
        <is>
          <t>Module: Address, Setup: Local Host, Detail: Provider notify: Variant #14 (Address)</t>
        </is>
      </c>
      <c r="I15" s="12" t="inlineStr">
        <is>
          <t>Listeners receive notification and rebuild bound UI components once. for module Address.</t>
        </is>
      </c>
      <c r="J15" s="12" t="inlineStr">
        <is>
          <t>Pending Execution</t>
        </is>
      </c>
      <c r="K15" s="11" t="inlineStr">
        <is>
          <t>Medium</t>
        </is>
      </c>
      <c r="L15" s="11" t="inlineStr">
        <is>
          <t>Critical</t>
        </is>
      </c>
      <c r="M15" s="13" t="inlineStr">
        <is>
          <t>Not Executed</t>
        </is>
      </c>
      <c r="N15" s="12" t="inlineStr">
        <is>
          <t>Generated baseline case for Functional</t>
        </is>
      </c>
    </row>
    <row r="16" ht="36" customHeight="1">
      <c r="A16" s="11" t="inlineStr">
        <is>
          <t>FUN-015</t>
        </is>
      </c>
      <c r="B16" s="12" t="inlineStr">
        <is>
          <t>Orders</t>
        </is>
      </c>
      <c r="C16" s="12" t="inlineStr">
        <is>
          <t>Verify authorization guard rules and permission checks for Orders</t>
        </is>
      </c>
      <c r="D16" s="12" t="inlineStr">
        <is>
          <t>Functional - Orders - Verify authorization guard rules and permission checks (#15)</t>
        </is>
      </c>
      <c r="E16" s="12" t="inlineStr">
        <is>
          <t>Ensure Orders module satisfies quality criteria for Functional category.</t>
        </is>
      </c>
      <c r="F16" s="12" t="inlineStr">
        <is>
          <t>Test environment active, NutriFit app launched on local test setup for Orders.</t>
        </is>
      </c>
      <c r="G16" s="12" t="inlineStr">
        <is>
          <t>1. Open NutriFit app on target setup.
2. Navigate to Orders screen.
3. Attempt feature access with restricted user permissions.
4. Validate assertions.</t>
        </is>
      </c>
      <c r="H16" s="12" t="inlineStr">
        <is>
          <t>Module: Orders, Setup: Local Host, Detail: Auth role: Variant #15 (Orders)</t>
        </is>
      </c>
      <c r="I16" s="12" t="inlineStr">
        <is>
          <t>Authorization guard blocks access and redirects to permission error screen. for module Orders.</t>
        </is>
      </c>
      <c r="J16" s="12" t="inlineStr">
        <is>
          <t>Pending Execution</t>
        </is>
      </c>
      <c r="K16" s="11" t="inlineStr">
        <is>
          <t>High</t>
        </is>
      </c>
      <c r="L16" s="11" t="inlineStr">
        <is>
          <t>Moderate</t>
        </is>
      </c>
      <c r="M16" s="13" t="inlineStr">
        <is>
          <t>Not Executed</t>
        </is>
      </c>
      <c r="N16" s="12" t="inlineStr">
        <is>
          <t>Generated baseline case for Functional</t>
        </is>
      </c>
    </row>
    <row r="17" ht="36" customHeight="1">
      <c r="A17" s="11" t="inlineStr">
        <is>
          <t>FUN-016</t>
        </is>
      </c>
      <c r="B17" s="12" t="inlineStr">
        <is>
          <t>Profile</t>
        </is>
      </c>
      <c r="C17" s="12" t="inlineStr">
        <is>
          <t>Verify component logic and state mutation functions for Profile</t>
        </is>
      </c>
      <c r="D17" s="12" t="inlineStr">
        <is>
          <t>Functional - Profile - Verify component logic and state mutation functions (#16)</t>
        </is>
      </c>
      <c r="E17" s="12" t="inlineStr">
        <is>
          <t>Ensure Profile module satisfies quality criteria for Functional category.</t>
        </is>
      </c>
      <c r="F17" s="12" t="inlineStr">
        <is>
          <t>Test environment active, NutriFit app launched on local test setup for Profile.</t>
        </is>
      </c>
      <c r="G17" s="12" t="inlineStr">
        <is>
          <t>1. Open NutriFit app on target setup.
2. Navigate to Profile screen.
3. Invoke component function with test parameters, observe return values and side effects.
4. Validate assertions.</t>
        </is>
      </c>
      <c r="H17" s="12" t="inlineStr">
        <is>
          <t>Module: Profile, Setup: Local Host, Detail: Function params: Variant #16 (Profile)</t>
        </is>
      </c>
      <c r="I17" s="12" t="inlineStr">
        <is>
          <t>Function executes logic accurately and updates internal state correctly. for module Profile.</t>
        </is>
      </c>
      <c r="J17" s="12" t="inlineStr">
        <is>
          <t>Pending Execution</t>
        </is>
      </c>
      <c r="K17" s="11" t="inlineStr">
        <is>
          <t>Medium</t>
        </is>
      </c>
      <c r="L17" s="11" t="inlineStr">
        <is>
          <t>Major</t>
        </is>
      </c>
      <c r="M17" s="13" t="inlineStr">
        <is>
          <t>Not Executed</t>
        </is>
      </c>
      <c r="N17" s="12" t="inlineStr">
        <is>
          <t>Generated baseline case for Functional</t>
        </is>
      </c>
    </row>
    <row r="18" ht="36" customHeight="1">
      <c r="A18" s="11" t="inlineStr">
        <is>
          <t>FUN-017</t>
        </is>
      </c>
      <c r="B18" s="12" t="inlineStr">
        <is>
          <t>Notifications</t>
        </is>
      </c>
      <c r="C18" s="12" t="inlineStr">
        <is>
          <t>Verify validation constraints and edge-case handling for Notifications</t>
        </is>
      </c>
      <c r="D18" s="12" t="inlineStr">
        <is>
          <t>Functional - Notifications - Verify validation constraints and edge-case handling (#17)</t>
        </is>
      </c>
      <c r="E18" s="12" t="inlineStr">
        <is>
          <t>Ensure Notifications module satisfies quality criteria for Functional category.</t>
        </is>
      </c>
      <c r="F18" s="12" t="inlineStr">
        <is>
          <t>Test environment active, NutriFit app launched on local test setup for Notifications.</t>
        </is>
      </c>
      <c r="G18" s="12" t="inlineStr">
        <is>
          <t>1. Open NutriFit app on target setup.
2. Navigate to Notifications screen.
3. Pass boundary, empty, and out-of-bounds inputs to validation handler.
4. Validate assertions.</t>
        </is>
      </c>
      <c r="H18" s="12" t="inlineStr">
        <is>
          <t>Module: Notifications, Setup: Local Host, Detail: Edge case input: Variant #17 (Notifications)</t>
        </is>
      </c>
      <c r="I18" s="12" t="inlineStr">
        <is>
          <t>Validation rules enforce constraints and return precise error strings. for module Notifications.</t>
        </is>
      </c>
      <c r="J18" s="12" t="inlineStr">
        <is>
          <t>Pending Execution</t>
        </is>
      </c>
      <c r="K18" s="11" t="inlineStr">
        <is>
          <t>Medium</t>
        </is>
      </c>
      <c r="L18" s="11" t="inlineStr">
        <is>
          <t>Moderate</t>
        </is>
      </c>
      <c r="M18" s="13" t="inlineStr">
        <is>
          <t>Not Executed</t>
        </is>
      </c>
      <c r="N18" s="12" t="inlineStr">
        <is>
          <t>Generated baseline case for Functional</t>
        </is>
      </c>
    </row>
    <row r="19" ht="36" customHeight="1">
      <c r="A19" s="11" t="inlineStr">
        <is>
          <t>FUN-018</t>
        </is>
      </c>
      <c r="B19" s="12" t="inlineStr">
        <is>
          <t>Settings</t>
        </is>
      </c>
      <c r="C19" s="12" t="inlineStr">
        <is>
          <t>Verify asynchronous service calls and Futures resolution for Settings</t>
        </is>
      </c>
      <c r="D19" s="12" t="inlineStr">
        <is>
          <t>Functional - Settings - Verify asynchronous service calls and Futures resolution (#18)</t>
        </is>
      </c>
      <c r="E19" s="12" t="inlineStr">
        <is>
          <t>Ensure Settings module satisfies quality criteria for Functional category.</t>
        </is>
      </c>
      <c r="F19" s="12" t="inlineStr">
        <is>
          <t>Test environment active, NutriFit app launched on local test setup for Settings.</t>
        </is>
      </c>
      <c r="G19" s="12" t="inlineStr">
        <is>
          <t>1. Open NutriFit app on target setup.
2. Navigate to Settings screen.
3. Execute async service method, await Future completion, parse response model.
4. Validate assertions.</t>
        </is>
      </c>
      <c r="H19" s="12" t="inlineStr">
        <is>
          <t>Module: Settings, Setup: Local Host, Detail: Async payload: Variant #18 (Settings)</t>
        </is>
      </c>
      <c r="I19" s="12" t="inlineStr">
        <is>
          <t>Service parses JSON response cleanly into domain model instance. for module Settings.</t>
        </is>
      </c>
      <c r="J19" s="12" t="inlineStr">
        <is>
          <t>Pending Execution</t>
        </is>
      </c>
      <c r="K19" s="11" t="inlineStr">
        <is>
          <t>High</t>
        </is>
      </c>
      <c r="L19" s="11" t="inlineStr">
        <is>
          <t>Major</t>
        </is>
      </c>
      <c r="M19" s="13" t="inlineStr">
        <is>
          <t>Not Executed</t>
        </is>
      </c>
      <c r="N19" s="12" t="inlineStr">
        <is>
          <t>Generated baseline case for Functional</t>
        </is>
      </c>
    </row>
    <row r="20" ht="36" customHeight="1">
      <c r="A20" s="11" t="inlineStr">
        <is>
          <t>FUN-019</t>
        </is>
      </c>
      <c r="B20" s="12" t="inlineStr">
        <is>
          <t>Localization</t>
        </is>
      </c>
      <c r="C20" s="12" t="inlineStr">
        <is>
          <t>Verify reactive state listener callbacks and UI rebuilds for Localization</t>
        </is>
      </c>
      <c r="D20" s="12" t="inlineStr">
        <is>
          <t>Functional - Localization - Verify reactive state listener callbacks and UI rebuilds (#19)</t>
        </is>
      </c>
      <c r="E20" s="12" t="inlineStr">
        <is>
          <t>Ensure Localization module satisfies quality criteria for Functional category.</t>
        </is>
      </c>
      <c r="F20" s="12" t="inlineStr">
        <is>
          <t>Test environment active, NutriFit app launched on local test setup for Localization.</t>
        </is>
      </c>
      <c r="G20" s="12" t="inlineStr">
        <is>
          <t>1. Open NutriFit app on target setup.
2. Navigate to Localization screen.
3. Mutate state property in Provider model, count listener callbacks triggered.
4. Validate assertions.</t>
        </is>
      </c>
      <c r="H20" s="12" t="inlineStr">
        <is>
          <t>Module: Localization, Setup: Local Host, Detail: Provider notify: Variant #19 (Localization)</t>
        </is>
      </c>
      <c r="I20" s="12" t="inlineStr">
        <is>
          <t>Listeners receive notification and rebuild bound UI components once. for module Localization.</t>
        </is>
      </c>
      <c r="J20" s="12" t="inlineStr">
        <is>
          <t>Pending Execution</t>
        </is>
      </c>
      <c r="K20" s="11" t="inlineStr">
        <is>
          <t>Medium</t>
        </is>
      </c>
      <c r="L20" s="11" t="inlineStr">
        <is>
          <t>Moderate</t>
        </is>
      </c>
      <c r="M20" s="13" t="inlineStr">
        <is>
          <t>Not Executed</t>
        </is>
      </c>
      <c r="N20" s="12" t="inlineStr">
        <is>
          <t>Generated baseline case for Functional</t>
        </is>
      </c>
    </row>
    <row r="21" ht="36" customHeight="1">
      <c r="A21" s="11" t="inlineStr">
        <is>
          <t>FUN-020</t>
        </is>
      </c>
      <c r="B21" s="12" t="inlineStr">
        <is>
          <t>Supabase Integration</t>
        </is>
      </c>
      <c r="C21" s="12" t="inlineStr">
        <is>
          <t>Verify authorization guard rules and permission checks for Supabase Integration</t>
        </is>
      </c>
      <c r="D21" s="12" t="inlineStr">
        <is>
          <t>Functional - Supabase Integration - Verify authorization guard rules and permission checks (#20)</t>
        </is>
      </c>
      <c r="E21" s="12" t="inlineStr">
        <is>
          <t>Ensure Supabase Integration module satisfies quality criteria for Functional category.</t>
        </is>
      </c>
      <c r="F21" s="12" t="inlineStr">
        <is>
          <t>Test environment active, NutriFit app launched on local test setup for Supabase Integration.</t>
        </is>
      </c>
      <c r="G21" s="12" t="inlineStr">
        <is>
          <t>1. Open NutriFit app on target setup.
2. Navigate to Supabase Integration screen.
3. Attempt feature access with restricted user permissions.
4. Validate assertions.</t>
        </is>
      </c>
      <c r="H21" s="12" t="inlineStr">
        <is>
          <t>Module: Supabase Integration, Setup: Local Host, Detail: Auth role: Variant #20 (Supabase Integration)</t>
        </is>
      </c>
      <c r="I21" s="12" t="inlineStr">
        <is>
          <t>Authorization guard blocks access and redirects to permission error screen. for module Supabase Integration.</t>
        </is>
      </c>
      <c r="J21" s="12" t="inlineStr">
        <is>
          <t>Pending Execution</t>
        </is>
      </c>
      <c r="K21" s="11" t="inlineStr">
        <is>
          <t>Low</t>
        </is>
      </c>
      <c r="L21" s="11" t="inlineStr">
        <is>
          <t>Major</t>
        </is>
      </c>
      <c r="M21" s="13" t="inlineStr">
        <is>
          <t>Not Executed</t>
        </is>
      </c>
      <c r="N21" s="12" t="inlineStr">
        <is>
          <t>Generated baseline case for Functional</t>
        </is>
      </c>
    </row>
    <row r="22" ht="36" customHeight="1">
      <c r="A22" s="11" t="inlineStr">
        <is>
          <t>FUN-021</t>
        </is>
      </c>
      <c r="B22" s="12" t="inlineStr">
        <is>
          <t>Responsive Web</t>
        </is>
      </c>
      <c r="C22" s="12" t="inlineStr">
        <is>
          <t>Verify component logic and state mutation functions for Responsive Web</t>
        </is>
      </c>
      <c r="D22" s="12" t="inlineStr">
        <is>
          <t>Functional - Responsive Web - Verify component logic and state mutation functions (#21)</t>
        </is>
      </c>
      <c r="E22" s="12" t="inlineStr">
        <is>
          <t>Ensure Responsive Web module satisfies quality criteria for Functional category.</t>
        </is>
      </c>
      <c r="F22" s="12" t="inlineStr">
        <is>
          <t>Test environment active, NutriFit app launched on local test setup for Responsive Web.</t>
        </is>
      </c>
      <c r="G22" s="12" t="inlineStr">
        <is>
          <t>1. Open NutriFit app on target setup.
2. Navigate to Responsive Web screen.
3. Invoke component function with test parameters, observe return values and side effects.
4. Validate assertions.</t>
        </is>
      </c>
      <c r="H22" s="12" t="inlineStr">
        <is>
          <t>Module: Responsive Web, Setup: Local Host, Detail: Function params: Variant #21 (Responsive Web)</t>
        </is>
      </c>
      <c r="I22" s="12" t="inlineStr">
        <is>
          <t>Function executes logic accurately and updates internal state correctly. for module Responsive Web.</t>
        </is>
      </c>
      <c r="J22" s="12" t="inlineStr">
        <is>
          <t>Pending Execution</t>
        </is>
      </c>
      <c r="K22" s="11" t="inlineStr">
        <is>
          <t>High</t>
        </is>
      </c>
      <c r="L22" s="11" t="inlineStr">
        <is>
          <t>Critical</t>
        </is>
      </c>
      <c r="M22" s="13" t="inlineStr">
        <is>
          <t>Not Executed</t>
        </is>
      </c>
      <c r="N22" s="12" t="inlineStr">
        <is>
          <t>Generated baseline case for Functional</t>
        </is>
      </c>
    </row>
    <row r="23" ht="36" customHeight="1">
      <c r="A23" s="11" t="inlineStr">
        <is>
          <t>FUN-022</t>
        </is>
      </c>
      <c r="B23" s="12" t="inlineStr">
        <is>
          <t>Android UI</t>
        </is>
      </c>
      <c r="C23" s="12" t="inlineStr">
        <is>
          <t>Verify validation constraints and edge-case handling for Android UI</t>
        </is>
      </c>
      <c r="D23" s="12" t="inlineStr">
        <is>
          <t>Functional - Android UI - Verify validation constraints and edge-case handling (#22)</t>
        </is>
      </c>
      <c r="E23" s="12" t="inlineStr">
        <is>
          <t>Ensure Android UI module satisfies quality criteria for Functional category.</t>
        </is>
      </c>
      <c r="F23" s="12" t="inlineStr">
        <is>
          <t>Test environment active, NutriFit app launched on local test setup for Android UI.</t>
        </is>
      </c>
      <c r="G23" s="12" t="inlineStr">
        <is>
          <t>1. Open NutriFit app on target setup.
2. Navigate to Android UI screen.
3. Pass boundary, empty, and out-of-bounds inputs to validation handler.
4. Validate assertions.</t>
        </is>
      </c>
      <c r="H23" s="12" t="inlineStr">
        <is>
          <t>Module: Android UI, Setup: Local Host, Detail: Edge case input: Variant #22 (Android UI)</t>
        </is>
      </c>
      <c r="I23" s="12" t="inlineStr">
        <is>
          <t>Validation rules enforce constraints and return precise error strings. for module Android UI.</t>
        </is>
      </c>
      <c r="J23" s="12" t="inlineStr">
        <is>
          <t>Pending Execution</t>
        </is>
      </c>
      <c r="K23" s="11" t="inlineStr">
        <is>
          <t>Medium</t>
        </is>
      </c>
      <c r="L23" s="11" t="inlineStr">
        <is>
          <t>Major</t>
        </is>
      </c>
      <c r="M23" s="13" t="inlineStr">
        <is>
          <t>Not Executed</t>
        </is>
      </c>
      <c r="N23" s="12" t="inlineStr">
        <is>
          <t>Generated baseline case for Functional</t>
        </is>
      </c>
    </row>
    <row r="24" ht="36" customHeight="1">
      <c r="A24" s="11" t="inlineStr">
        <is>
          <t>FUN-023</t>
        </is>
      </c>
      <c r="B24" s="12" t="inlineStr">
        <is>
          <t>Authentication</t>
        </is>
      </c>
      <c r="C24" s="12" t="inlineStr">
        <is>
          <t>Verify asynchronous service calls and Futures resolution for Authentication</t>
        </is>
      </c>
      <c r="D24" s="12" t="inlineStr">
        <is>
          <t>Functional - Authentication - Verify asynchronous service calls and Futures resolution (#23)</t>
        </is>
      </c>
      <c r="E24" s="12" t="inlineStr">
        <is>
          <t>Ensure Authentication module satisfies quality criteria for Functional category.</t>
        </is>
      </c>
      <c r="F24" s="12" t="inlineStr">
        <is>
          <t>Test environment active, NutriFit app launched on local test setup for Authentication.</t>
        </is>
      </c>
      <c r="G24" s="12" t="inlineStr">
        <is>
          <t>1. Open NutriFit app on target setup.
2. Navigate to Authentication screen.
3. Execute async service method, await Future completion, parse response model.
4. Validate assertions.</t>
        </is>
      </c>
      <c r="H24" s="12" t="inlineStr">
        <is>
          <t>Module: Authentication, Setup: Local Host, Detail: Async payload: Variant #23 (Authentication)</t>
        </is>
      </c>
      <c r="I24" s="12" t="inlineStr">
        <is>
          <t>Service parses JSON response cleanly into domain model instance. for module Authentication.</t>
        </is>
      </c>
      <c r="J24" s="12" t="inlineStr">
        <is>
          <t>Pending Execution</t>
        </is>
      </c>
      <c r="K24" s="11" t="inlineStr">
        <is>
          <t>Medium</t>
        </is>
      </c>
      <c r="L24" s="11" t="inlineStr">
        <is>
          <t>Moderate</t>
        </is>
      </c>
      <c r="M24" s="13" t="inlineStr">
        <is>
          <t>Not Executed</t>
        </is>
      </c>
      <c r="N24" s="12" t="inlineStr">
        <is>
          <t>Generated baseline case for Functional</t>
        </is>
      </c>
    </row>
    <row r="25" ht="36" customHeight="1">
      <c r="A25" s="11" t="inlineStr">
        <is>
          <t>FUN-024</t>
        </is>
      </c>
      <c r="B25" s="12" t="inlineStr">
        <is>
          <t>Dashboard</t>
        </is>
      </c>
      <c r="C25" s="12" t="inlineStr">
        <is>
          <t>Verify reactive state listener callbacks and UI rebuilds for Dashboard</t>
        </is>
      </c>
      <c r="D25" s="12" t="inlineStr">
        <is>
          <t>Functional - Dashboard - Verify reactive state listener callbacks and UI rebuilds (#24)</t>
        </is>
      </c>
      <c r="E25" s="12" t="inlineStr">
        <is>
          <t>Ensure Dashboard module satisfies quality criteria for Functional category.</t>
        </is>
      </c>
      <c r="F25" s="12" t="inlineStr">
        <is>
          <t>Test environment active, NutriFit app launched on local test setup for Dashboard.</t>
        </is>
      </c>
      <c r="G25" s="12" t="inlineStr">
        <is>
          <t>1. Open NutriFit app on target setup.
2. Navigate to Dashboard screen.
3. Mutate state property in Provider model, count listener callbacks triggered.
4. Validate assertions.</t>
        </is>
      </c>
      <c r="H25" s="12" t="inlineStr">
        <is>
          <t>Module: Dashboard, Setup: Local Host, Detail: Provider notify: Variant #24 (Dashboard)</t>
        </is>
      </c>
      <c r="I25" s="12" t="inlineStr">
        <is>
          <t>Listeners receive notification and rebuild bound UI components once. for module Dashboard.</t>
        </is>
      </c>
      <c r="J25" s="12" t="inlineStr">
        <is>
          <t>Pending Execution</t>
        </is>
      </c>
      <c r="K25" s="11" t="inlineStr">
        <is>
          <t>High</t>
        </is>
      </c>
      <c r="L25" s="11" t="inlineStr">
        <is>
          <t>Major</t>
        </is>
      </c>
      <c r="M25" s="13" t="inlineStr">
        <is>
          <t>Not Executed</t>
        </is>
      </c>
      <c r="N25" s="12" t="inlineStr">
        <is>
          <t>Generated baseline case for Functional</t>
        </is>
      </c>
    </row>
    <row r="26" ht="36" customHeight="1">
      <c r="A26" s="11" t="inlineStr">
        <is>
          <t>FUN-025</t>
        </is>
      </c>
      <c r="B26" s="12" t="inlineStr">
        <is>
          <t>Workout</t>
        </is>
      </c>
      <c r="C26" s="12" t="inlineStr">
        <is>
          <t>Verify authorization guard rules and permission checks for Workout</t>
        </is>
      </c>
      <c r="D26" s="12" t="inlineStr">
        <is>
          <t>Functional - Workout - Verify authorization guard rules and permission checks (#25)</t>
        </is>
      </c>
      <c r="E26" s="12" t="inlineStr">
        <is>
          <t>Ensure Workout module satisfies quality criteria for Functional category.</t>
        </is>
      </c>
      <c r="F26" s="12" t="inlineStr">
        <is>
          <t>Test environment active, NutriFit app launched on local test setup for Workout.</t>
        </is>
      </c>
      <c r="G26" s="12" t="inlineStr">
        <is>
          <t>1. Open NutriFit app on target setup.
2. Navigate to Workout screen.
3. Attempt feature access with restricted user permissions.
4. Validate assertions.</t>
        </is>
      </c>
      <c r="H26" s="12" t="inlineStr">
        <is>
          <t>Module: Workout, Setup: Local Host, Detail: Auth role: Variant #25 (Workout)</t>
        </is>
      </c>
      <c r="I26" s="12" t="inlineStr">
        <is>
          <t>Authorization guard blocks access and redirects to permission error screen. for module Workout.</t>
        </is>
      </c>
      <c r="J26" s="12" t="inlineStr">
        <is>
          <t>Pending Execution</t>
        </is>
      </c>
      <c r="K26" s="11" t="inlineStr">
        <is>
          <t>Low</t>
        </is>
      </c>
      <c r="L26" s="11" t="inlineStr">
        <is>
          <t>Moderate</t>
        </is>
      </c>
      <c r="M26" s="13" t="inlineStr">
        <is>
          <t>Not Executed</t>
        </is>
      </c>
      <c r="N26" s="12" t="inlineStr">
        <is>
          <t>Generated baseline case for Functional</t>
        </is>
      </c>
    </row>
    <row r="27" ht="36" customHeight="1">
      <c r="A27" s="11" t="inlineStr">
        <is>
          <t>FUN-026</t>
        </is>
      </c>
      <c r="B27" s="12" t="inlineStr">
        <is>
          <t>Diet</t>
        </is>
      </c>
      <c r="C27" s="12" t="inlineStr">
        <is>
          <t>Verify component logic and state mutation functions for Diet</t>
        </is>
      </c>
      <c r="D27" s="12" t="inlineStr">
        <is>
          <t>Functional - Diet - Verify component logic and state mutation functions (#26)</t>
        </is>
      </c>
      <c r="E27" s="12" t="inlineStr">
        <is>
          <t>Ensure Diet module satisfies quality criteria for Functional category.</t>
        </is>
      </c>
      <c r="F27" s="12" t="inlineStr">
        <is>
          <t>Test environment active, NutriFit app launched on local test setup for Diet.</t>
        </is>
      </c>
      <c r="G27" s="12" t="inlineStr">
        <is>
          <t>1. Open NutriFit app on target setup.
2. Navigate to Diet screen.
3. Invoke component function with test parameters, observe return values and side effects.
4. Validate assertions.</t>
        </is>
      </c>
      <c r="H27" s="12" t="inlineStr">
        <is>
          <t>Module: Diet, Setup: Local Host, Detail: Function params: Variant #26 (Diet)</t>
        </is>
      </c>
      <c r="I27" s="12" t="inlineStr">
        <is>
          <t>Function executes logic accurately and updates internal state correctly. for module Diet.</t>
        </is>
      </c>
      <c r="J27" s="12" t="inlineStr">
        <is>
          <t>Pending Execution</t>
        </is>
      </c>
      <c r="K27" s="11" t="inlineStr">
        <is>
          <t>Medium</t>
        </is>
      </c>
      <c r="L27" s="11" t="inlineStr">
        <is>
          <t>Major</t>
        </is>
      </c>
      <c r="M27" s="13" t="inlineStr">
        <is>
          <t>Not Executed</t>
        </is>
      </c>
      <c r="N27" s="12" t="inlineStr">
        <is>
          <t>Generated baseline case for Functional</t>
        </is>
      </c>
    </row>
    <row r="28" ht="36" customHeight="1">
      <c r="A28" s="11" t="inlineStr">
        <is>
          <t>FUN-027</t>
        </is>
      </c>
      <c r="B28" s="12" t="inlineStr">
        <is>
          <t>Budget Diet</t>
        </is>
      </c>
      <c r="C28" s="12" t="inlineStr">
        <is>
          <t>Verify validation constraints and edge-case handling for Budget Diet</t>
        </is>
      </c>
      <c r="D28" s="12" t="inlineStr">
        <is>
          <t>Functional - Budget Diet - Verify validation constraints and edge-case handling (#27)</t>
        </is>
      </c>
      <c r="E28" s="12" t="inlineStr">
        <is>
          <t>Ensure Budget Diet module satisfies quality criteria for Functional category.</t>
        </is>
      </c>
      <c r="F28" s="12" t="inlineStr">
        <is>
          <t>Test environment active, NutriFit app launched on local test setup for Budget Diet.</t>
        </is>
      </c>
      <c r="G28" s="12" t="inlineStr">
        <is>
          <t>1. Open NutriFit app on target setup.
2. Navigate to Budget Diet screen.
3. Pass boundary, empty, and out-of-bounds inputs to validation handler.
4. Validate assertions.</t>
        </is>
      </c>
      <c r="H28" s="12" t="inlineStr">
        <is>
          <t>Module: Budget Diet, Setup: Local Host, Detail: Edge case input: Variant #27 (Budget Diet)</t>
        </is>
      </c>
      <c r="I28" s="12" t="inlineStr">
        <is>
          <t>Validation rules enforce constraints and return precise error strings. for module Budget Diet.</t>
        </is>
      </c>
      <c r="J28" s="12" t="inlineStr">
        <is>
          <t>Pending Execution</t>
        </is>
      </c>
      <c r="K28" s="11" t="inlineStr">
        <is>
          <t>High</t>
        </is>
      </c>
      <c r="L28" s="11" t="inlineStr">
        <is>
          <t>Moderate</t>
        </is>
      </c>
      <c r="M28" s="13" t="inlineStr">
        <is>
          <t>Not Executed</t>
        </is>
      </c>
      <c r="N28" s="12" t="inlineStr">
        <is>
          <t>Generated baseline case for Functional</t>
        </is>
      </c>
    </row>
    <row r="29" ht="36" customHeight="1">
      <c r="A29" s="11" t="inlineStr">
        <is>
          <t>FUN-028</t>
        </is>
      </c>
      <c r="B29" s="12" t="inlineStr">
        <is>
          <t>Stretching</t>
        </is>
      </c>
      <c r="C29" s="12" t="inlineStr">
        <is>
          <t>Verify asynchronous service calls and Futures resolution for Stretching</t>
        </is>
      </c>
      <c r="D29" s="12" t="inlineStr">
        <is>
          <t>Functional - Stretching - Verify asynchronous service calls and Futures resolution (#28)</t>
        </is>
      </c>
      <c r="E29" s="12" t="inlineStr">
        <is>
          <t>Ensure Stretching module satisfies quality criteria for Functional category.</t>
        </is>
      </c>
      <c r="F29" s="12" t="inlineStr">
        <is>
          <t>Test environment active, NutriFit app launched on local test setup for Stretching.</t>
        </is>
      </c>
      <c r="G29" s="12" t="inlineStr">
        <is>
          <t>1. Open NutriFit app on target setup.
2. Navigate to Stretching screen.
3. Execute async service method, await Future completion, parse response model.
4. Validate assertions.</t>
        </is>
      </c>
      <c r="H29" s="12" t="inlineStr">
        <is>
          <t>Module: Stretching, Setup: Local Host, Detail: Async payload: Variant #28 (Stretching)</t>
        </is>
      </c>
      <c r="I29" s="12" t="inlineStr">
        <is>
          <t>Service parses JSON response cleanly into domain model instance. for module Stretching.</t>
        </is>
      </c>
      <c r="J29" s="12" t="inlineStr">
        <is>
          <t>Pending Execution</t>
        </is>
      </c>
      <c r="K29" s="11" t="inlineStr">
        <is>
          <t>Medium</t>
        </is>
      </c>
      <c r="L29" s="11" t="inlineStr">
        <is>
          <t>Critical</t>
        </is>
      </c>
      <c r="M29" s="13" t="inlineStr">
        <is>
          <t>Not Executed</t>
        </is>
      </c>
      <c r="N29" s="12" t="inlineStr">
        <is>
          <t>Generated baseline case for Functional</t>
        </is>
      </c>
    </row>
    <row r="30" ht="36" customHeight="1">
      <c r="A30" s="11" t="inlineStr">
        <is>
          <t>FUN-029</t>
        </is>
      </c>
      <c r="B30" s="12" t="inlineStr">
        <is>
          <t>Water Tracker</t>
        </is>
      </c>
      <c r="C30" s="12" t="inlineStr">
        <is>
          <t>Verify reactive state listener callbacks and UI rebuilds for Water Tracker</t>
        </is>
      </c>
      <c r="D30" s="12" t="inlineStr">
        <is>
          <t>Functional - Water Tracker - Verify reactive state listener callbacks and UI rebuilds (#29)</t>
        </is>
      </c>
      <c r="E30" s="12" t="inlineStr">
        <is>
          <t>Ensure Water Tracker module satisfies quality criteria for Functional category.</t>
        </is>
      </c>
      <c r="F30" s="12" t="inlineStr">
        <is>
          <t>Test environment active, NutriFit app launched on local test setup for Water Tracker.</t>
        </is>
      </c>
      <c r="G30" s="12" t="inlineStr">
        <is>
          <t>1. Open NutriFit app on target setup.
2. Navigate to Water Tracker screen.
3. Mutate state property in Provider model, count listener callbacks triggered.
4. Validate assertions.</t>
        </is>
      </c>
      <c r="H30" s="12" t="inlineStr">
        <is>
          <t>Module: Water Tracker, Setup: Local Host, Detail: Provider notify: Variant #29 (Water Tracker)</t>
        </is>
      </c>
      <c r="I30" s="12" t="inlineStr">
        <is>
          <t>Listeners receive notification and rebuild bound UI components once. for module Water Tracker.</t>
        </is>
      </c>
      <c r="J30" s="12" t="inlineStr">
        <is>
          <t>Pending Execution</t>
        </is>
      </c>
      <c r="K30" s="11" t="inlineStr">
        <is>
          <t>Medium</t>
        </is>
      </c>
      <c r="L30" s="11" t="inlineStr">
        <is>
          <t>Moderate</t>
        </is>
      </c>
      <c r="M30" s="13" t="inlineStr">
        <is>
          <t>Not Executed</t>
        </is>
      </c>
      <c r="N30" s="12" t="inlineStr">
        <is>
          <t>Generated baseline case for Functional</t>
        </is>
      </c>
    </row>
    <row r="31" ht="36" customHeight="1">
      <c r="A31" s="11" t="inlineStr">
        <is>
          <t>FUN-030</t>
        </is>
      </c>
      <c r="B31" s="12" t="inlineStr">
        <is>
          <t>Sleep Tracker</t>
        </is>
      </c>
      <c r="C31" s="12" t="inlineStr">
        <is>
          <t>Verify authorization guard rules and permission checks for Sleep Tracker</t>
        </is>
      </c>
      <c r="D31" s="12" t="inlineStr">
        <is>
          <t>Functional - Sleep Tracker - Verify authorization guard rules and permission checks (#30)</t>
        </is>
      </c>
      <c r="E31" s="12" t="inlineStr">
        <is>
          <t>Ensure Sleep Tracker module satisfies quality criteria for Functional category.</t>
        </is>
      </c>
      <c r="F31" s="12" t="inlineStr">
        <is>
          <t>Test environment active, NutriFit app launched on local test setup for Sleep Tracker.</t>
        </is>
      </c>
      <c r="G31" s="12" t="inlineStr">
        <is>
          <t>1. Open NutriFit app on target setup.
2. Navigate to Sleep Tracker screen.
3. Attempt feature access with restricted user permissions.
4. Validate assertions.</t>
        </is>
      </c>
      <c r="H31" s="12" t="inlineStr">
        <is>
          <t>Module: Sleep Tracker, Setup: Local Host, Detail: Auth role: Variant #30 (Sleep Tracker)</t>
        </is>
      </c>
      <c r="I31" s="12" t="inlineStr">
        <is>
          <t>Authorization guard blocks access and redirects to permission error screen. for module Sleep Tracker.</t>
        </is>
      </c>
      <c r="J31" s="12" t="inlineStr">
        <is>
          <t>Pending Execution</t>
        </is>
      </c>
      <c r="K31" s="11" t="inlineStr">
        <is>
          <t>High</t>
        </is>
      </c>
      <c r="L31" s="11" t="inlineStr">
        <is>
          <t>Major</t>
        </is>
      </c>
      <c r="M31" s="13" t="inlineStr">
        <is>
          <t>Not Executed</t>
        </is>
      </c>
      <c r="N31" s="12" t="inlineStr">
        <is>
          <t>Generated baseline case for Functional</t>
        </is>
      </c>
    </row>
    <row r="32" ht="36" customHeight="1">
      <c r="A32" s="11" t="inlineStr">
        <is>
          <t>FUN-031</t>
        </is>
      </c>
      <c r="B32" s="12" t="inlineStr">
        <is>
          <t>Step Tracker</t>
        </is>
      </c>
      <c r="C32" s="12" t="inlineStr">
        <is>
          <t>Verify component logic and state mutation functions for Step Tracker</t>
        </is>
      </c>
      <c r="D32" s="12" t="inlineStr">
        <is>
          <t>Functional - Step Tracker - Verify component logic and state mutation functions (#31)</t>
        </is>
      </c>
      <c r="E32" s="12" t="inlineStr">
        <is>
          <t>Ensure Step Tracker module satisfies quality criteria for Functional category.</t>
        </is>
      </c>
      <c r="F32" s="12" t="inlineStr">
        <is>
          <t>Test environment active, NutriFit app launched on local test setup for Step Tracker.</t>
        </is>
      </c>
      <c r="G32" s="12" t="inlineStr">
        <is>
          <t>1. Open NutriFit app on target setup.
2. Navigate to Step Tracker screen.
3. Invoke component function with test parameters, observe return values and side effects.
4. Validate assertions.</t>
        </is>
      </c>
      <c r="H32" s="12" t="inlineStr">
        <is>
          <t>Module: Step Tracker, Setup: Local Host, Detail: Function params: Variant #31 (Step Tracker)</t>
        </is>
      </c>
      <c r="I32" s="12" t="inlineStr">
        <is>
          <t>Function executes logic accurately and updates internal state correctly. for module Step Tracker.</t>
        </is>
      </c>
      <c r="J32" s="12" t="inlineStr">
        <is>
          <t>Pending Execution</t>
        </is>
      </c>
      <c r="K32" s="11" t="inlineStr">
        <is>
          <t>Medium</t>
        </is>
      </c>
      <c r="L32" s="11" t="inlineStr">
        <is>
          <t>Moderate</t>
        </is>
      </c>
      <c r="M32" s="13" t="inlineStr">
        <is>
          <t>Not Executed</t>
        </is>
      </c>
      <c r="N32" s="12" t="inlineStr">
        <is>
          <t>Generated baseline case for Functional</t>
        </is>
      </c>
    </row>
    <row r="33" ht="36" customHeight="1">
      <c r="A33" s="11" t="inlineStr">
        <is>
          <t>FUN-032</t>
        </is>
      </c>
      <c r="B33" s="12" t="inlineStr">
        <is>
          <t>AI Trainer</t>
        </is>
      </c>
      <c r="C33" s="12" t="inlineStr">
        <is>
          <t>Verify validation constraints and edge-case handling for AI Trainer</t>
        </is>
      </c>
      <c r="D33" s="12" t="inlineStr">
        <is>
          <t>Functional - AI Trainer - Verify validation constraints and edge-case handling (#32)</t>
        </is>
      </c>
      <c r="E33" s="12" t="inlineStr">
        <is>
          <t>Ensure AI Trainer module satisfies quality criteria for Functional category.</t>
        </is>
      </c>
      <c r="F33" s="12" t="inlineStr">
        <is>
          <t>Test environment active, NutriFit app launched on local test setup for AI Trainer.</t>
        </is>
      </c>
      <c r="G33" s="12" t="inlineStr">
        <is>
          <t>1. Open NutriFit app on target setup.
2. Navigate to AI Trainer screen.
3. Pass boundary, empty, and out-of-bounds inputs to validation handler.
4. Validate assertions.</t>
        </is>
      </c>
      <c r="H33" s="12" t="inlineStr">
        <is>
          <t>Module: AI Trainer, Setup: Local Host, Detail: Edge case input: Variant #32 (AI Trainer)</t>
        </is>
      </c>
      <c r="I33" s="12" t="inlineStr">
        <is>
          <t>Validation rules enforce constraints and return precise error strings. for module AI Trainer.</t>
        </is>
      </c>
      <c r="J33" s="12" t="inlineStr">
        <is>
          <t>Pending Execution</t>
        </is>
      </c>
      <c r="K33" s="11" t="inlineStr">
        <is>
          <t>Medium</t>
        </is>
      </c>
      <c r="L33" s="11" t="inlineStr">
        <is>
          <t>Major</t>
        </is>
      </c>
      <c r="M33" s="13" t="inlineStr">
        <is>
          <t>Not Executed</t>
        </is>
      </c>
      <c r="N33" s="12" t="inlineStr">
        <is>
          <t>Generated baseline case for Functional</t>
        </is>
      </c>
    </row>
    <row r="34" ht="36" customHeight="1">
      <c r="A34" s="11" t="inlineStr">
        <is>
          <t>FUN-033</t>
        </is>
      </c>
      <c r="B34" s="12" t="inlineStr">
        <is>
          <t>Shop</t>
        </is>
      </c>
      <c r="C34" s="12" t="inlineStr">
        <is>
          <t>Verify asynchronous service calls and Futures resolution for Shop</t>
        </is>
      </c>
      <c r="D34" s="12" t="inlineStr">
        <is>
          <t>Functional - Shop - Verify asynchronous service calls and Futures resolution (#33)</t>
        </is>
      </c>
      <c r="E34" s="12" t="inlineStr">
        <is>
          <t>Ensure Shop module satisfies quality criteria for Functional category.</t>
        </is>
      </c>
      <c r="F34" s="12" t="inlineStr">
        <is>
          <t>Test environment active, NutriFit app launched on local test setup for Shop.</t>
        </is>
      </c>
      <c r="G34" s="12" t="inlineStr">
        <is>
          <t>1. Open NutriFit app on target setup.
2. Navigate to Shop screen.
3. Execute async service method, await Future completion, parse response model.
4. Validate assertions.</t>
        </is>
      </c>
      <c r="H34" s="12" t="inlineStr">
        <is>
          <t>Module: Shop, Setup: Local Host, Detail: Async payload: Variant #33 (Shop)</t>
        </is>
      </c>
      <c r="I34" s="12" t="inlineStr">
        <is>
          <t>Service parses JSON response cleanly into domain model instance. for module Shop.</t>
        </is>
      </c>
      <c r="J34" s="12" t="inlineStr">
        <is>
          <t>Pending Execution</t>
        </is>
      </c>
      <c r="K34" s="11" t="inlineStr">
        <is>
          <t>High</t>
        </is>
      </c>
      <c r="L34" s="11" t="inlineStr">
        <is>
          <t>Moderate</t>
        </is>
      </c>
      <c r="M34" s="13" t="inlineStr">
        <is>
          <t>Not Executed</t>
        </is>
      </c>
      <c r="N34" s="12" t="inlineStr">
        <is>
          <t>Generated baseline case for Functional</t>
        </is>
      </c>
    </row>
    <row r="35" ht="36" customHeight="1">
      <c r="A35" s="11" t="inlineStr">
        <is>
          <t>FUN-034</t>
        </is>
      </c>
      <c r="B35" s="12" t="inlineStr">
        <is>
          <t>Cart</t>
        </is>
      </c>
      <c r="C35" s="12" t="inlineStr">
        <is>
          <t>Verify reactive state listener callbacks and UI rebuilds for Cart</t>
        </is>
      </c>
      <c r="D35" s="12" t="inlineStr">
        <is>
          <t>Functional - Cart - Verify reactive state listener callbacks and UI rebuilds (#34)</t>
        </is>
      </c>
      <c r="E35" s="12" t="inlineStr">
        <is>
          <t>Ensure Cart module satisfies quality criteria for Functional category.</t>
        </is>
      </c>
      <c r="F35" s="12" t="inlineStr">
        <is>
          <t>Test environment active, NutriFit app launched on local test setup for Cart.</t>
        </is>
      </c>
      <c r="G35" s="12" t="inlineStr">
        <is>
          <t>1. Open NutriFit app on target setup.
2. Navigate to Cart screen.
3. Mutate state property in Provider model, count listener callbacks triggered.
4. Validate assertions.</t>
        </is>
      </c>
      <c r="H35" s="12" t="inlineStr">
        <is>
          <t>Module: Cart, Setup: Local Host, Detail: Provider notify: Variant #34 (Cart)</t>
        </is>
      </c>
      <c r="I35" s="12" t="inlineStr">
        <is>
          <t>Listeners receive notification and rebuild bound UI components once. for module Cart.</t>
        </is>
      </c>
      <c r="J35" s="12" t="inlineStr">
        <is>
          <t>Pending Execution</t>
        </is>
      </c>
      <c r="K35" s="11" t="inlineStr">
        <is>
          <t>Medium</t>
        </is>
      </c>
      <c r="L35" s="11" t="inlineStr">
        <is>
          <t>Major</t>
        </is>
      </c>
      <c r="M35" s="13" t="inlineStr">
        <is>
          <t>Not Executed</t>
        </is>
      </c>
      <c r="N35" s="12" t="inlineStr">
        <is>
          <t>Generated baseline case for Functional</t>
        </is>
      </c>
    </row>
    <row r="36" ht="36" customHeight="1">
      <c r="A36" s="11" t="inlineStr">
        <is>
          <t>FUN-035</t>
        </is>
      </c>
      <c r="B36" s="12" t="inlineStr">
        <is>
          <t>Checkout</t>
        </is>
      </c>
      <c r="C36" s="12" t="inlineStr">
        <is>
          <t>Verify authorization guard rules and permission checks for Checkout</t>
        </is>
      </c>
      <c r="D36" s="12" t="inlineStr">
        <is>
          <t>Functional - Checkout - Verify authorization guard rules and permission checks (#35)</t>
        </is>
      </c>
      <c r="E36" s="12" t="inlineStr">
        <is>
          <t>Ensure Checkout module satisfies quality criteria for Functional category.</t>
        </is>
      </c>
      <c r="F36" s="12" t="inlineStr">
        <is>
          <t>Test environment active, NutriFit app launched on local test setup for Checkout.</t>
        </is>
      </c>
      <c r="G36" s="12" t="inlineStr">
        <is>
          <t>1. Open NutriFit app on target setup.
2. Navigate to Checkout screen.
3. Attempt feature access with restricted user permissions.
4. Validate assertions.</t>
        </is>
      </c>
      <c r="H36" s="12" t="inlineStr">
        <is>
          <t>Module: Checkout, Setup: Local Host, Detail: Auth role: Variant #35 (Checkout)</t>
        </is>
      </c>
      <c r="I36" s="12" t="inlineStr">
        <is>
          <t>Authorization guard blocks access and redirects to permission error screen. for module Checkout.</t>
        </is>
      </c>
      <c r="J36" s="12" t="inlineStr">
        <is>
          <t>Pending Execution</t>
        </is>
      </c>
      <c r="K36" s="11" t="inlineStr">
        <is>
          <t>Low</t>
        </is>
      </c>
      <c r="L36" s="11" t="inlineStr">
        <is>
          <t>Critical</t>
        </is>
      </c>
      <c r="M36" s="13" t="inlineStr">
        <is>
          <t>Not Executed</t>
        </is>
      </c>
      <c r="N36" s="12" t="inlineStr">
        <is>
          <t>Generated baseline case for Functional</t>
        </is>
      </c>
    </row>
    <row r="37" ht="36" customHeight="1">
      <c r="A37" s="11" t="inlineStr">
        <is>
          <t>FUN-036</t>
        </is>
      </c>
      <c r="B37" s="12" t="inlineStr">
        <is>
          <t>Address</t>
        </is>
      </c>
      <c r="C37" s="12" t="inlineStr">
        <is>
          <t>Verify component logic and state mutation functions for Address</t>
        </is>
      </c>
      <c r="D37" s="12" t="inlineStr">
        <is>
          <t>Functional - Address - Verify component logic and state mutation functions (#36)</t>
        </is>
      </c>
      <c r="E37" s="12" t="inlineStr">
        <is>
          <t>Ensure Address module satisfies quality criteria for Functional category.</t>
        </is>
      </c>
      <c r="F37" s="12" t="inlineStr">
        <is>
          <t>Test environment active, NutriFit app launched on local test setup for Address.</t>
        </is>
      </c>
      <c r="G37" s="12" t="inlineStr">
        <is>
          <t>1. Open NutriFit app on target setup.
2. Navigate to Address screen.
3. Invoke component function with test parameters, observe return values and side effects.
4. Validate assertions.</t>
        </is>
      </c>
      <c r="H37" s="12" t="inlineStr">
        <is>
          <t>Module: Address, Setup: Local Host, Detail: Function params: Variant #36 (Address)</t>
        </is>
      </c>
      <c r="I37" s="12" t="inlineStr">
        <is>
          <t>Function executes logic accurately and updates internal state correctly. for module Address.</t>
        </is>
      </c>
      <c r="J37" s="12" t="inlineStr">
        <is>
          <t>Pending Execution</t>
        </is>
      </c>
      <c r="K37" s="11" t="inlineStr">
        <is>
          <t>High</t>
        </is>
      </c>
      <c r="L37" s="11" t="inlineStr">
        <is>
          <t>Major</t>
        </is>
      </c>
      <c r="M37" s="13" t="inlineStr">
        <is>
          <t>Not Executed</t>
        </is>
      </c>
      <c r="N37" s="12" t="inlineStr">
        <is>
          <t>Generated baseline case for Functional</t>
        </is>
      </c>
    </row>
    <row r="38" ht="36" customHeight="1">
      <c r="A38" s="11" t="inlineStr">
        <is>
          <t>FUN-037</t>
        </is>
      </c>
      <c r="B38" s="12" t="inlineStr">
        <is>
          <t>Orders</t>
        </is>
      </c>
      <c r="C38" s="12" t="inlineStr">
        <is>
          <t>Verify validation constraints and edge-case handling for Orders</t>
        </is>
      </c>
      <c r="D38" s="12" t="inlineStr">
        <is>
          <t>Functional - Orders - Verify validation constraints and edge-case handling (#37)</t>
        </is>
      </c>
      <c r="E38" s="12" t="inlineStr">
        <is>
          <t>Ensure Orders module satisfies quality criteria for Functional category.</t>
        </is>
      </c>
      <c r="F38" s="12" t="inlineStr">
        <is>
          <t>Test environment active, NutriFit app launched on local test setup for Orders.</t>
        </is>
      </c>
      <c r="G38" s="12" t="inlineStr">
        <is>
          <t>1. Open NutriFit app on target setup.
2. Navigate to Orders screen.
3. Pass boundary, empty, and out-of-bounds inputs to validation handler.
4. Validate assertions.</t>
        </is>
      </c>
      <c r="H38" s="12" t="inlineStr">
        <is>
          <t>Module: Orders, Setup: Local Host, Detail: Edge case input: Variant #37 (Orders)</t>
        </is>
      </c>
      <c r="I38" s="12" t="inlineStr">
        <is>
          <t>Validation rules enforce constraints and return precise error strings. for module Orders.</t>
        </is>
      </c>
      <c r="J38" s="12" t="inlineStr">
        <is>
          <t>Pending Execution</t>
        </is>
      </c>
      <c r="K38" s="11" t="inlineStr">
        <is>
          <t>Medium</t>
        </is>
      </c>
      <c r="L38" s="11" t="inlineStr">
        <is>
          <t>Moderate</t>
        </is>
      </c>
      <c r="M38" s="13" t="inlineStr">
        <is>
          <t>Not Executed</t>
        </is>
      </c>
      <c r="N38" s="12" t="inlineStr">
        <is>
          <t>Generated baseline case for Functional</t>
        </is>
      </c>
    </row>
    <row r="39" ht="36" customHeight="1">
      <c r="A39" s="11" t="inlineStr">
        <is>
          <t>FUN-038</t>
        </is>
      </c>
      <c r="B39" s="12" t="inlineStr">
        <is>
          <t>Profile</t>
        </is>
      </c>
      <c r="C39" s="12" t="inlineStr">
        <is>
          <t>Verify asynchronous service calls and Futures resolution for Profile</t>
        </is>
      </c>
      <c r="D39" s="12" t="inlineStr">
        <is>
          <t>Functional - Profile - Verify asynchronous service calls and Futures resolution (#38)</t>
        </is>
      </c>
      <c r="E39" s="12" t="inlineStr">
        <is>
          <t>Ensure Profile module satisfies quality criteria for Functional category.</t>
        </is>
      </c>
      <c r="F39" s="12" t="inlineStr">
        <is>
          <t>Test environment active, NutriFit app launched on local test setup for Profile.</t>
        </is>
      </c>
      <c r="G39" s="12" t="inlineStr">
        <is>
          <t>1. Open NutriFit app on target setup.
2. Navigate to Profile screen.
3. Execute async service method, await Future completion, parse response model.
4. Validate assertions.</t>
        </is>
      </c>
      <c r="H39" s="12" t="inlineStr">
        <is>
          <t>Module: Profile, Setup: Local Host, Detail: Async payload: Variant #38 (Profile)</t>
        </is>
      </c>
      <c r="I39" s="12" t="inlineStr">
        <is>
          <t>Service parses JSON response cleanly into domain model instance. for module Profile.</t>
        </is>
      </c>
      <c r="J39" s="12" t="inlineStr">
        <is>
          <t>Pending Execution</t>
        </is>
      </c>
      <c r="K39" s="11" t="inlineStr">
        <is>
          <t>Medium</t>
        </is>
      </c>
      <c r="L39" s="11" t="inlineStr">
        <is>
          <t>Major</t>
        </is>
      </c>
      <c r="M39" s="13" t="inlineStr">
        <is>
          <t>Not Executed</t>
        </is>
      </c>
      <c r="N39" s="12" t="inlineStr">
        <is>
          <t>Generated baseline case for Functional</t>
        </is>
      </c>
    </row>
    <row r="40" ht="36" customHeight="1">
      <c r="A40" s="11" t="inlineStr">
        <is>
          <t>FUN-039</t>
        </is>
      </c>
      <c r="B40" s="12" t="inlineStr">
        <is>
          <t>Notifications</t>
        </is>
      </c>
      <c r="C40" s="12" t="inlineStr">
        <is>
          <t>Verify reactive state listener callbacks and UI rebuilds for Notifications</t>
        </is>
      </c>
      <c r="D40" s="12" t="inlineStr">
        <is>
          <t>Functional - Notifications - Verify reactive state listener callbacks and UI rebuilds (#39)</t>
        </is>
      </c>
      <c r="E40" s="12" t="inlineStr">
        <is>
          <t>Ensure Notifications module satisfies quality criteria for Functional category.</t>
        </is>
      </c>
      <c r="F40" s="12" t="inlineStr">
        <is>
          <t>Test environment active, NutriFit app launched on local test setup for Notifications.</t>
        </is>
      </c>
      <c r="G40" s="12" t="inlineStr">
        <is>
          <t>1. Open NutriFit app on target setup.
2. Navigate to Notifications screen.
3. Mutate state property in Provider model, count listener callbacks triggered.
4. Validate assertions.</t>
        </is>
      </c>
      <c r="H40" s="12" t="inlineStr">
        <is>
          <t>Module: Notifications, Setup: Local Host, Detail: Provider notify: Variant #39 (Notifications)</t>
        </is>
      </c>
      <c r="I40" s="12" t="inlineStr">
        <is>
          <t>Listeners receive notification and rebuild bound UI components once. for module Notifications.</t>
        </is>
      </c>
      <c r="J40" s="12" t="inlineStr">
        <is>
          <t>Pending Execution</t>
        </is>
      </c>
      <c r="K40" s="11" t="inlineStr">
        <is>
          <t>High</t>
        </is>
      </c>
      <c r="L40" s="11" t="inlineStr">
        <is>
          <t>Moderate</t>
        </is>
      </c>
      <c r="M40" s="13" t="inlineStr">
        <is>
          <t>Not Executed</t>
        </is>
      </c>
      <c r="N40" s="12" t="inlineStr">
        <is>
          <t>Generated baseline case for Functional</t>
        </is>
      </c>
    </row>
    <row r="41" ht="36" customHeight="1">
      <c r="A41" s="11" t="inlineStr">
        <is>
          <t>FUN-040</t>
        </is>
      </c>
      <c r="B41" s="12" t="inlineStr">
        <is>
          <t>Settings</t>
        </is>
      </c>
      <c r="C41" s="12" t="inlineStr">
        <is>
          <t>Verify authorization guard rules and permission checks for Settings</t>
        </is>
      </c>
      <c r="D41" s="12" t="inlineStr">
        <is>
          <t>Functional - Settings - Verify authorization guard rules and permission checks (#40)</t>
        </is>
      </c>
      <c r="E41" s="12" t="inlineStr">
        <is>
          <t>Ensure Settings module satisfies quality criteria for Functional category.</t>
        </is>
      </c>
      <c r="F41" s="12" t="inlineStr">
        <is>
          <t>Test environment active, NutriFit app launched on local test setup for Settings.</t>
        </is>
      </c>
      <c r="G41" s="12" t="inlineStr">
        <is>
          <t>1. Open NutriFit app on target setup.
2. Navigate to Settings screen.
3. Attempt feature access with restricted user permissions.
4. Validate assertions.</t>
        </is>
      </c>
      <c r="H41" s="12" t="inlineStr">
        <is>
          <t>Module: Settings, Setup: Local Host, Detail: Auth role: Variant #40 (Settings)</t>
        </is>
      </c>
      <c r="I41" s="12" t="inlineStr">
        <is>
          <t>Authorization guard blocks access and redirects to permission error screen. for module Settings.</t>
        </is>
      </c>
      <c r="J41" s="12" t="inlineStr">
        <is>
          <t>Pending Execution</t>
        </is>
      </c>
      <c r="K41" s="11" t="inlineStr">
        <is>
          <t>Low</t>
        </is>
      </c>
      <c r="L41" s="11" t="inlineStr">
        <is>
          <t>Major</t>
        </is>
      </c>
      <c r="M41" s="13" t="inlineStr">
        <is>
          <t>Not Executed</t>
        </is>
      </c>
      <c r="N41" s="12" t="inlineStr">
        <is>
          <t>Generated baseline case for Functional</t>
        </is>
      </c>
    </row>
    <row r="42" ht="36" customHeight="1">
      <c r="A42" s="11" t="inlineStr">
        <is>
          <t>FUN-041</t>
        </is>
      </c>
      <c r="B42" s="12" t="inlineStr">
        <is>
          <t>Localization</t>
        </is>
      </c>
      <c r="C42" s="12" t="inlineStr">
        <is>
          <t>Verify component logic and state mutation functions for Localization</t>
        </is>
      </c>
      <c r="D42" s="12" t="inlineStr">
        <is>
          <t>Functional - Localization - Verify component logic and state mutation functions (#41)</t>
        </is>
      </c>
      <c r="E42" s="12" t="inlineStr">
        <is>
          <t>Ensure Localization module satisfies quality criteria for Functional category.</t>
        </is>
      </c>
      <c r="F42" s="12" t="inlineStr">
        <is>
          <t>Test environment active, NutriFit app launched on local test setup for Localization.</t>
        </is>
      </c>
      <c r="G42" s="12" t="inlineStr">
        <is>
          <t>1. Open NutriFit app on target setup.
2. Navigate to Localization screen.
3. Invoke component function with test parameters, observe return values and side effects.
4. Validate assertions.</t>
        </is>
      </c>
      <c r="H42" s="12" t="inlineStr">
        <is>
          <t>Module: Localization, Setup: Local Host, Detail: Function params: Variant #41 (Localization)</t>
        </is>
      </c>
      <c r="I42" s="12" t="inlineStr">
        <is>
          <t>Function executes logic accurately and updates internal state correctly. for module Localization.</t>
        </is>
      </c>
      <c r="J42" s="12" t="inlineStr">
        <is>
          <t>Pending Execution</t>
        </is>
      </c>
      <c r="K42" s="11" t="inlineStr">
        <is>
          <t>Medium</t>
        </is>
      </c>
      <c r="L42" s="11" t="inlineStr">
        <is>
          <t>Moderate</t>
        </is>
      </c>
      <c r="M42" s="13" t="inlineStr">
        <is>
          <t>Not Executed</t>
        </is>
      </c>
      <c r="N42" s="12" t="inlineStr">
        <is>
          <t>Generated baseline case for Functional</t>
        </is>
      </c>
    </row>
    <row r="43" ht="36" customHeight="1">
      <c r="A43" s="11" t="inlineStr">
        <is>
          <t>FUN-042</t>
        </is>
      </c>
      <c r="B43" s="12" t="inlineStr">
        <is>
          <t>Supabase Integration</t>
        </is>
      </c>
      <c r="C43" s="12" t="inlineStr">
        <is>
          <t>Verify validation constraints and edge-case handling for Supabase Integration</t>
        </is>
      </c>
      <c r="D43" s="12" t="inlineStr">
        <is>
          <t>Functional - Supabase Integration - Verify validation constraints and edge-case handling (#42)</t>
        </is>
      </c>
      <c r="E43" s="12" t="inlineStr">
        <is>
          <t>Ensure Supabase Integration module satisfies quality criteria for Functional category.</t>
        </is>
      </c>
      <c r="F43" s="12" t="inlineStr">
        <is>
          <t>Test environment active, NutriFit app launched on local test setup for Supabase Integration.</t>
        </is>
      </c>
      <c r="G43" s="12" t="inlineStr">
        <is>
          <t>1. Open NutriFit app on target setup.
2. Navigate to Supabase Integration screen.
3. Pass boundary, empty, and out-of-bounds inputs to validation handler.
4. Validate assertions.</t>
        </is>
      </c>
      <c r="H43" s="12" t="inlineStr">
        <is>
          <t>Module: Supabase Integration, Setup: Local Host, Detail: Edge case input: Variant #42 (Supabase Integration)</t>
        </is>
      </c>
      <c r="I43" s="12" t="inlineStr">
        <is>
          <t>Validation rules enforce constraints and return precise error strings. for module Supabase Integration.</t>
        </is>
      </c>
      <c r="J43" s="12" t="inlineStr">
        <is>
          <t>Pending Execution</t>
        </is>
      </c>
      <c r="K43" s="11" t="inlineStr">
        <is>
          <t>High</t>
        </is>
      </c>
      <c r="L43" s="11" t="inlineStr">
        <is>
          <t>Critical</t>
        </is>
      </c>
      <c r="M43" s="13" t="inlineStr">
        <is>
          <t>Not Executed</t>
        </is>
      </c>
      <c r="N43" s="12" t="inlineStr">
        <is>
          <t>Generated baseline case for Functional</t>
        </is>
      </c>
    </row>
    <row r="44" ht="36" customHeight="1">
      <c r="A44" s="11" t="inlineStr">
        <is>
          <t>FUN-043</t>
        </is>
      </c>
      <c r="B44" s="12" t="inlineStr">
        <is>
          <t>Responsive Web</t>
        </is>
      </c>
      <c r="C44" s="12" t="inlineStr">
        <is>
          <t>Verify asynchronous service calls and Futures resolution for Responsive Web</t>
        </is>
      </c>
      <c r="D44" s="12" t="inlineStr">
        <is>
          <t>Functional - Responsive Web - Verify asynchronous service calls and Futures resolution (#43)</t>
        </is>
      </c>
      <c r="E44" s="12" t="inlineStr">
        <is>
          <t>Ensure Responsive Web module satisfies quality criteria for Functional category.</t>
        </is>
      </c>
      <c r="F44" s="12" t="inlineStr">
        <is>
          <t>Test environment active, NutriFit app launched on local test setup for Responsive Web.</t>
        </is>
      </c>
      <c r="G44" s="12" t="inlineStr">
        <is>
          <t>1. Open NutriFit app on target setup.
2. Navigate to Responsive Web screen.
3. Execute async service method, await Future completion, parse response model.
4. Validate assertions.</t>
        </is>
      </c>
      <c r="H44" s="12" t="inlineStr">
        <is>
          <t>Module: Responsive Web, Setup: Local Host, Detail: Async payload: Variant #43 (Responsive Web)</t>
        </is>
      </c>
      <c r="I44" s="12" t="inlineStr">
        <is>
          <t>Service parses JSON response cleanly into domain model instance. for module Responsive Web.</t>
        </is>
      </c>
      <c r="J44" s="12" t="inlineStr">
        <is>
          <t>Pending Execution</t>
        </is>
      </c>
      <c r="K44" s="11" t="inlineStr">
        <is>
          <t>Medium</t>
        </is>
      </c>
      <c r="L44" s="11" t="inlineStr">
        <is>
          <t>Moderate</t>
        </is>
      </c>
      <c r="M44" s="13" t="inlineStr">
        <is>
          <t>Not Executed</t>
        </is>
      </c>
      <c r="N44" s="12" t="inlineStr">
        <is>
          <t>Generated baseline case for Functional</t>
        </is>
      </c>
    </row>
    <row r="45" ht="36" customHeight="1">
      <c r="A45" s="11" t="inlineStr">
        <is>
          <t>FUN-044</t>
        </is>
      </c>
      <c r="B45" s="12" t="inlineStr">
        <is>
          <t>Android UI</t>
        </is>
      </c>
      <c r="C45" s="12" t="inlineStr">
        <is>
          <t>Verify reactive state listener callbacks and UI rebuilds for Android UI</t>
        </is>
      </c>
      <c r="D45" s="12" t="inlineStr">
        <is>
          <t>Functional - Android UI - Verify reactive state listener callbacks and UI rebuilds (#44)</t>
        </is>
      </c>
      <c r="E45" s="12" t="inlineStr">
        <is>
          <t>Ensure Android UI module satisfies quality criteria for Functional category.</t>
        </is>
      </c>
      <c r="F45" s="12" t="inlineStr">
        <is>
          <t>Test environment active, NutriFit app launched on local test setup for Android UI.</t>
        </is>
      </c>
      <c r="G45" s="12" t="inlineStr">
        <is>
          <t>1. Open NutriFit app on target setup.
2. Navigate to Android UI screen.
3. Mutate state property in Provider model, count listener callbacks triggered.
4. Validate assertions.</t>
        </is>
      </c>
      <c r="H45" s="12" t="inlineStr">
        <is>
          <t>Module: Android UI, Setup: Local Host, Detail: Provider notify: Variant #44 (Android UI)</t>
        </is>
      </c>
      <c r="I45" s="12" t="inlineStr">
        <is>
          <t>Listeners receive notification and rebuild bound UI components once. for module Android UI.</t>
        </is>
      </c>
      <c r="J45" s="12" t="inlineStr">
        <is>
          <t>Pending Execution</t>
        </is>
      </c>
      <c r="K45" s="11" t="inlineStr">
        <is>
          <t>Medium</t>
        </is>
      </c>
      <c r="L45" s="11" t="inlineStr">
        <is>
          <t>Major</t>
        </is>
      </c>
      <c r="M45" s="13" t="inlineStr">
        <is>
          <t>Not Executed</t>
        </is>
      </c>
      <c r="N45" s="12" t="inlineStr">
        <is>
          <t>Generated baseline case for Functional</t>
        </is>
      </c>
    </row>
    <row r="46" ht="36" customHeight="1">
      <c r="A46" s="11" t="inlineStr">
        <is>
          <t>FUN-045</t>
        </is>
      </c>
      <c r="B46" s="12" t="inlineStr">
        <is>
          <t>Authentication</t>
        </is>
      </c>
      <c r="C46" s="12" t="inlineStr">
        <is>
          <t>Verify authorization guard rules and permission checks for Authentication</t>
        </is>
      </c>
      <c r="D46" s="12" t="inlineStr">
        <is>
          <t>Functional - Authentication - Verify authorization guard rules and permission checks (#45)</t>
        </is>
      </c>
      <c r="E46" s="12" t="inlineStr">
        <is>
          <t>Ensure Authentication module satisfies quality criteria for Functional category.</t>
        </is>
      </c>
      <c r="F46" s="12" t="inlineStr">
        <is>
          <t>Test environment active, NutriFit app launched on local test setup for Authentication.</t>
        </is>
      </c>
      <c r="G46" s="12" t="inlineStr">
        <is>
          <t>1. Open NutriFit app on target setup.
2. Navigate to Authentication screen.
3. Attempt feature access with restricted user permissions.
4. Validate assertions.</t>
        </is>
      </c>
      <c r="H46" s="12" t="inlineStr">
        <is>
          <t>Module: Authentication, Setup: Local Host, Detail: Auth role: Variant #45 (Authentication)</t>
        </is>
      </c>
      <c r="I46" s="12" t="inlineStr">
        <is>
          <t>Authorization guard blocks access and redirects to permission error screen. for module Authentication.</t>
        </is>
      </c>
      <c r="J46" s="12" t="inlineStr">
        <is>
          <t>Pending Execution</t>
        </is>
      </c>
      <c r="K46" s="11" t="inlineStr">
        <is>
          <t>High</t>
        </is>
      </c>
      <c r="L46" s="11" t="inlineStr">
        <is>
          <t>Moderate</t>
        </is>
      </c>
      <c r="M46" s="13" t="inlineStr">
        <is>
          <t>Not Executed</t>
        </is>
      </c>
      <c r="N46" s="12" t="inlineStr">
        <is>
          <t>Generated baseline case for Functional</t>
        </is>
      </c>
    </row>
    <row r="47" ht="36" customHeight="1">
      <c r="A47" s="11" t="inlineStr">
        <is>
          <t>FUN-046</t>
        </is>
      </c>
      <c r="B47" s="12" t="inlineStr">
        <is>
          <t>Dashboard</t>
        </is>
      </c>
      <c r="C47" s="12" t="inlineStr">
        <is>
          <t>Verify component logic and state mutation functions for Dashboard</t>
        </is>
      </c>
      <c r="D47" s="12" t="inlineStr">
        <is>
          <t>Functional - Dashboard - Verify component logic and state mutation functions (#46)</t>
        </is>
      </c>
      <c r="E47" s="12" t="inlineStr">
        <is>
          <t>Ensure Dashboard module satisfies quality criteria for Functional category.</t>
        </is>
      </c>
      <c r="F47" s="12" t="inlineStr">
        <is>
          <t>Test environment active, NutriFit app launched on local test setup for Dashboard.</t>
        </is>
      </c>
      <c r="G47" s="12" t="inlineStr">
        <is>
          <t>1. Open NutriFit app on target setup.
2. Navigate to Dashboard screen.
3. Invoke component function with test parameters, observe return values and side effects.
4. Validate assertions.</t>
        </is>
      </c>
      <c r="H47" s="12" t="inlineStr">
        <is>
          <t>Module: Dashboard, Setup: Local Host, Detail: Function params: Variant #46 (Dashboard)</t>
        </is>
      </c>
      <c r="I47" s="12" t="inlineStr">
        <is>
          <t>Function executes logic accurately and updates internal state correctly. for module Dashboard.</t>
        </is>
      </c>
      <c r="J47" s="12" t="inlineStr">
        <is>
          <t>Pending Execution</t>
        </is>
      </c>
      <c r="K47" s="11" t="inlineStr">
        <is>
          <t>Medium</t>
        </is>
      </c>
      <c r="L47" s="11" t="inlineStr">
        <is>
          <t>Major</t>
        </is>
      </c>
      <c r="M47" s="13" t="inlineStr">
        <is>
          <t>Not Executed</t>
        </is>
      </c>
      <c r="N47" s="12" t="inlineStr">
        <is>
          <t>Generated baseline case for Functional</t>
        </is>
      </c>
    </row>
    <row r="48" ht="36" customHeight="1">
      <c r="A48" s="11" t="inlineStr">
        <is>
          <t>FUN-047</t>
        </is>
      </c>
      <c r="B48" s="12" t="inlineStr">
        <is>
          <t>Workout</t>
        </is>
      </c>
      <c r="C48" s="12" t="inlineStr">
        <is>
          <t>Verify validation constraints and edge-case handling for Workout</t>
        </is>
      </c>
      <c r="D48" s="12" t="inlineStr">
        <is>
          <t>Functional - Workout - Verify validation constraints and edge-case handling (#47)</t>
        </is>
      </c>
      <c r="E48" s="12" t="inlineStr">
        <is>
          <t>Ensure Workout module satisfies quality criteria for Functional category.</t>
        </is>
      </c>
      <c r="F48" s="12" t="inlineStr">
        <is>
          <t>Test environment active, NutriFit app launched on local test setup for Workout.</t>
        </is>
      </c>
      <c r="G48" s="12" t="inlineStr">
        <is>
          <t>1. Open NutriFit app on target setup.
2. Navigate to Workout screen.
3. Pass boundary, empty, and out-of-bounds inputs to validation handler.
4. Validate assertions.</t>
        </is>
      </c>
      <c r="H48" s="12" t="inlineStr">
        <is>
          <t>Module: Workout, Setup: Local Host, Detail: Edge case input: Variant #47 (Workout)</t>
        </is>
      </c>
      <c r="I48" s="12" t="inlineStr">
        <is>
          <t>Validation rules enforce constraints and return precise error strings. for module Workout.</t>
        </is>
      </c>
      <c r="J48" s="12" t="inlineStr">
        <is>
          <t>Pending Execution</t>
        </is>
      </c>
      <c r="K48" s="11" t="inlineStr">
        <is>
          <t>Medium</t>
        </is>
      </c>
      <c r="L48" s="11" t="inlineStr">
        <is>
          <t>Moderate</t>
        </is>
      </c>
      <c r="M48" s="13" t="inlineStr">
        <is>
          <t>Not Executed</t>
        </is>
      </c>
      <c r="N48" s="12" t="inlineStr">
        <is>
          <t>Generated baseline case for Functional</t>
        </is>
      </c>
    </row>
    <row r="49" ht="36" customHeight="1">
      <c r="A49" s="11" t="inlineStr">
        <is>
          <t>FUN-048</t>
        </is>
      </c>
      <c r="B49" s="12" t="inlineStr">
        <is>
          <t>Diet</t>
        </is>
      </c>
      <c r="C49" s="12" t="inlineStr">
        <is>
          <t>Verify asynchronous service calls and Futures resolution for Diet</t>
        </is>
      </c>
      <c r="D49" s="12" t="inlineStr">
        <is>
          <t>Functional - Diet - Verify asynchronous service calls and Futures resolution (#48)</t>
        </is>
      </c>
      <c r="E49" s="12" t="inlineStr">
        <is>
          <t>Ensure Diet module satisfies quality criteria for Functional category.</t>
        </is>
      </c>
      <c r="F49" s="12" t="inlineStr">
        <is>
          <t>Test environment active, NutriFit app launched on local test setup for Diet.</t>
        </is>
      </c>
      <c r="G49" s="12" t="inlineStr">
        <is>
          <t>1. Open NutriFit app on target setup.
2. Navigate to Diet screen.
3. Execute async service method, await Future completion, parse response model.
4. Validate assertions.</t>
        </is>
      </c>
      <c r="H49" s="12" t="inlineStr">
        <is>
          <t>Module: Diet, Setup: Local Host, Detail: Async payload: Variant #48 (Diet)</t>
        </is>
      </c>
      <c r="I49" s="12" t="inlineStr">
        <is>
          <t>Service parses JSON response cleanly into domain model instance. for module Diet.</t>
        </is>
      </c>
      <c r="J49" s="12" t="inlineStr">
        <is>
          <t>Pending Execution</t>
        </is>
      </c>
      <c r="K49" s="11" t="inlineStr">
        <is>
          <t>High</t>
        </is>
      </c>
      <c r="L49" s="11" t="inlineStr">
        <is>
          <t>Major</t>
        </is>
      </c>
      <c r="M49" s="13" t="inlineStr">
        <is>
          <t>Not Executed</t>
        </is>
      </c>
      <c r="N49" s="12" t="inlineStr">
        <is>
          <t>Generated baseline case for Functional</t>
        </is>
      </c>
    </row>
    <row r="50" ht="36" customHeight="1">
      <c r="A50" s="11" t="inlineStr">
        <is>
          <t>FUN-049</t>
        </is>
      </c>
      <c r="B50" s="12" t="inlineStr">
        <is>
          <t>Budget Diet</t>
        </is>
      </c>
      <c r="C50" s="12" t="inlineStr">
        <is>
          <t>Verify reactive state listener callbacks and UI rebuilds for Budget Diet</t>
        </is>
      </c>
      <c r="D50" s="12" t="inlineStr">
        <is>
          <t>Functional - Budget Diet - Verify reactive state listener callbacks and UI rebuilds (#49)</t>
        </is>
      </c>
      <c r="E50" s="12" t="inlineStr">
        <is>
          <t>Ensure Budget Diet module satisfies quality criteria for Functional category.</t>
        </is>
      </c>
      <c r="F50" s="12" t="inlineStr">
        <is>
          <t>Test environment active, NutriFit app launched on local test setup for Budget Diet.</t>
        </is>
      </c>
      <c r="G50" s="12" t="inlineStr">
        <is>
          <t>1. Open NutriFit app on target setup.
2. Navigate to Budget Diet screen.
3. Mutate state property in Provider model, count listener callbacks triggered.
4. Validate assertions.</t>
        </is>
      </c>
      <c r="H50" s="12" t="inlineStr">
        <is>
          <t>Module: Budget Diet, Setup: Local Host, Detail: Provider notify: Variant #49 (Budget Diet)</t>
        </is>
      </c>
      <c r="I50" s="12" t="inlineStr">
        <is>
          <t>Listeners receive notification and rebuild bound UI components once. for module Budget Diet.</t>
        </is>
      </c>
      <c r="J50" s="12" t="inlineStr">
        <is>
          <t>Pending Execution</t>
        </is>
      </c>
      <c r="K50" s="11" t="inlineStr">
        <is>
          <t>Medium</t>
        </is>
      </c>
      <c r="L50" s="11" t="inlineStr">
        <is>
          <t>Critical</t>
        </is>
      </c>
      <c r="M50" s="13" t="inlineStr">
        <is>
          <t>Not Executed</t>
        </is>
      </c>
      <c r="N50" s="12" t="inlineStr">
        <is>
          <t>Generated baseline case for Functional</t>
        </is>
      </c>
    </row>
    <row r="51" ht="36" customHeight="1">
      <c r="A51" s="11" t="inlineStr">
        <is>
          <t>FUN-050</t>
        </is>
      </c>
      <c r="B51" s="12" t="inlineStr">
        <is>
          <t>Stretching</t>
        </is>
      </c>
      <c r="C51" s="12" t="inlineStr">
        <is>
          <t>Verify authorization guard rules and permission checks for Stretching</t>
        </is>
      </c>
      <c r="D51" s="12" t="inlineStr">
        <is>
          <t>Functional - Stretching - Verify authorization guard rules and permission checks (#50)</t>
        </is>
      </c>
      <c r="E51" s="12" t="inlineStr">
        <is>
          <t>Ensure Stretching module satisfies quality criteria for Functional category.</t>
        </is>
      </c>
      <c r="F51" s="12" t="inlineStr">
        <is>
          <t>Test environment active, NutriFit app launched on local test setup for Stretching.</t>
        </is>
      </c>
      <c r="G51" s="12" t="inlineStr">
        <is>
          <t>1. Open NutriFit app on target setup.
2. Navigate to Stretching screen.
3. Attempt feature access with restricted user permissions.
4. Validate assertions.</t>
        </is>
      </c>
      <c r="H51" s="12" t="inlineStr">
        <is>
          <t>Module: Stretching, Setup: Local Host, Detail: Auth role: Variant #50 (Stretching)</t>
        </is>
      </c>
      <c r="I51" s="12" t="inlineStr">
        <is>
          <t>Authorization guard blocks access and redirects to permission error screen. for module Stretching.</t>
        </is>
      </c>
      <c r="J51" s="12" t="inlineStr">
        <is>
          <t>Pending Execution</t>
        </is>
      </c>
      <c r="K51" s="11" t="inlineStr">
        <is>
          <t>Low</t>
        </is>
      </c>
      <c r="L51" s="11" t="inlineStr">
        <is>
          <t>Major</t>
        </is>
      </c>
      <c r="M51" s="13" t="inlineStr">
        <is>
          <t>Not Executed</t>
        </is>
      </c>
      <c r="N51" s="12" t="inlineStr">
        <is>
          <t>Generated baseline case for Functional</t>
        </is>
      </c>
    </row>
    <row r="52" ht="36" customHeight="1">
      <c r="A52" s="11" t="inlineStr">
        <is>
          <t>FUN-051</t>
        </is>
      </c>
      <c r="B52" s="12" t="inlineStr">
        <is>
          <t>Water Tracker</t>
        </is>
      </c>
      <c r="C52" s="12" t="inlineStr">
        <is>
          <t>Verify component logic and state mutation functions for Water Tracker</t>
        </is>
      </c>
      <c r="D52" s="12" t="inlineStr">
        <is>
          <t>Functional - Water Tracker - Verify component logic and state mutation functions (#51)</t>
        </is>
      </c>
      <c r="E52" s="12" t="inlineStr">
        <is>
          <t>Ensure Water Tracker module satisfies quality criteria for Functional category.</t>
        </is>
      </c>
      <c r="F52" s="12" t="inlineStr">
        <is>
          <t>Test environment active, NutriFit app launched on local test setup for Water Tracker.</t>
        </is>
      </c>
      <c r="G52" s="12" t="inlineStr">
        <is>
          <t>1. Open NutriFit app on target setup.
2. Navigate to Water Tracker screen.
3. Invoke component function with test parameters, observe return values and side effects.
4. Validate assertions.</t>
        </is>
      </c>
      <c r="H52" s="12" t="inlineStr">
        <is>
          <t>Module: Water Tracker, Setup: Local Host, Detail: Function params: Variant #51 (Water Tracker)</t>
        </is>
      </c>
      <c r="I52" s="12" t="inlineStr">
        <is>
          <t>Function executes logic accurately and updates internal state correctly. for module Water Tracker.</t>
        </is>
      </c>
      <c r="J52" s="12" t="inlineStr">
        <is>
          <t>Pending Execution</t>
        </is>
      </c>
      <c r="K52" s="11" t="inlineStr">
        <is>
          <t>High</t>
        </is>
      </c>
      <c r="L52" s="11" t="inlineStr">
        <is>
          <t>Moderate</t>
        </is>
      </c>
      <c r="M52" s="13" t="inlineStr">
        <is>
          <t>Not Executed</t>
        </is>
      </c>
      <c r="N52" s="12" t="inlineStr">
        <is>
          <t>Generated baseline case for Functional</t>
        </is>
      </c>
    </row>
    <row r="53" ht="36" customHeight="1">
      <c r="A53" s="11" t="inlineStr">
        <is>
          <t>FUN-052</t>
        </is>
      </c>
      <c r="B53" s="12" t="inlineStr">
        <is>
          <t>Sleep Tracker</t>
        </is>
      </c>
      <c r="C53" s="12" t="inlineStr">
        <is>
          <t>Verify validation constraints and edge-case handling for Sleep Tracker</t>
        </is>
      </c>
      <c r="D53" s="12" t="inlineStr">
        <is>
          <t>Functional - Sleep Tracker - Verify validation constraints and edge-case handling (#52)</t>
        </is>
      </c>
      <c r="E53" s="12" t="inlineStr">
        <is>
          <t>Ensure Sleep Tracker module satisfies quality criteria for Functional category.</t>
        </is>
      </c>
      <c r="F53" s="12" t="inlineStr">
        <is>
          <t>Test environment active, NutriFit app launched on local test setup for Sleep Tracker.</t>
        </is>
      </c>
      <c r="G53" s="12" t="inlineStr">
        <is>
          <t>1. Open NutriFit app on target setup.
2. Navigate to Sleep Tracker screen.
3. Pass boundary, empty, and out-of-bounds inputs to validation handler.
4. Validate assertions.</t>
        </is>
      </c>
      <c r="H53" s="12" t="inlineStr">
        <is>
          <t>Module: Sleep Tracker, Setup: Local Host, Detail: Edge case input: Variant #52 (Sleep Tracker)</t>
        </is>
      </c>
      <c r="I53" s="12" t="inlineStr">
        <is>
          <t>Validation rules enforce constraints and return precise error strings. for module Sleep Tracker.</t>
        </is>
      </c>
      <c r="J53" s="12" t="inlineStr">
        <is>
          <t>Pending Execution</t>
        </is>
      </c>
      <c r="K53" s="11" t="inlineStr">
        <is>
          <t>Medium</t>
        </is>
      </c>
      <c r="L53" s="11" t="inlineStr">
        <is>
          <t>Major</t>
        </is>
      </c>
      <c r="M53" s="13" t="inlineStr">
        <is>
          <t>Not Executed</t>
        </is>
      </c>
      <c r="N53" s="12" t="inlineStr">
        <is>
          <t>Generated baseline case for Functional</t>
        </is>
      </c>
    </row>
    <row r="54" ht="36" customHeight="1">
      <c r="A54" s="11" t="inlineStr">
        <is>
          <t>FUN-053</t>
        </is>
      </c>
      <c r="B54" s="12" t="inlineStr">
        <is>
          <t>Step Tracker</t>
        </is>
      </c>
      <c r="C54" s="12" t="inlineStr">
        <is>
          <t>Verify asynchronous service calls and Futures resolution for Step Tracker</t>
        </is>
      </c>
      <c r="D54" s="12" t="inlineStr">
        <is>
          <t>Functional - Step Tracker - Verify asynchronous service calls and Futures resolution (#53)</t>
        </is>
      </c>
      <c r="E54" s="12" t="inlineStr">
        <is>
          <t>Ensure Step Tracker module satisfies quality criteria for Functional category.</t>
        </is>
      </c>
      <c r="F54" s="12" t="inlineStr">
        <is>
          <t>Test environment active, NutriFit app launched on local test setup for Step Tracker.</t>
        </is>
      </c>
      <c r="G54" s="12" t="inlineStr">
        <is>
          <t>1. Open NutriFit app on target setup.
2. Navigate to Step Tracker screen.
3. Execute async service method, await Future completion, parse response model.
4. Validate assertions.</t>
        </is>
      </c>
      <c r="H54" s="12" t="inlineStr">
        <is>
          <t>Module: Step Tracker, Setup: Local Host, Detail: Async payload: Variant #53 (Step Tracker)</t>
        </is>
      </c>
      <c r="I54" s="12" t="inlineStr">
        <is>
          <t>Service parses JSON response cleanly into domain model instance. for module Step Tracker.</t>
        </is>
      </c>
      <c r="J54" s="12" t="inlineStr">
        <is>
          <t>Pending Execution</t>
        </is>
      </c>
      <c r="K54" s="11" t="inlineStr">
        <is>
          <t>Medium</t>
        </is>
      </c>
      <c r="L54" s="11" t="inlineStr">
        <is>
          <t>Moderate</t>
        </is>
      </c>
      <c r="M54" s="13" t="inlineStr">
        <is>
          <t>Not Executed</t>
        </is>
      </c>
      <c r="N54" s="12" t="inlineStr">
        <is>
          <t>Generated baseline case for Functional</t>
        </is>
      </c>
    </row>
    <row r="55" ht="36" customHeight="1">
      <c r="A55" s="11" t="inlineStr">
        <is>
          <t>FUN-054</t>
        </is>
      </c>
      <c r="B55" s="12" t="inlineStr">
        <is>
          <t>AI Trainer</t>
        </is>
      </c>
      <c r="C55" s="12" t="inlineStr">
        <is>
          <t>Verify reactive state listener callbacks and UI rebuilds for AI Trainer</t>
        </is>
      </c>
      <c r="D55" s="12" t="inlineStr">
        <is>
          <t>Functional - AI Trainer - Verify reactive state listener callbacks and UI rebuilds (#54)</t>
        </is>
      </c>
      <c r="E55" s="12" t="inlineStr">
        <is>
          <t>Ensure AI Trainer module satisfies quality criteria for Functional category.</t>
        </is>
      </c>
      <c r="F55" s="12" t="inlineStr">
        <is>
          <t>Test environment active, NutriFit app launched on local test setup for AI Trainer.</t>
        </is>
      </c>
      <c r="G55" s="12" t="inlineStr">
        <is>
          <t>1. Open NutriFit app on target setup.
2. Navigate to AI Trainer screen.
3. Mutate state property in Provider model, count listener callbacks triggered.
4. Validate assertions.</t>
        </is>
      </c>
      <c r="H55" s="12" t="inlineStr">
        <is>
          <t>Module: AI Trainer, Setup: Local Host, Detail: Provider notify: Variant #54 (AI Trainer)</t>
        </is>
      </c>
      <c r="I55" s="12" t="inlineStr">
        <is>
          <t>Listeners receive notification and rebuild bound UI components once. for module AI Trainer.</t>
        </is>
      </c>
      <c r="J55" s="12" t="inlineStr">
        <is>
          <t>Pending Execution</t>
        </is>
      </c>
      <c r="K55" s="11" t="inlineStr">
        <is>
          <t>High</t>
        </is>
      </c>
      <c r="L55" s="11" t="inlineStr">
        <is>
          <t>Major</t>
        </is>
      </c>
      <c r="M55" s="13" t="inlineStr">
        <is>
          <t>Not Executed</t>
        </is>
      </c>
      <c r="N55" s="12" t="inlineStr">
        <is>
          <t>Generated baseline case for Functional</t>
        </is>
      </c>
    </row>
    <row r="56" ht="36" customHeight="1">
      <c r="A56" s="11" t="inlineStr">
        <is>
          <t>FUN-055</t>
        </is>
      </c>
      <c r="B56" s="12" t="inlineStr">
        <is>
          <t>Shop</t>
        </is>
      </c>
      <c r="C56" s="12" t="inlineStr">
        <is>
          <t>Verify authorization guard rules and permission checks for Shop</t>
        </is>
      </c>
      <c r="D56" s="12" t="inlineStr">
        <is>
          <t>Functional - Shop - Verify authorization guard rules and permission checks (#55)</t>
        </is>
      </c>
      <c r="E56" s="12" t="inlineStr">
        <is>
          <t>Ensure Shop module satisfies quality criteria for Functional category.</t>
        </is>
      </c>
      <c r="F56" s="12" t="inlineStr">
        <is>
          <t>Test environment active, NutriFit app launched on local test setup for Shop.</t>
        </is>
      </c>
      <c r="G56" s="12" t="inlineStr">
        <is>
          <t>1. Open NutriFit app on target setup.
2. Navigate to Shop screen.
3. Attempt feature access with restricted user permissions.
4. Validate assertions.</t>
        </is>
      </c>
      <c r="H56" s="12" t="inlineStr">
        <is>
          <t>Module: Shop, Setup: Local Host, Detail: Auth role: Variant #55 (Shop)</t>
        </is>
      </c>
      <c r="I56" s="12" t="inlineStr">
        <is>
          <t>Authorization guard blocks access and redirects to permission error screen. for module Shop.</t>
        </is>
      </c>
      <c r="J56" s="12" t="inlineStr">
        <is>
          <t>Pending Execution</t>
        </is>
      </c>
      <c r="K56" s="11" t="inlineStr">
        <is>
          <t>Low</t>
        </is>
      </c>
      <c r="L56" s="11" t="inlineStr">
        <is>
          <t>Moderate</t>
        </is>
      </c>
      <c r="M56" s="13" t="inlineStr">
        <is>
          <t>Not Executed</t>
        </is>
      </c>
      <c r="N56" s="12" t="inlineStr">
        <is>
          <t>Generated baseline case for Functional</t>
        </is>
      </c>
    </row>
    <row r="57" ht="36" customHeight="1">
      <c r="A57" s="11" t="inlineStr">
        <is>
          <t>FUN-056</t>
        </is>
      </c>
      <c r="B57" s="12" t="inlineStr">
        <is>
          <t>Cart</t>
        </is>
      </c>
      <c r="C57" s="12" t="inlineStr">
        <is>
          <t>Verify component logic and state mutation functions for Cart</t>
        </is>
      </c>
      <c r="D57" s="12" t="inlineStr">
        <is>
          <t>Functional - Cart - Verify component logic and state mutation functions (#56)</t>
        </is>
      </c>
      <c r="E57" s="12" t="inlineStr">
        <is>
          <t>Ensure Cart module satisfies quality criteria for Functional category.</t>
        </is>
      </c>
      <c r="F57" s="12" t="inlineStr">
        <is>
          <t>Test environment active, NutriFit app launched on local test setup for Cart.</t>
        </is>
      </c>
      <c r="G57" s="12" t="inlineStr">
        <is>
          <t>1. Open NutriFit app on target setup.
2. Navigate to Cart screen.
3. Invoke component function with test parameters, observe return values and side effects.
4. Validate assertions.</t>
        </is>
      </c>
      <c r="H57" s="12" t="inlineStr">
        <is>
          <t>Module: Cart, Setup: Local Host, Detail: Function params: Variant #56 (Cart)</t>
        </is>
      </c>
      <c r="I57" s="12" t="inlineStr">
        <is>
          <t>Function executes logic accurately and updates internal state correctly. for module Cart.</t>
        </is>
      </c>
      <c r="J57" s="12" t="inlineStr">
        <is>
          <t>Pending Execution</t>
        </is>
      </c>
      <c r="K57" s="11" t="inlineStr">
        <is>
          <t>Medium</t>
        </is>
      </c>
      <c r="L57" s="11" t="inlineStr">
        <is>
          <t>Critical</t>
        </is>
      </c>
      <c r="M57" s="13" t="inlineStr">
        <is>
          <t>Not Executed</t>
        </is>
      </c>
      <c r="N57" s="12" t="inlineStr">
        <is>
          <t>Generated baseline case for Functional</t>
        </is>
      </c>
    </row>
    <row r="58" ht="36" customHeight="1">
      <c r="A58" s="11" t="inlineStr">
        <is>
          <t>FUN-057</t>
        </is>
      </c>
      <c r="B58" s="12" t="inlineStr">
        <is>
          <t>Checkout</t>
        </is>
      </c>
      <c r="C58" s="12" t="inlineStr">
        <is>
          <t>Verify validation constraints and edge-case handling for Checkout</t>
        </is>
      </c>
      <c r="D58" s="12" t="inlineStr">
        <is>
          <t>Functional - Checkout - Verify validation constraints and edge-case handling (#57)</t>
        </is>
      </c>
      <c r="E58" s="12" t="inlineStr">
        <is>
          <t>Ensure Checkout module satisfies quality criteria for Functional category.</t>
        </is>
      </c>
      <c r="F58" s="12" t="inlineStr">
        <is>
          <t>Test environment active, NutriFit app launched on local test setup for Checkout.</t>
        </is>
      </c>
      <c r="G58" s="12" t="inlineStr">
        <is>
          <t>1. Open NutriFit app on target setup.
2. Navigate to Checkout screen.
3. Pass boundary, empty, and out-of-bounds inputs to validation handler.
4. Validate assertions.</t>
        </is>
      </c>
      <c r="H58" s="12" t="inlineStr">
        <is>
          <t>Module: Checkout, Setup: Local Host, Detail: Edge case input: Variant #57 (Checkout)</t>
        </is>
      </c>
      <c r="I58" s="12" t="inlineStr">
        <is>
          <t>Validation rules enforce constraints and return precise error strings. for module Checkout.</t>
        </is>
      </c>
      <c r="J58" s="12" t="inlineStr">
        <is>
          <t>Pending Execution</t>
        </is>
      </c>
      <c r="K58" s="11" t="inlineStr">
        <is>
          <t>High</t>
        </is>
      </c>
      <c r="L58" s="11" t="inlineStr">
        <is>
          <t>Moderate</t>
        </is>
      </c>
      <c r="M58" s="13" t="inlineStr">
        <is>
          <t>Not Executed</t>
        </is>
      </c>
      <c r="N58" s="12" t="inlineStr">
        <is>
          <t>Generated baseline case for Functional</t>
        </is>
      </c>
    </row>
    <row r="59" ht="36" customHeight="1">
      <c r="A59" s="11" t="inlineStr">
        <is>
          <t>FUN-058</t>
        </is>
      </c>
      <c r="B59" s="12" t="inlineStr">
        <is>
          <t>Address</t>
        </is>
      </c>
      <c r="C59" s="12" t="inlineStr">
        <is>
          <t>Verify asynchronous service calls and Futures resolution for Address</t>
        </is>
      </c>
      <c r="D59" s="12" t="inlineStr">
        <is>
          <t>Functional - Address - Verify asynchronous service calls and Futures resolution (#58)</t>
        </is>
      </c>
      <c r="E59" s="12" t="inlineStr">
        <is>
          <t>Ensure Address module satisfies quality criteria for Functional category.</t>
        </is>
      </c>
      <c r="F59" s="12" t="inlineStr">
        <is>
          <t>Test environment active, NutriFit app launched on local test setup for Address.</t>
        </is>
      </c>
      <c r="G59" s="12" t="inlineStr">
        <is>
          <t>1. Open NutriFit app on target setup.
2. Navigate to Address screen.
3. Execute async service method, await Future completion, parse response model.
4. Validate assertions.</t>
        </is>
      </c>
      <c r="H59" s="12" t="inlineStr">
        <is>
          <t>Module: Address, Setup: Local Host, Detail: Async payload: Variant #58 (Address)</t>
        </is>
      </c>
      <c r="I59" s="12" t="inlineStr">
        <is>
          <t>Service parses JSON response cleanly into domain model instance. for module Address.</t>
        </is>
      </c>
      <c r="J59" s="12" t="inlineStr">
        <is>
          <t>Pending Execution</t>
        </is>
      </c>
      <c r="K59" s="11" t="inlineStr">
        <is>
          <t>Medium</t>
        </is>
      </c>
      <c r="L59" s="11" t="inlineStr">
        <is>
          <t>Major</t>
        </is>
      </c>
      <c r="M59" s="13" t="inlineStr">
        <is>
          <t>Not Executed</t>
        </is>
      </c>
      <c r="N59" s="12" t="inlineStr">
        <is>
          <t>Generated baseline case for Functional</t>
        </is>
      </c>
    </row>
    <row r="60" ht="36" customHeight="1">
      <c r="A60" s="11" t="inlineStr">
        <is>
          <t>FUN-059</t>
        </is>
      </c>
      <c r="B60" s="12" t="inlineStr">
        <is>
          <t>Orders</t>
        </is>
      </c>
      <c r="C60" s="12" t="inlineStr">
        <is>
          <t>Verify reactive state listener callbacks and UI rebuilds for Orders</t>
        </is>
      </c>
      <c r="D60" s="12" t="inlineStr">
        <is>
          <t>Functional - Orders - Verify reactive state listener callbacks and UI rebuilds (#59)</t>
        </is>
      </c>
      <c r="E60" s="12" t="inlineStr">
        <is>
          <t>Ensure Orders module satisfies quality criteria for Functional category.</t>
        </is>
      </c>
      <c r="F60" s="12" t="inlineStr">
        <is>
          <t>Test environment active, NutriFit app launched on local test setup for Orders.</t>
        </is>
      </c>
      <c r="G60" s="12" t="inlineStr">
        <is>
          <t>1. Open NutriFit app on target setup.
2. Navigate to Orders screen.
3. Mutate state property in Provider model, count listener callbacks triggered.
4. Validate assertions.</t>
        </is>
      </c>
      <c r="H60" s="12" t="inlineStr">
        <is>
          <t>Module: Orders, Setup: Local Host, Detail: Provider notify: Variant #59 (Orders)</t>
        </is>
      </c>
      <c r="I60" s="12" t="inlineStr">
        <is>
          <t>Listeners receive notification and rebuild bound UI components once. for module Orders.</t>
        </is>
      </c>
      <c r="J60" s="12" t="inlineStr">
        <is>
          <t>Pending Execution</t>
        </is>
      </c>
      <c r="K60" s="11" t="inlineStr">
        <is>
          <t>Medium</t>
        </is>
      </c>
      <c r="L60" s="11" t="inlineStr">
        <is>
          <t>Moderate</t>
        </is>
      </c>
      <c r="M60" s="13" t="inlineStr">
        <is>
          <t>Not Executed</t>
        </is>
      </c>
      <c r="N60" s="12" t="inlineStr">
        <is>
          <t>Generated baseline case for Functional</t>
        </is>
      </c>
    </row>
    <row r="61" ht="36" customHeight="1">
      <c r="A61" s="11" t="inlineStr">
        <is>
          <t>FUN-060</t>
        </is>
      </c>
      <c r="B61" s="12" t="inlineStr">
        <is>
          <t>Profile</t>
        </is>
      </c>
      <c r="C61" s="12" t="inlineStr">
        <is>
          <t>Verify authorization guard rules and permission checks for Profile</t>
        </is>
      </c>
      <c r="D61" s="12" t="inlineStr">
        <is>
          <t>Functional - Profile - Verify authorization guard rules and permission checks (#60)</t>
        </is>
      </c>
      <c r="E61" s="12" t="inlineStr">
        <is>
          <t>Ensure Profile module satisfies quality criteria for Functional category.</t>
        </is>
      </c>
      <c r="F61" s="12" t="inlineStr">
        <is>
          <t>Test environment active, NutriFit app launched on local test setup for Profile.</t>
        </is>
      </c>
      <c r="G61" s="12" t="inlineStr">
        <is>
          <t>1. Open NutriFit app on target setup.
2. Navigate to Profile screen.
3. Attempt feature access with restricted user permissions.
4. Validate assertions.</t>
        </is>
      </c>
      <c r="H61" s="12" t="inlineStr">
        <is>
          <t>Module: Profile, Setup: Local Host, Detail: Auth role: Variant #60 (Profile)</t>
        </is>
      </c>
      <c r="I61" s="12" t="inlineStr">
        <is>
          <t>Authorization guard blocks access and redirects to permission error screen. for module Profile.</t>
        </is>
      </c>
      <c r="J61" s="12" t="inlineStr">
        <is>
          <t>Pending Execution</t>
        </is>
      </c>
      <c r="K61" s="11" t="inlineStr">
        <is>
          <t>High</t>
        </is>
      </c>
      <c r="L61" s="11" t="inlineStr">
        <is>
          <t>Major</t>
        </is>
      </c>
      <c r="M61" s="13" t="inlineStr">
        <is>
          <t>Not Executed</t>
        </is>
      </c>
      <c r="N61" s="12" t="inlineStr">
        <is>
          <t>Generated baseline case for Functional</t>
        </is>
      </c>
    </row>
    <row r="62" ht="36" customHeight="1">
      <c r="A62" s="11" t="inlineStr">
        <is>
          <t>FUN-061</t>
        </is>
      </c>
      <c r="B62" s="12" t="inlineStr">
        <is>
          <t>Notifications</t>
        </is>
      </c>
      <c r="C62" s="12" t="inlineStr">
        <is>
          <t>Verify component logic and state mutation functions for Notifications</t>
        </is>
      </c>
      <c r="D62" s="12" t="inlineStr">
        <is>
          <t>Functional - Notifications - Verify component logic and state mutation functions (#61)</t>
        </is>
      </c>
      <c r="E62" s="12" t="inlineStr">
        <is>
          <t>Ensure Notifications module satisfies quality criteria for Functional category.</t>
        </is>
      </c>
      <c r="F62" s="12" t="inlineStr">
        <is>
          <t>Test environment active, NutriFit app launched on local test setup for Notifications.</t>
        </is>
      </c>
      <c r="G62" s="12" t="inlineStr">
        <is>
          <t>1. Open NutriFit app on target setup.
2. Navigate to Notifications screen.
3. Invoke component function with test parameters, observe return values and side effects.
4. Validate assertions.</t>
        </is>
      </c>
      <c r="H62" s="12" t="inlineStr">
        <is>
          <t>Module: Notifications, Setup: Local Host, Detail: Function params: Variant #61 (Notifications)</t>
        </is>
      </c>
      <c r="I62" s="12" t="inlineStr">
        <is>
          <t>Function executes logic accurately and updates internal state correctly. for module Notifications.</t>
        </is>
      </c>
      <c r="J62" s="12" t="inlineStr">
        <is>
          <t>Pending Execution</t>
        </is>
      </c>
      <c r="K62" s="11" t="inlineStr">
        <is>
          <t>Medium</t>
        </is>
      </c>
      <c r="L62" s="11" t="inlineStr">
        <is>
          <t>Moderate</t>
        </is>
      </c>
      <c r="M62" s="13" t="inlineStr">
        <is>
          <t>Not Executed</t>
        </is>
      </c>
      <c r="N62" s="12" t="inlineStr">
        <is>
          <t>Generated baseline case for Functional</t>
        </is>
      </c>
    </row>
    <row r="63" ht="36" customHeight="1">
      <c r="A63" s="11" t="inlineStr">
        <is>
          <t>FUN-062</t>
        </is>
      </c>
      <c r="B63" s="12" t="inlineStr">
        <is>
          <t>Settings</t>
        </is>
      </c>
      <c r="C63" s="12" t="inlineStr">
        <is>
          <t>Verify validation constraints and edge-case handling for Settings</t>
        </is>
      </c>
      <c r="D63" s="12" t="inlineStr">
        <is>
          <t>Functional - Settings - Verify validation constraints and edge-case handling (#62)</t>
        </is>
      </c>
      <c r="E63" s="12" t="inlineStr">
        <is>
          <t>Ensure Settings module satisfies quality criteria for Functional category.</t>
        </is>
      </c>
      <c r="F63" s="12" t="inlineStr">
        <is>
          <t>Test environment active, NutriFit app launched on local test setup for Settings.</t>
        </is>
      </c>
      <c r="G63" s="12" t="inlineStr">
        <is>
          <t>1. Open NutriFit app on target setup.
2. Navigate to Settings screen.
3. Pass boundary, empty, and out-of-bounds inputs to validation handler.
4. Validate assertions.</t>
        </is>
      </c>
      <c r="H63" s="12" t="inlineStr">
        <is>
          <t>Module: Settings, Setup: Local Host, Detail: Edge case input: Variant #62 (Settings)</t>
        </is>
      </c>
      <c r="I63" s="12" t="inlineStr">
        <is>
          <t>Validation rules enforce constraints and return precise error strings. for module Settings.</t>
        </is>
      </c>
      <c r="J63" s="12" t="inlineStr">
        <is>
          <t>Pending Execution</t>
        </is>
      </c>
      <c r="K63" s="11" t="inlineStr">
        <is>
          <t>Medium</t>
        </is>
      </c>
      <c r="L63" s="11" t="inlineStr">
        <is>
          <t>Major</t>
        </is>
      </c>
      <c r="M63" s="13" t="inlineStr">
        <is>
          <t>Not Executed</t>
        </is>
      </c>
      <c r="N63" s="12" t="inlineStr">
        <is>
          <t>Generated baseline case for Functional</t>
        </is>
      </c>
    </row>
    <row r="64" ht="36" customHeight="1">
      <c r="A64" s="11" t="inlineStr">
        <is>
          <t>FUN-063</t>
        </is>
      </c>
      <c r="B64" s="12" t="inlineStr">
        <is>
          <t>Localization</t>
        </is>
      </c>
      <c r="C64" s="12" t="inlineStr">
        <is>
          <t>Verify asynchronous service calls and Futures resolution for Localization</t>
        </is>
      </c>
      <c r="D64" s="12" t="inlineStr">
        <is>
          <t>Functional - Localization - Verify asynchronous service calls and Futures resolution (#63)</t>
        </is>
      </c>
      <c r="E64" s="12" t="inlineStr">
        <is>
          <t>Ensure Localization module satisfies quality criteria for Functional category.</t>
        </is>
      </c>
      <c r="F64" s="12" t="inlineStr">
        <is>
          <t>Test environment active, NutriFit app launched on local test setup for Localization.</t>
        </is>
      </c>
      <c r="G64" s="12" t="inlineStr">
        <is>
          <t>1. Open NutriFit app on target setup.
2. Navigate to Localization screen.
3. Execute async service method, await Future completion, parse response model.
4. Validate assertions.</t>
        </is>
      </c>
      <c r="H64" s="12" t="inlineStr">
        <is>
          <t>Module: Localization, Setup: Local Host, Detail: Async payload: Variant #63 (Localization)</t>
        </is>
      </c>
      <c r="I64" s="12" t="inlineStr">
        <is>
          <t>Service parses JSON response cleanly into domain model instance. for module Localization.</t>
        </is>
      </c>
      <c r="J64" s="12" t="inlineStr">
        <is>
          <t>Pending Execution</t>
        </is>
      </c>
      <c r="K64" s="11" t="inlineStr">
        <is>
          <t>High</t>
        </is>
      </c>
      <c r="L64" s="11" t="inlineStr">
        <is>
          <t>Critical</t>
        </is>
      </c>
      <c r="M64" s="13" t="inlineStr">
        <is>
          <t>Not Executed</t>
        </is>
      </c>
      <c r="N64" s="12" t="inlineStr">
        <is>
          <t>Generated baseline case for Functional</t>
        </is>
      </c>
    </row>
    <row r="65" ht="36" customHeight="1">
      <c r="A65" s="11" t="inlineStr">
        <is>
          <t>FUN-064</t>
        </is>
      </c>
      <c r="B65" s="12" t="inlineStr">
        <is>
          <t>Supabase Integration</t>
        </is>
      </c>
      <c r="C65" s="12" t="inlineStr">
        <is>
          <t>Verify reactive state listener callbacks and UI rebuilds for Supabase Integration</t>
        </is>
      </c>
      <c r="D65" s="12" t="inlineStr">
        <is>
          <t>Functional - Supabase Integration - Verify reactive state listener callbacks and UI rebuilds (#64)</t>
        </is>
      </c>
      <c r="E65" s="12" t="inlineStr">
        <is>
          <t>Ensure Supabase Integration module satisfies quality criteria for Functional category.</t>
        </is>
      </c>
      <c r="F65" s="12" t="inlineStr">
        <is>
          <t>Test environment active, NutriFit app launched on local test setup for Supabase Integration.</t>
        </is>
      </c>
      <c r="G65" s="12" t="inlineStr">
        <is>
          <t>1. Open NutriFit app on target setup.
2. Navigate to Supabase Integration screen.
3. Mutate state property in Provider model, count listener callbacks triggered.
4. Validate assertions.</t>
        </is>
      </c>
      <c r="H65" s="12" t="inlineStr">
        <is>
          <t>Module: Supabase Integration, Setup: Local Host, Detail: Provider notify: Variant #64 (Supabase Integration)</t>
        </is>
      </c>
      <c r="I65" s="12" t="inlineStr">
        <is>
          <t>Listeners receive notification and rebuild bound UI components once. for module Supabase Integration.</t>
        </is>
      </c>
      <c r="J65" s="12" t="inlineStr">
        <is>
          <t>Pending Execution</t>
        </is>
      </c>
      <c r="K65" s="11" t="inlineStr">
        <is>
          <t>Medium</t>
        </is>
      </c>
      <c r="L65" s="11" t="inlineStr">
        <is>
          <t>Major</t>
        </is>
      </c>
      <c r="M65" s="13" t="inlineStr">
        <is>
          <t>Not Executed</t>
        </is>
      </c>
      <c r="N65" s="12" t="inlineStr">
        <is>
          <t>Generated baseline case for Functional</t>
        </is>
      </c>
    </row>
    <row r="66" ht="36" customHeight="1">
      <c r="A66" s="11" t="inlineStr">
        <is>
          <t>FUN-065</t>
        </is>
      </c>
      <c r="B66" s="12" t="inlineStr">
        <is>
          <t>Responsive Web</t>
        </is>
      </c>
      <c r="C66" s="12" t="inlineStr">
        <is>
          <t>Verify authorization guard rules and permission checks for Responsive Web</t>
        </is>
      </c>
      <c r="D66" s="12" t="inlineStr">
        <is>
          <t>Functional - Responsive Web - Verify authorization guard rules and permission checks (#65)</t>
        </is>
      </c>
      <c r="E66" s="12" t="inlineStr">
        <is>
          <t>Ensure Responsive Web module satisfies quality criteria for Functional category.</t>
        </is>
      </c>
      <c r="F66" s="12" t="inlineStr">
        <is>
          <t>Test environment active, NutriFit app launched on local test setup for Responsive Web.</t>
        </is>
      </c>
      <c r="G66" s="12" t="inlineStr">
        <is>
          <t>1. Open NutriFit app on target setup.
2. Navigate to Responsive Web screen.
3. Attempt feature access with restricted user permissions.
4. Validate assertions.</t>
        </is>
      </c>
      <c r="H66" s="12" t="inlineStr">
        <is>
          <t>Module: Responsive Web, Setup: Local Host, Detail: Auth role: Variant #65 (Responsive Web)</t>
        </is>
      </c>
      <c r="I66" s="12" t="inlineStr">
        <is>
          <t>Authorization guard blocks access and redirects to permission error screen. for module Responsive Web.</t>
        </is>
      </c>
      <c r="J66" s="12" t="inlineStr">
        <is>
          <t>Pending Execution</t>
        </is>
      </c>
      <c r="K66" s="11" t="inlineStr">
        <is>
          <t>Low</t>
        </is>
      </c>
      <c r="L66" s="11" t="inlineStr">
        <is>
          <t>Moderate</t>
        </is>
      </c>
      <c r="M66" s="13" t="inlineStr">
        <is>
          <t>Not Executed</t>
        </is>
      </c>
      <c r="N66" s="12" t="inlineStr">
        <is>
          <t>Generated baseline case for Functional</t>
        </is>
      </c>
    </row>
    <row r="67" ht="36" customHeight="1">
      <c r="A67" s="11" t="inlineStr">
        <is>
          <t>FUN-066</t>
        </is>
      </c>
      <c r="B67" s="12" t="inlineStr">
        <is>
          <t>Android UI</t>
        </is>
      </c>
      <c r="C67" s="12" t="inlineStr">
        <is>
          <t>Verify component logic and state mutation functions for Android UI</t>
        </is>
      </c>
      <c r="D67" s="12" t="inlineStr">
        <is>
          <t>Functional - Android UI - Verify component logic and state mutation functions (#66)</t>
        </is>
      </c>
      <c r="E67" s="12" t="inlineStr">
        <is>
          <t>Ensure Android UI module satisfies quality criteria for Functional category.</t>
        </is>
      </c>
      <c r="F67" s="12" t="inlineStr">
        <is>
          <t>Test environment active, NutriFit app launched on local test setup for Android UI.</t>
        </is>
      </c>
      <c r="G67" s="12" t="inlineStr">
        <is>
          <t>1. Open NutriFit app on target setup.
2. Navigate to Android UI screen.
3. Invoke component function with test parameters, observe return values and side effects.
4. Validate assertions.</t>
        </is>
      </c>
      <c r="H67" s="12" t="inlineStr">
        <is>
          <t>Module: Android UI, Setup: Local Host, Detail: Function params: Variant #66 (Android UI)</t>
        </is>
      </c>
      <c r="I67" s="12" t="inlineStr">
        <is>
          <t>Function executes logic accurately and updates internal state correctly. for module Android UI.</t>
        </is>
      </c>
      <c r="J67" s="12" t="inlineStr">
        <is>
          <t>Pending Execution</t>
        </is>
      </c>
      <c r="K67" s="11" t="inlineStr">
        <is>
          <t>High</t>
        </is>
      </c>
      <c r="L67" s="11" t="inlineStr">
        <is>
          <t>Major</t>
        </is>
      </c>
      <c r="M67" s="13" t="inlineStr">
        <is>
          <t>Not Executed</t>
        </is>
      </c>
      <c r="N67" s="12" t="inlineStr">
        <is>
          <t>Generated baseline case for Functional</t>
        </is>
      </c>
    </row>
    <row r="68" ht="36" customHeight="1">
      <c r="A68" s="11" t="inlineStr">
        <is>
          <t>FUN-067</t>
        </is>
      </c>
      <c r="B68" s="12" t="inlineStr">
        <is>
          <t>Authentication</t>
        </is>
      </c>
      <c r="C68" s="12" t="inlineStr">
        <is>
          <t>Verify validation constraints and edge-case handling for Authentication</t>
        </is>
      </c>
      <c r="D68" s="12" t="inlineStr">
        <is>
          <t>Functional - Authentication - Verify validation constraints and edge-case handling (#67)</t>
        </is>
      </c>
      <c r="E68" s="12" t="inlineStr">
        <is>
          <t>Ensure Authentication module satisfies quality criteria for Functional category.</t>
        </is>
      </c>
      <c r="F68" s="12" t="inlineStr">
        <is>
          <t>Test environment active, NutriFit app launched on local test setup for Authentication.</t>
        </is>
      </c>
      <c r="G68" s="12" t="inlineStr">
        <is>
          <t>1. Open NutriFit app on target setup.
2. Navigate to Authentication screen.
3. Pass boundary, empty, and out-of-bounds inputs to validation handler.
4. Validate assertions.</t>
        </is>
      </c>
      <c r="H68" s="12" t="inlineStr">
        <is>
          <t>Module: Authentication, Setup: Local Host, Detail: Edge case input: Variant #67 (Authentication)</t>
        </is>
      </c>
      <c r="I68" s="12" t="inlineStr">
        <is>
          <t>Validation rules enforce constraints and return precise error strings. for module Authentication.</t>
        </is>
      </c>
      <c r="J68" s="12" t="inlineStr">
        <is>
          <t>Pending Execution</t>
        </is>
      </c>
      <c r="K68" s="11" t="inlineStr">
        <is>
          <t>Medium</t>
        </is>
      </c>
      <c r="L68" s="11" t="inlineStr">
        <is>
          <t>Moderate</t>
        </is>
      </c>
      <c r="M68" s="13" t="inlineStr">
        <is>
          <t>Not Executed</t>
        </is>
      </c>
      <c r="N68" s="12" t="inlineStr">
        <is>
          <t>Generated baseline case for Functional</t>
        </is>
      </c>
    </row>
    <row r="69" ht="36" customHeight="1">
      <c r="A69" s="11" t="inlineStr">
        <is>
          <t>FUN-068</t>
        </is>
      </c>
      <c r="B69" s="12" t="inlineStr">
        <is>
          <t>Dashboard</t>
        </is>
      </c>
      <c r="C69" s="12" t="inlineStr">
        <is>
          <t>Verify asynchronous service calls and Futures resolution for Dashboard</t>
        </is>
      </c>
      <c r="D69" s="12" t="inlineStr">
        <is>
          <t>Functional - Dashboard - Verify asynchronous service calls and Futures resolution (#68)</t>
        </is>
      </c>
      <c r="E69" s="12" t="inlineStr">
        <is>
          <t>Ensure Dashboard module satisfies quality criteria for Functional category.</t>
        </is>
      </c>
      <c r="F69" s="12" t="inlineStr">
        <is>
          <t>Test environment active, NutriFit app launched on local test setup for Dashboard.</t>
        </is>
      </c>
      <c r="G69" s="12" t="inlineStr">
        <is>
          <t>1. Open NutriFit app on target setup.
2. Navigate to Dashboard screen.
3. Execute async service method, await Future completion, parse response model.
4. Validate assertions.</t>
        </is>
      </c>
      <c r="H69" s="12" t="inlineStr">
        <is>
          <t>Module: Dashboard, Setup: Local Host, Detail: Async payload: Variant #68 (Dashboard)</t>
        </is>
      </c>
      <c r="I69" s="12" t="inlineStr">
        <is>
          <t>Service parses JSON response cleanly into domain model instance. for module Dashboard.</t>
        </is>
      </c>
      <c r="J69" s="12" t="inlineStr">
        <is>
          <t>Pending Execution</t>
        </is>
      </c>
      <c r="K69" s="11" t="inlineStr">
        <is>
          <t>Medium</t>
        </is>
      </c>
      <c r="L69" s="11" t="inlineStr">
        <is>
          <t>Major</t>
        </is>
      </c>
      <c r="M69" s="13" t="inlineStr">
        <is>
          <t>Not Executed</t>
        </is>
      </c>
      <c r="N69" s="12" t="inlineStr">
        <is>
          <t>Generated baseline case for Functional</t>
        </is>
      </c>
    </row>
    <row r="70" ht="36" customHeight="1">
      <c r="A70" s="11" t="inlineStr">
        <is>
          <t>FUN-069</t>
        </is>
      </c>
      <c r="B70" s="12" t="inlineStr">
        <is>
          <t>Workout</t>
        </is>
      </c>
      <c r="C70" s="12" t="inlineStr">
        <is>
          <t>Verify reactive state listener callbacks and UI rebuilds for Workout</t>
        </is>
      </c>
      <c r="D70" s="12" t="inlineStr">
        <is>
          <t>Functional - Workout - Verify reactive state listener callbacks and UI rebuilds (#69)</t>
        </is>
      </c>
      <c r="E70" s="12" t="inlineStr">
        <is>
          <t>Ensure Workout module satisfies quality criteria for Functional category.</t>
        </is>
      </c>
      <c r="F70" s="12" t="inlineStr">
        <is>
          <t>Test environment active, NutriFit app launched on local test setup for Workout.</t>
        </is>
      </c>
      <c r="G70" s="12" t="inlineStr">
        <is>
          <t>1. Open NutriFit app on target setup.
2. Navigate to Workout screen.
3. Mutate state property in Provider model, count listener callbacks triggered.
4. Validate assertions.</t>
        </is>
      </c>
      <c r="H70" s="12" t="inlineStr">
        <is>
          <t>Module: Workout, Setup: Local Host, Detail: Provider notify: Variant #69 (Workout)</t>
        </is>
      </c>
      <c r="I70" s="12" t="inlineStr">
        <is>
          <t>Listeners receive notification and rebuild bound UI components once. for module Workout.</t>
        </is>
      </c>
      <c r="J70" s="12" t="inlineStr">
        <is>
          <t>Pending Execution</t>
        </is>
      </c>
      <c r="K70" s="11" t="inlineStr">
        <is>
          <t>High</t>
        </is>
      </c>
      <c r="L70" s="11" t="inlineStr">
        <is>
          <t>Moderate</t>
        </is>
      </c>
      <c r="M70" s="13" t="inlineStr">
        <is>
          <t>Not Executed</t>
        </is>
      </c>
      <c r="N70" s="12" t="inlineStr">
        <is>
          <t>Generated baseline case for Functional</t>
        </is>
      </c>
    </row>
    <row r="71" ht="36" customHeight="1">
      <c r="A71" s="11" t="inlineStr">
        <is>
          <t>FUN-070</t>
        </is>
      </c>
      <c r="B71" s="12" t="inlineStr">
        <is>
          <t>Diet</t>
        </is>
      </c>
      <c r="C71" s="12" t="inlineStr">
        <is>
          <t>Verify authorization guard rules and permission checks for Diet</t>
        </is>
      </c>
      <c r="D71" s="12" t="inlineStr">
        <is>
          <t>Functional - Diet - Verify authorization guard rules and permission checks (#70)</t>
        </is>
      </c>
      <c r="E71" s="12" t="inlineStr">
        <is>
          <t>Ensure Diet module satisfies quality criteria for Functional category.</t>
        </is>
      </c>
      <c r="F71" s="12" t="inlineStr">
        <is>
          <t>Test environment active, NutriFit app launched on local test setup for Diet.</t>
        </is>
      </c>
      <c r="G71" s="12" t="inlineStr">
        <is>
          <t>1. Open NutriFit app on target setup.
2. Navigate to Diet screen.
3. Attempt feature access with restricted user permissions.
4. Validate assertions.</t>
        </is>
      </c>
      <c r="H71" s="12" t="inlineStr">
        <is>
          <t>Module: Diet, Setup: Local Host, Detail: Auth role: Variant #70 (Diet)</t>
        </is>
      </c>
      <c r="I71" s="12" t="inlineStr">
        <is>
          <t>Authorization guard blocks access and redirects to permission error screen. for module Diet.</t>
        </is>
      </c>
      <c r="J71" s="12" t="inlineStr">
        <is>
          <t>Pending Execution</t>
        </is>
      </c>
      <c r="K71" s="11" t="inlineStr">
        <is>
          <t>Low</t>
        </is>
      </c>
      <c r="L71" s="11" t="inlineStr">
        <is>
          <t>Critical</t>
        </is>
      </c>
      <c r="M71" s="13" t="inlineStr">
        <is>
          <t>Not Executed</t>
        </is>
      </c>
      <c r="N71" s="12" t="inlineStr">
        <is>
          <t>Generated baseline case for Functional</t>
        </is>
      </c>
    </row>
    <row r="72" ht="36" customHeight="1">
      <c r="A72" s="11" t="inlineStr">
        <is>
          <t>FUN-071</t>
        </is>
      </c>
      <c r="B72" s="12" t="inlineStr">
        <is>
          <t>Budget Diet</t>
        </is>
      </c>
      <c r="C72" s="12" t="inlineStr">
        <is>
          <t>Verify component logic and state mutation functions for Budget Diet</t>
        </is>
      </c>
      <c r="D72" s="12" t="inlineStr">
        <is>
          <t>Functional - Budget Diet - Verify component logic and state mutation functions (#71)</t>
        </is>
      </c>
      <c r="E72" s="12" t="inlineStr">
        <is>
          <t>Ensure Budget Diet module satisfies quality criteria for Functional category.</t>
        </is>
      </c>
      <c r="F72" s="12" t="inlineStr">
        <is>
          <t>Test environment active, NutriFit app launched on local test setup for Budget Diet.</t>
        </is>
      </c>
      <c r="G72" s="12" t="inlineStr">
        <is>
          <t>1. Open NutriFit app on target setup.
2. Navigate to Budget Diet screen.
3. Invoke component function with test parameters, observe return values and side effects.
4. Validate assertions.</t>
        </is>
      </c>
      <c r="H72" s="12" t="inlineStr">
        <is>
          <t>Module: Budget Diet, Setup: Local Host, Detail: Function params: Variant #71 (Budget Diet)</t>
        </is>
      </c>
      <c r="I72" s="12" t="inlineStr">
        <is>
          <t>Function executes logic accurately and updates internal state correctly. for module Budget Diet.</t>
        </is>
      </c>
      <c r="J72" s="12" t="inlineStr">
        <is>
          <t>Pending Execution</t>
        </is>
      </c>
      <c r="K72" s="11" t="inlineStr">
        <is>
          <t>Medium</t>
        </is>
      </c>
      <c r="L72" s="11" t="inlineStr">
        <is>
          <t>Moderate</t>
        </is>
      </c>
      <c r="M72" s="13" t="inlineStr">
        <is>
          <t>Not Executed</t>
        </is>
      </c>
      <c r="N72" s="12" t="inlineStr">
        <is>
          <t>Generated baseline case for Functional</t>
        </is>
      </c>
    </row>
    <row r="73" ht="36" customHeight="1">
      <c r="A73" s="11" t="inlineStr">
        <is>
          <t>FUN-072</t>
        </is>
      </c>
      <c r="B73" s="12" t="inlineStr">
        <is>
          <t>Stretching</t>
        </is>
      </c>
      <c r="C73" s="12" t="inlineStr">
        <is>
          <t>Verify validation constraints and edge-case handling for Stretching</t>
        </is>
      </c>
      <c r="D73" s="12" t="inlineStr">
        <is>
          <t>Functional - Stretching - Verify validation constraints and edge-case handling (#72)</t>
        </is>
      </c>
      <c r="E73" s="12" t="inlineStr">
        <is>
          <t>Ensure Stretching module satisfies quality criteria for Functional category.</t>
        </is>
      </c>
      <c r="F73" s="12" t="inlineStr">
        <is>
          <t>Test environment active, NutriFit app launched on local test setup for Stretching.</t>
        </is>
      </c>
      <c r="G73" s="12" t="inlineStr">
        <is>
          <t>1. Open NutriFit app on target setup.
2. Navigate to Stretching screen.
3. Pass boundary, empty, and out-of-bounds inputs to validation handler.
4. Validate assertions.</t>
        </is>
      </c>
      <c r="H73" s="12" t="inlineStr">
        <is>
          <t>Module: Stretching, Setup: Local Host, Detail: Edge case input: Variant #72 (Stretching)</t>
        </is>
      </c>
      <c r="I73" s="12" t="inlineStr">
        <is>
          <t>Validation rules enforce constraints and return precise error strings. for module Stretching.</t>
        </is>
      </c>
      <c r="J73" s="12" t="inlineStr">
        <is>
          <t>Pending Execution</t>
        </is>
      </c>
      <c r="K73" s="11" t="inlineStr">
        <is>
          <t>High</t>
        </is>
      </c>
      <c r="L73" s="11" t="inlineStr">
        <is>
          <t>Major</t>
        </is>
      </c>
      <c r="M73" s="13" t="inlineStr">
        <is>
          <t>Not Executed</t>
        </is>
      </c>
      <c r="N73" s="12" t="inlineStr">
        <is>
          <t>Generated baseline case for Functional</t>
        </is>
      </c>
    </row>
    <row r="74" ht="36" customHeight="1">
      <c r="A74" s="11" t="inlineStr">
        <is>
          <t>FUN-073</t>
        </is>
      </c>
      <c r="B74" s="12" t="inlineStr">
        <is>
          <t>Water Tracker</t>
        </is>
      </c>
      <c r="C74" s="12" t="inlineStr">
        <is>
          <t>Verify asynchronous service calls and Futures resolution for Water Tracker</t>
        </is>
      </c>
      <c r="D74" s="12" t="inlineStr">
        <is>
          <t>Functional - Water Tracker - Verify asynchronous service calls and Futures resolution (#73)</t>
        </is>
      </c>
      <c r="E74" s="12" t="inlineStr">
        <is>
          <t>Ensure Water Tracker module satisfies quality criteria for Functional category.</t>
        </is>
      </c>
      <c r="F74" s="12" t="inlineStr">
        <is>
          <t>Test environment active, NutriFit app launched on local test setup for Water Tracker.</t>
        </is>
      </c>
      <c r="G74" s="12" t="inlineStr">
        <is>
          <t>1. Open NutriFit app on target setup.
2. Navigate to Water Tracker screen.
3. Execute async service method, await Future completion, parse response model.
4. Validate assertions.</t>
        </is>
      </c>
      <c r="H74" s="12" t="inlineStr">
        <is>
          <t>Module: Water Tracker, Setup: Local Host, Detail: Async payload: Variant #73 (Water Tracker)</t>
        </is>
      </c>
      <c r="I74" s="12" t="inlineStr">
        <is>
          <t>Service parses JSON response cleanly into domain model instance. for module Water Tracker.</t>
        </is>
      </c>
      <c r="J74" s="12" t="inlineStr">
        <is>
          <t>Pending Execution</t>
        </is>
      </c>
      <c r="K74" s="11" t="inlineStr">
        <is>
          <t>Medium</t>
        </is>
      </c>
      <c r="L74" s="11" t="inlineStr">
        <is>
          <t>Moderate</t>
        </is>
      </c>
      <c r="M74" s="13" t="inlineStr">
        <is>
          <t>Not Executed</t>
        </is>
      </c>
      <c r="N74" s="12" t="inlineStr">
        <is>
          <t>Generated baseline case for Functional</t>
        </is>
      </c>
    </row>
    <row r="75" ht="36" customHeight="1">
      <c r="A75" s="11" t="inlineStr">
        <is>
          <t>FUN-074</t>
        </is>
      </c>
      <c r="B75" s="12" t="inlineStr">
        <is>
          <t>Sleep Tracker</t>
        </is>
      </c>
      <c r="C75" s="12" t="inlineStr">
        <is>
          <t>Verify reactive state listener callbacks and UI rebuilds for Sleep Tracker</t>
        </is>
      </c>
      <c r="D75" s="12" t="inlineStr">
        <is>
          <t>Functional - Sleep Tracker - Verify reactive state listener callbacks and UI rebuilds (#74)</t>
        </is>
      </c>
      <c r="E75" s="12" t="inlineStr">
        <is>
          <t>Ensure Sleep Tracker module satisfies quality criteria for Functional category.</t>
        </is>
      </c>
      <c r="F75" s="12" t="inlineStr">
        <is>
          <t>Test environment active, NutriFit app launched on local test setup for Sleep Tracker.</t>
        </is>
      </c>
      <c r="G75" s="12" t="inlineStr">
        <is>
          <t>1. Open NutriFit app on target setup.
2. Navigate to Sleep Tracker screen.
3. Mutate state property in Provider model, count listener callbacks triggered.
4. Validate assertions.</t>
        </is>
      </c>
      <c r="H75" s="12" t="inlineStr">
        <is>
          <t>Module: Sleep Tracker, Setup: Local Host, Detail: Provider notify: Variant #74 (Sleep Tracker)</t>
        </is>
      </c>
      <c r="I75" s="12" t="inlineStr">
        <is>
          <t>Listeners receive notification and rebuild bound UI components once. for module Sleep Tracker.</t>
        </is>
      </c>
      <c r="J75" s="12" t="inlineStr">
        <is>
          <t>Pending Execution</t>
        </is>
      </c>
      <c r="K75" s="11" t="inlineStr">
        <is>
          <t>Medium</t>
        </is>
      </c>
      <c r="L75" s="11" t="inlineStr">
        <is>
          <t>Major</t>
        </is>
      </c>
      <c r="M75" s="13" t="inlineStr">
        <is>
          <t>Not Executed</t>
        </is>
      </c>
      <c r="N75" s="12" t="inlineStr">
        <is>
          <t>Generated baseline case for Functional</t>
        </is>
      </c>
    </row>
    <row r="76" ht="36" customHeight="1">
      <c r="A76" s="11" t="inlineStr">
        <is>
          <t>FUN-075</t>
        </is>
      </c>
      <c r="B76" s="12" t="inlineStr">
        <is>
          <t>Step Tracker</t>
        </is>
      </c>
      <c r="C76" s="12" t="inlineStr">
        <is>
          <t>Verify authorization guard rules and permission checks for Step Tracker</t>
        </is>
      </c>
      <c r="D76" s="12" t="inlineStr">
        <is>
          <t>Functional - Step Tracker - Verify authorization guard rules and permission checks (#75)</t>
        </is>
      </c>
      <c r="E76" s="12" t="inlineStr">
        <is>
          <t>Ensure Step Tracker module satisfies quality criteria for Functional category.</t>
        </is>
      </c>
      <c r="F76" s="12" t="inlineStr">
        <is>
          <t>Test environment active, NutriFit app launched on local test setup for Step Tracker.</t>
        </is>
      </c>
      <c r="G76" s="12" t="inlineStr">
        <is>
          <t>1. Open NutriFit app on target setup.
2. Navigate to Step Tracker screen.
3. Attempt feature access with restricted user permissions.
4. Validate assertions.</t>
        </is>
      </c>
      <c r="H76" s="12" t="inlineStr">
        <is>
          <t>Module: Step Tracker, Setup: Local Host, Detail: Auth role: Variant #75 (Step Tracker)</t>
        </is>
      </c>
      <c r="I76" s="12" t="inlineStr">
        <is>
          <t>Authorization guard blocks access and redirects to permission error screen. for module Step Tracker.</t>
        </is>
      </c>
      <c r="J76" s="12" t="inlineStr">
        <is>
          <t>Pending Execution</t>
        </is>
      </c>
      <c r="K76" s="11" t="inlineStr">
        <is>
          <t>High</t>
        </is>
      </c>
      <c r="L76" s="11" t="inlineStr">
        <is>
          <t>Moderate</t>
        </is>
      </c>
      <c r="M76" s="13" t="inlineStr">
        <is>
          <t>Not Executed</t>
        </is>
      </c>
      <c r="N76" s="12" t="inlineStr">
        <is>
          <t>Generated baseline case for Functional</t>
        </is>
      </c>
    </row>
    <row r="77" ht="36" customHeight="1">
      <c r="A77" s="11" t="inlineStr">
        <is>
          <t>FUN-076</t>
        </is>
      </c>
      <c r="B77" s="12" t="inlineStr">
        <is>
          <t>AI Trainer</t>
        </is>
      </c>
      <c r="C77" s="12" t="inlineStr">
        <is>
          <t>Verify component logic and state mutation functions for AI Trainer</t>
        </is>
      </c>
      <c r="D77" s="12" t="inlineStr">
        <is>
          <t>Functional - AI Trainer - Verify component logic and state mutation functions (#76)</t>
        </is>
      </c>
      <c r="E77" s="12" t="inlineStr">
        <is>
          <t>Ensure AI Trainer module satisfies quality criteria for Functional category.</t>
        </is>
      </c>
      <c r="F77" s="12" t="inlineStr">
        <is>
          <t>Test environment active, NutriFit app launched on local test setup for AI Trainer.</t>
        </is>
      </c>
      <c r="G77" s="12" t="inlineStr">
        <is>
          <t>1. Open NutriFit app on target setup.
2. Navigate to AI Trainer screen.
3. Invoke component function with test parameters, observe return values and side effects.
4. Validate assertions.</t>
        </is>
      </c>
      <c r="H77" s="12" t="inlineStr">
        <is>
          <t>Module: AI Trainer, Setup: Local Host, Detail: Function params: Variant #76 (AI Trainer)</t>
        </is>
      </c>
      <c r="I77" s="12" t="inlineStr">
        <is>
          <t>Function executes logic accurately and updates internal state correctly. for module AI Trainer.</t>
        </is>
      </c>
      <c r="J77" s="12" t="inlineStr">
        <is>
          <t>Pending Execution</t>
        </is>
      </c>
      <c r="K77" s="11" t="inlineStr">
        <is>
          <t>Medium</t>
        </is>
      </c>
      <c r="L77" s="11" t="inlineStr">
        <is>
          <t>Major</t>
        </is>
      </c>
      <c r="M77" s="13" t="inlineStr">
        <is>
          <t>Not Executed</t>
        </is>
      </c>
      <c r="N77" s="12" t="inlineStr">
        <is>
          <t>Generated baseline case for Functional</t>
        </is>
      </c>
    </row>
    <row r="78" ht="36" customHeight="1">
      <c r="A78" s="11" t="inlineStr">
        <is>
          <t>FUN-077</t>
        </is>
      </c>
      <c r="B78" s="12" t="inlineStr">
        <is>
          <t>Shop</t>
        </is>
      </c>
      <c r="C78" s="12" t="inlineStr">
        <is>
          <t>Verify validation constraints and edge-case handling for Shop</t>
        </is>
      </c>
      <c r="D78" s="12" t="inlineStr">
        <is>
          <t>Functional - Shop - Verify validation constraints and edge-case handling (#77)</t>
        </is>
      </c>
      <c r="E78" s="12" t="inlineStr">
        <is>
          <t>Ensure Shop module satisfies quality criteria for Functional category.</t>
        </is>
      </c>
      <c r="F78" s="12" t="inlineStr">
        <is>
          <t>Test environment active, NutriFit app launched on local test setup for Shop.</t>
        </is>
      </c>
      <c r="G78" s="12" t="inlineStr">
        <is>
          <t>1. Open NutriFit app on target setup.
2. Navigate to Shop screen.
3. Pass boundary, empty, and out-of-bounds inputs to validation handler.
4. Validate assertions.</t>
        </is>
      </c>
      <c r="H78" s="12" t="inlineStr">
        <is>
          <t>Module: Shop, Setup: Local Host, Detail: Edge case input: Variant #77 (Shop)</t>
        </is>
      </c>
      <c r="I78" s="12" t="inlineStr">
        <is>
          <t>Validation rules enforce constraints and return precise error strings. for module Shop.</t>
        </is>
      </c>
      <c r="J78" s="12" t="inlineStr">
        <is>
          <t>Pending Execution</t>
        </is>
      </c>
      <c r="K78" s="11" t="inlineStr">
        <is>
          <t>Medium</t>
        </is>
      </c>
      <c r="L78" s="11" t="inlineStr">
        <is>
          <t>Critical</t>
        </is>
      </c>
      <c r="M78" s="13" t="inlineStr">
        <is>
          <t>Not Executed</t>
        </is>
      </c>
      <c r="N78" s="12" t="inlineStr">
        <is>
          <t>Generated baseline case for Functional</t>
        </is>
      </c>
    </row>
    <row r="79" ht="36" customHeight="1">
      <c r="A79" s="11" t="inlineStr">
        <is>
          <t>FUN-078</t>
        </is>
      </c>
      <c r="B79" s="12" t="inlineStr">
        <is>
          <t>Cart</t>
        </is>
      </c>
      <c r="C79" s="12" t="inlineStr">
        <is>
          <t>Verify asynchronous service calls and Futures resolution for Cart</t>
        </is>
      </c>
      <c r="D79" s="12" t="inlineStr">
        <is>
          <t>Functional - Cart - Verify asynchronous service calls and Futures resolution (#78)</t>
        </is>
      </c>
      <c r="E79" s="12" t="inlineStr">
        <is>
          <t>Ensure Cart module satisfies quality criteria for Functional category.</t>
        </is>
      </c>
      <c r="F79" s="12" t="inlineStr">
        <is>
          <t>Test environment active, NutriFit app launched on local test setup for Cart.</t>
        </is>
      </c>
      <c r="G79" s="12" t="inlineStr">
        <is>
          <t>1. Open NutriFit app on target setup.
2. Navigate to Cart screen.
3. Execute async service method, await Future completion, parse response model.
4. Validate assertions.</t>
        </is>
      </c>
      <c r="H79" s="12" t="inlineStr">
        <is>
          <t>Module: Cart, Setup: Local Host, Detail: Async payload: Variant #78 (Cart)</t>
        </is>
      </c>
      <c r="I79" s="12" t="inlineStr">
        <is>
          <t>Service parses JSON response cleanly into domain model instance. for module Cart.</t>
        </is>
      </c>
      <c r="J79" s="12" t="inlineStr">
        <is>
          <t>Pending Execution</t>
        </is>
      </c>
      <c r="K79" s="11" t="inlineStr">
        <is>
          <t>High</t>
        </is>
      </c>
      <c r="L79" s="11" t="inlineStr">
        <is>
          <t>Major</t>
        </is>
      </c>
      <c r="M79" s="13" t="inlineStr">
        <is>
          <t>Not Executed</t>
        </is>
      </c>
      <c r="N79" s="12" t="inlineStr">
        <is>
          <t>Generated baseline case for Functional</t>
        </is>
      </c>
    </row>
    <row r="80" ht="36" customHeight="1">
      <c r="A80" s="11" t="inlineStr">
        <is>
          <t>FUN-079</t>
        </is>
      </c>
      <c r="B80" s="12" t="inlineStr">
        <is>
          <t>Checkout</t>
        </is>
      </c>
      <c r="C80" s="12" t="inlineStr">
        <is>
          <t>Verify reactive state listener callbacks and UI rebuilds for Checkout</t>
        </is>
      </c>
      <c r="D80" s="12" t="inlineStr">
        <is>
          <t>Functional - Checkout - Verify reactive state listener callbacks and UI rebuilds (#79)</t>
        </is>
      </c>
      <c r="E80" s="12" t="inlineStr">
        <is>
          <t>Ensure Checkout module satisfies quality criteria for Functional category.</t>
        </is>
      </c>
      <c r="F80" s="12" t="inlineStr">
        <is>
          <t>Test environment active, NutriFit app launched on local test setup for Checkout.</t>
        </is>
      </c>
      <c r="G80" s="12" t="inlineStr">
        <is>
          <t>1. Open NutriFit app on target setup.
2. Navigate to Checkout screen.
3. Mutate state property in Provider model, count listener callbacks triggered.
4. Validate assertions.</t>
        </is>
      </c>
      <c r="H80" s="12" t="inlineStr">
        <is>
          <t>Module: Checkout, Setup: Local Host, Detail: Provider notify: Variant #79 (Checkout)</t>
        </is>
      </c>
      <c r="I80" s="12" t="inlineStr">
        <is>
          <t>Listeners receive notification and rebuild bound UI components once. for module Checkout.</t>
        </is>
      </c>
      <c r="J80" s="12" t="inlineStr">
        <is>
          <t>Pending Execution</t>
        </is>
      </c>
      <c r="K80" s="11" t="inlineStr">
        <is>
          <t>Medium</t>
        </is>
      </c>
      <c r="L80" s="11" t="inlineStr">
        <is>
          <t>Moderate</t>
        </is>
      </c>
      <c r="M80" s="13" t="inlineStr">
        <is>
          <t>Not Executed</t>
        </is>
      </c>
      <c r="N80" s="12" t="inlineStr">
        <is>
          <t>Generated baseline case for Functional</t>
        </is>
      </c>
    </row>
    <row r="81" ht="36" customHeight="1">
      <c r="A81" s="11" t="inlineStr">
        <is>
          <t>FUN-080</t>
        </is>
      </c>
      <c r="B81" s="12" t="inlineStr">
        <is>
          <t>Address</t>
        </is>
      </c>
      <c r="C81" s="12" t="inlineStr">
        <is>
          <t>Verify authorization guard rules and permission checks for Address</t>
        </is>
      </c>
      <c r="D81" s="12" t="inlineStr">
        <is>
          <t>Functional - Address - Verify authorization guard rules and permission checks (#80)</t>
        </is>
      </c>
      <c r="E81" s="12" t="inlineStr">
        <is>
          <t>Ensure Address module satisfies quality criteria for Functional category.</t>
        </is>
      </c>
      <c r="F81" s="12" t="inlineStr">
        <is>
          <t>Test environment active, NutriFit app launched on local test setup for Address.</t>
        </is>
      </c>
      <c r="G81" s="12" t="inlineStr">
        <is>
          <t>1. Open NutriFit app on target setup.
2. Navigate to Address screen.
3. Attempt feature access with restricted user permissions.
4. Validate assertions.</t>
        </is>
      </c>
      <c r="H81" s="12" t="inlineStr">
        <is>
          <t>Module: Address, Setup: Local Host, Detail: Auth role: Variant #80 (Address)</t>
        </is>
      </c>
      <c r="I81" s="12" t="inlineStr">
        <is>
          <t>Authorization guard blocks access and redirects to permission error screen. for module Address.</t>
        </is>
      </c>
      <c r="J81" s="12" t="inlineStr">
        <is>
          <t>Pending Execution</t>
        </is>
      </c>
      <c r="K81" s="11" t="inlineStr">
        <is>
          <t>Low</t>
        </is>
      </c>
      <c r="L81" s="11" t="inlineStr">
        <is>
          <t>Major</t>
        </is>
      </c>
      <c r="M81" s="13" t="inlineStr">
        <is>
          <t>Not Executed</t>
        </is>
      </c>
      <c r="N81" s="12" t="inlineStr">
        <is>
          <t>Generated baseline case for Functional</t>
        </is>
      </c>
    </row>
    <row r="82" ht="36" customHeight="1">
      <c r="A82" s="11" t="inlineStr">
        <is>
          <t>FUN-081</t>
        </is>
      </c>
      <c r="B82" s="12" t="inlineStr">
        <is>
          <t>Orders</t>
        </is>
      </c>
      <c r="C82" s="12" t="inlineStr">
        <is>
          <t>Verify component logic and state mutation functions for Orders</t>
        </is>
      </c>
      <c r="D82" s="12" t="inlineStr">
        <is>
          <t>Functional - Orders - Verify component logic and state mutation functions (#81)</t>
        </is>
      </c>
      <c r="E82" s="12" t="inlineStr">
        <is>
          <t>Ensure Orders module satisfies quality criteria for Functional category.</t>
        </is>
      </c>
      <c r="F82" s="12" t="inlineStr">
        <is>
          <t>Test environment active, NutriFit app launched on local test setup for Orders.</t>
        </is>
      </c>
      <c r="G82" s="12" t="inlineStr">
        <is>
          <t>1. Open NutriFit app on target setup.
2. Navigate to Orders screen.
3. Invoke component function with test parameters, observe return values and side effects.
4. Validate assertions.</t>
        </is>
      </c>
      <c r="H82" s="12" t="inlineStr">
        <is>
          <t>Module: Orders, Setup: Local Host, Detail: Function params: Variant #81 (Orders)</t>
        </is>
      </c>
      <c r="I82" s="12" t="inlineStr">
        <is>
          <t>Function executes logic accurately and updates internal state correctly. for module Orders.</t>
        </is>
      </c>
      <c r="J82" s="12" t="inlineStr">
        <is>
          <t>Pending Execution</t>
        </is>
      </c>
      <c r="K82" s="11" t="inlineStr">
        <is>
          <t>High</t>
        </is>
      </c>
      <c r="L82" s="11" t="inlineStr">
        <is>
          <t>Moderate</t>
        </is>
      </c>
      <c r="M82" s="13" t="inlineStr">
        <is>
          <t>Not Executed</t>
        </is>
      </c>
      <c r="N82" s="12" t="inlineStr">
        <is>
          <t>Generated baseline case for Functional</t>
        </is>
      </c>
    </row>
    <row r="83" ht="36" customHeight="1">
      <c r="A83" s="11" t="inlineStr">
        <is>
          <t>FUN-082</t>
        </is>
      </c>
      <c r="B83" s="12" t="inlineStr">
        <is>
          <t>Profile</t>
        </is>
      </c>
      <c r="C83" s="12" t="inlineStr">
        <is>
          <t>Verify validation constraints and edge-case handling for Profile</t>
        </is>
      </c>
      <c r="D83" s="12" t="inlineStr">
        <is>
          <t>Functional - Profile - Verify validation constraints and edge-case handling (#82)</t>
        </is>
      </c>
      <c r="E83" s="12" t="inlineStr">
        <is>
          <t>Ensure Profile module satisfies quality criteria for Functional category.</t>
        </is>
      </c>
      <c r="F83" s="12" t="inlineStr">
        <is>
          <t>Test environment active, NutriFit app launched on local test setup for Profile.</t>
        </is>
      </c>
      <c r="G83" s="12" t="inlineStr">
        <is>
          <t>1. Open NutriFit app on target setup.
2. Navigate to Profile screen.
3. Pass boundary, empty, and out-of-bounds inputs to validation handler.
4. Validate assertions.</t>
        </is>
      </c>
      <c r="H83" s="12" t="inlineStr">
        <is>
          <t>Module: Profile, Setup: Local Host, Detail: Edge case input: Variant #82 (Profile)</t>
        </is>
      </c>
      <c r="I83" s="12" t="inlineStr">
        <is>
          <t>Validation rules enforce constraints and return precise error strings. for module Profile.</t>
        </is>
      </c>
      <c r="J83" s="12" t="inlineStr">
        <is>
          <t>Pending Execution</t>
        </is>
      </c>
      <c r="K83" s="11" t="inlineStr">
        <is>
          <t>Medium</t>
        </is>
      </c>
      <c r="L83" s="11" t="inlineStr">
        <is>
          <t>Major</t>
        </is>
      </c>
      <c r="M83" s="13" t="inlineStr">
        <is>
          <t>Not Executed</t>
        </is>
      </c>
      <c r="N83" s="12" t="inlineStr">
        <is>
          <t>Generated baseline case for Functional</t>
        </is>
      </c>
    </row>
    <row r="84" ht="36" customHeight="1">
      <c r="A84" s="11" t="inlineStr">
        <is>
          <t>FUN-083</t>
        </is>
      </c>
      <c r="B84" s="12" t="inlineStr">
        <is>
          <t>Notifications</t>
        </is>
      </c>
      <c r="C84" s="12" t="inlineStr">
        <is>
          <t>Verify asynchronous service calls and Futures resolution for Notifications</t>
        </is>
      </c>
      <c r="D84" s="12" t="inlineStr">
        <is>
          <t>Functional - Notifications - Verify asynchronous service calls and Futures resolution (#83)</t>
        </is>
      </c>
      <c r="E84" s="12" t="inlineStr">
        <is>
          <t>Ensure Notifications module satisfies quality criteria for Functional category.</t>
        </is>
      </c>
      <c r="F84" s="12" t="inlineStr">
        <is>
          <t>Test environment active, NutriFit app launched on local test setup for Notifications.</t>
        </is>
      </c>
      <c r="G84" s="12" t="inlineStr">
        <is>
          <t>1. Open NutriFit app on target setup.
2. Navigate to Notifications screen.
3. Execute async service method, await Future completion, parse response model.
4. Validate assertions.</t>
        </is>
      </c>
      <c r="H84" s="12" t="inlineStr">
        <is>
          <t>Module: Notifications, Setup: Local Host, Detail: Async payload: Variant #83 (Notifications)</t>
        </is>
      </c>
      <c r="I84" s="12" t="inlineStr">
        <is>
          <t>Service parses JSON response cleanly into domain model instance. for module Notifications.</t>
        </is>
      </c>
      <c r="J84" s="12" t="inlineStr">
        <is>
          <t>Pending Execution</t>
        </is>
      </c>
      <c r="K84" s="11" t="inlineStr">
        <is>
          <t>Medium</t>
        </is>
      </c>
      <c r="L84" s="11" t="inlineStr">
        <is>
          <t>Moderate</t>
        </is>
      </c>
      <c r="M84" s="13" t="inlineStr">
        <is>
          <t>Not Executed</t>
        </is>
      </c>
      <c r="N84" s="12" t="inlineStr">
        <is>
          <t>Generated baseline case for Functional</t>
        </is>
      </c>
    </row>
    <row r="85" ht="36" customHeight="1">
      <c r="A85" s="11" t="inlineStr">
        <is>
          <t>FUN-084</t>
        </is>
      </c>
      <c r="B85" s="12" t="inlineStr">
        <is>
          <t>Settings</t>
        </is>
      </c>
      <c r="C85" s="12" t="inlineStr">
        <is>
          <t>Verify reactive state listener callbacks and UI rebuilds for Settings</t>
        </is>
      </c>
      <c r="D85" s="12" t="inlineStr">
        <is>
          <t>Functional - Settings - Verify reactive state listener callbacks and UI rebuilds (#84)</t>
        </is>
      </c>
      <c r="E85" s="12" t="inlineStr">
        <is>
          <t>Ensure Settings module satisfies quality criteria for Functional category.</t>
        </is>
      </c>
      <c r="F85" s="12" t="inlineStr">
        <is>
          <t>Test environment active, NutriFit app launched on local test setup for Settings.</t>
        </is>
      </c>
      <c r="G85" s="12" t="inlineStr">
        <is>
          <t>1. Open NutriFit app on target setup.
2. Navigate to Settings screen.
3. Mutate state property in Provider model, count listener callbacks triggered.
4. Validate assertions.</t>
        </is>
      </c>
      <c r="H85" s="12" t="inlineStr">
        <is>
          <t>Module: Settings, Setup: Local Host, Detail: Provider notify: Variant #84 (Settings)</t>
        </is>
      </c>
      <c r="I85" s="12" t="inlineStr">
        <is>
          <t>Listeners receive notification and rebuild bound UI components once. for module Settings.</t>
        </is>
      </c>
      <c r="J85" s="12" t="inlineStr">
        <is>
          <t>Pending Execution</t>
        </is>
      </c>
      <c r="K85" s="11" t="inlineStr">
        <is>
          <t>High</t>
        </is>
      </c>
      <c r="L85" s="11" t="inlineStr">
        <is>
          <t>Critical</t>
        </is>
      </c>
      <c r="M85" s="13" t="inlineStr">
        <is>
          <t>Not Executed</t>
        </is>
      </c>
      <c r="N85" s="12" t="inlineStr">
        <is>
          <t>Generated baseline case for Functional</t>
        </is>
      </c>
    </row>
    <row r="86" ht="36" customHeight="1">
      <c r="A86" s="11" t="inlineStr">
        <is>
          <t>FUN-085</t>
        </is>
      </c>
      <c r="B86" s="12" t="inlineStr">
        <is>
          <t>Localization</t>
        </is>
      </c>
      <c r="C86" s="12" t="inlineStr">
        <is>
          <t>Verify authorization guard rules and permission checks for Localization</t>
        </is>
      </c>
      <c r="D86" s="12" t="inlineStr">
        <is>
          <t>Functional - Localization - Verify authorization guard rules and permission checks (#85)</t>
        </is>
      </c>
      <c r="E86" s="12" t="inlineStr">
        <is>
          <t>Ensure Localization module satisfies quality criteria for Functional category.</t>
        </is>
      </c>
      <c r="F86" s="12" t="inlineStr">
        <is>
          <t>Test environment active, NutriFit app launched on local test setup for Localization.</t>
        </is>
      </c>
      <c r="G86" s="12" t="inlineStr">
        <is>
          <t>1. Open NutriFit app on target setup.
2. Navigate to Localization screen.
3. Attempt feature access with restricted user permissions.
4. Validate assertions.</t>
        </is>
      </c>
      <c r="H86" s="12" t="inlineStr">
        <is>
          <t>Module: Localization, Setup: Local Host, Detail: Auth role: Variant #85 (Localization)</t>
        </is>
      </c>
      <c r="I86" s="12" t="inlineStr">
        <is>
          <t>Authorization guard blocks access and redirects to permission error screen. for module Localization.</t>
        </is>
      </c>
      <c r="J86" s="12" t="inlineStr">
        <is>
          <t>Pending Execution</t>
        </is>
      </c>
      <c r="K86" s="11" t="inlineStr">
        <is>
          <t>Low</t>
        </is>
      </c>
      <c r="L86" s="11" t="inlineStr">
        <is>
          <t>Moderate</t>
        </is>
      </c>
      <c r="M86" s="13" t="inlineStr">
        <is>
          <t>Not Executed</t>
        </is>
      </c>
      <c r="N86" s="12" t="inlineStr">
        <is>
          <t>Generated baseline case for Functional</t>
        </is>
      </c>
    </row>
    <row r="87" ht="36" customHeight="1">
      <c r="A87" s="11" t="inlineStr">
        <is>
          <t>FUN-086</t>
        </is>
      </c>
      <c r="B87" s="12" t="inlineStr">
        <is>
          <t>Supabase Integration</t>
        </is>
      </c>
      <c r="C87" s="12" t="inlineStr">
        <is>
          <t>Verify component logic and state mutation functions for Supabase Integration</t>
        </is>
      </c>
      <c r="D87" s="12" t="inlineStr">
        <is>
          <t>Functional - Supabase Integration - Verify component logic and state mutation functions (#86)</t>
        </is>
      </c>
      <c r="E87" s="12" t="inlineStr">
        <is>
          <t>Ensure Supabase Integration module satisfies quality criteria for Functional category.</t>
        </is>
      </c>
      <c r="F87" s="12" t="inlineStr">
        <is>
          <t>Test environment active, NutriFit app launched on local test setup for Supabase Integration.</t>
        </is>
      </c>
      <c r="G87" s="12" t="inlineStr">
        <is>
          <t>1. Open NutriFit app on target setup.
2. Navigate to Supabase Integration screen.
3. Invoke component function with test parameters, observe return values and side effects.
4. Validate assertions.</t>
        </is>
      </c>
      <c r="H87" s="12" t="inlineStr">
        <is>
          <t>Module: Supabase Integration, Setup: Local Host, Detail: Function params: Variant #86 (Supabase Integration)</t>
        </is>
      </c>
      <c r="I87" s="12" t="inlineStr">
        <is>
          <t>Function executes logic accurately and updates internal state correctly. for module Supabase Integration.</t>
        </is>
      </c>
      <c r="J87" s="12" t="inlineStr">
        <is>
          <t>Pending Execution</t>
        </is>
      </c>
      <c r="K87" s="11" t="inlineStr">
        <is>
          <t>Medium</t>
        </is>
      </c>
      <c r="L87" s="11" t="inlineStr">
        <is>
          <t>Major</t>
        </is>
      </c>
      <c r="M87" s="13" t="inlineStr">
        <is>
          <t>Not Executed</t>
        </is>
      </c>
      <c r="N87" s="12" t="inlineStr">
        <is>
          <t>Generated baseline case for Functional</t>
        </is>
      </c>
    </row>
    <row r="88" ht="36" customHeight="1">
      <c r="A88" s="11" t="inlineStr">
        <is>
          <t>FUN-087</t>
        </is>
      </c>
      <c r="B88" s="12" t="inlineStr">
        <is>
          <t>Responsive Web</t>
        </is>
      </c>
      <c r="C88" s="12" t="inlineStr">
        <is>
          <t>Verify validation constraints and edge-case handling for Responsive Web</t>
        </is>
      </c>
      <c r="D88" s="12" t="inlineStr">
        <is>
          <t>Functional - Responsive Web - Verify validation constraints and edge-case handling (#87)</t>
        </is>
      </c>
      <c r="E88" s="12" t="inlineStr">
        <is>
          <t>Ensure Responsive Web module satisfies quality criteria for Functional category.</t>
        </is>
      </c>
      <c r="F88" s="12" t="inlineStr">
        <is>
          <t>Test environment active, NutriFit app launched on local test setup for Responsive Web.</t>
        </is>
      </c>
      <c r="G88" s="12" t="inlineStr">
        <is>
          <t>1. Open NutriFit app on target setup.
2. Navigate to Responsive Web screen.
3. Pass boundary, empty, and out-of-bounds inputs to validation handler.
4. Validate assertions.</t>
        </is>
      </c>
      <c r="H88" s="12" t="inlineStr">
        <is>
          <t>Module: Responsive Web, Setup: Local Host, Detail: Edge case input: Variant #87 (Responsive Web)</t>
        </is>
      </c>
      <c r="I88" s="12" t="inlineStr">
        <is>
          <t>Validation rules enforce constraints and return precise error strings. for module Responsive Web.</t>
        </is>
      </c>
      <c r="J88" s="12" t="inlineStr">
        <is>
          <t>Pending Execution</t>
        </is>
      </c>
      <c r="K88" s="11" t="inlineStr">
        <is>
          <t>High</t>
        </is>
      </c>
      <c r="L88" s="11" t="inlineStr">
        <is>
          <t>Moderate</t>
        </is>
      </c>
      <c r="M88" s="13" t="inlineStr">
        <is>
          <t>Not Executed</t>
        </is>
      </c>
      <c r="N88" s="12" t="inlineStr">
        <is>
          <t>Generated baseline case for Functional</t>
        </is>
      </c>
    </row>
    <row r="89" ht="36" customHeight="1">
      <c r="A89" s="11" t="inlineStr">
        <is>
          <t>FUN-088</t>
        </is>
      </c>
      <c r="B89" s="12" t="inlineStr">
        <is>
          <t>Android UI</t>
        </is>
      </c>
      <c r="C89" s="12" t="inlineStr">
        <is>
          <t>Verify asynchronous service calls and Futures resolution for Android UI</t>
        </is>
      </c>
      <c r="D89" s="12" t="inlineStr">
        <is>
          <t>Functional - Android UI - Verify asynchronous service calls and Futures resolution (#88)</t>
        </is>
      </c>
      <c r="E89" s="12" t="inlineStr">
        <is>
          <t>Ensure Android UI module satisfies quality criteria for Functional category.</t>
        </is>
      </c>
      <c r="F89" s="12" t="inlineStr">
        <is>
          <t>Test environment active, NutriFit app launched on local test setup for Android UI.</t>
        </is>
      </c>
      <c r="G89" s="12" t="inlineStr">
        <is>
          <t>1. Open NutriFit app on target setup.
2. Navigate to Android UI screen.
3. Execute async service method, await Future completion, parse response model.
4. Validate assertions.</t>
        </is>
      </c>
      <c r="H89" s="12" t="inlineStr">
        <is>
          <t>Module: Android UI, Setup: Local Host, Detail: Async payload: Variant #88 (Android UI)</t>
        </is>
      </c>
      <c r="I89" s="12" t="inlineStr">
        <is>
          <t>Service parses JSON response cleanly into domain model instance. for module Android UI.</t>
        </is>
      </c>
      <c r="J89" s="12" t="inlineStr">
        <is>
          <t>Pending Execution</t>
        </is>
      </c>
      <c r="K89" s="11" t="inlineStr">
        <is>
          <t>Medium</t>
        </is>
      </c>
      <c r="L89" s="11" t="inlineStr">
        <is>
          <t>Major</t>
        </is>
      </c>
      <c r="M89" s="13" t="inlineStr">
        <is>
          <t>Not Executed</t>
        </is>
      </c>
      <c r="N89" s="12" t="inlineStr">
        <is>
          <t>Generated baseline case for Functional</t>
        </is>
      </c>
    </row>
    <row r="90" ht="36" customHeight="1">
      <c r="A90" s="11" t="inlineStr">
        <is>
          <t>FUN-089</t>
        </is>
      </c>
      <c r="B90" s="12" t="inlineStr">
        <is>
          <t>Authentication</t>
        </is>
      </c>
      <c r="C90" s="12" t="inlineStr">
        <is>
          <t>Verify reactive state listener callbacks and UI rebuilds for Authentication</t>
        </is>
      </c>
      <c r="D90" s="12" t="inlineStr">
        <is>
          <t>Functional - Authentication - Verify reactive state listener callbacks and UI rebuilds (#89)</t>
        </is>
      </c>
      <c r="E90" s="12" t="inlineStr">
        <is>
          <t>Ensure Authentication module satisfies quality criteria for Functional category.</t>
        </is>
      </c>
      <c r="F90" s="12" t="inlineStr">
        <is>
          <t>Test environment active, NutriFit app launched on local test setup for Authentication.</t>
        </is>
      </c>
      <c r="G90" s="12" t="inlineStr">
        <is>
          <t>1. Open NutriFit app on target setup.
2. Navigate to Authentication screen.
3. Mutate state property in Provider model, count listener callbacks triggered.
4. Validate assertions.</t>
        </is>
      </c>
      <c r="H90" s="12" t="inlineStr">
        <is>
          <t>Module: Authentication, Setup: Local Host, Detail: Provider notify: Variant #89 (Authentication)</t>
        </is>
      </c>
      <c r="I90" s="12" t="inlineStr">
        <is>
          <t>Listeners receive notification and rebuild bound UI components once. for module Authentication.</t>
        </is>
      </c>
      <c r="J90" s="12" t="inlineStr">
        <is>
          <t>Pending Execution</t>
        </is>
      </c>
      <c r="K90" s="11" t="inlineStr">
        <is>
          <t>Medium</t>
        </is>
      </c>
      <c r="L90" s="11" t="inlineStr">
        <is>
          <t>Moderate</t>
        </is>
      </c>
      <c r="M90" s="13" t="inlineStr">
        <is>
          <t>Not Executed</t>
        </is>
      </c>
      <c r="N90" s="12" t="inlineStr">
        <is>
          <t>Generated baseline case for Functional</t>
        </is>
      </c>
    </row>
    <row r="91" ht="36" customHeight="1">
      <c r="A91" s="11" t="inlineStr">
        <is>
          <t>FUN-090</t>
        </is>
      </c>
      <c r="B91" s="12" t="inlineStr">
        <is>
          <t>Dashboard</t>
        </is>
      </c>
      <c r="C91" s="12" t="inlineStr">
        <is>
          <t>Verify authorization guard rules and permission checks for Dashboard</t>
        </is>
      </c>
      <c r="D91" s="12" t="inlineStr">
        <is>
          <t>Functional - Dashboard - Verify authorization guard rules and permission checks (#90)</t>
        </is>
      </c>
      <c r="E91" s="12" t="inlineStr">
        <is>
          <t>Ensure Dashboard module satisfies quality criteria for Functional category.</t>
        </is>
      </c>
      <c r="F91" s="12" t="inlineStr">
        <is>
          <t>Test environment active, NutriFit app launched on local test setup for Dashboard.</t>
        </is>
      </c>
      <c r="G91" s="12" t="inlineStr">
        <is>
          <t>1. Open NutriFit app on target setup.
2. Navigate to Dashboard screen.
3. Attempt feature access with restricted user permissions.
4. Validate assertions.</t>
        </is>
      </c>
      <c r="H91" s="12" t="inlineStr">
        <is>
          <t>Module: Dashboard, Setup: Local Host, Detail: Auth role: Variant #90 (Dashboard)</t>
        </is>
      </c>
      <c r="I91" s="12" t="inlineStr">
        <is>
          <t>Authorization guard blocks access and redirects to permission error screen. for module Dashboard.</t>
        </is>
      </c>
      <c r="J91" s="12" t="inlineStr">
        <is>
          <t>Pending Execution</t>
        </is>
      </c>
      <c r="K91" s="11" t="inlineStr">
        <is>
          <t>High</t>
        </is>
      </c>
      <c r="L91" s="11" t="inlineStr">
        <is>
          <t>Major</t>
        </is>
      </c>
      <c r="M91" s="13" t="inlineStr">
        <is>
          <t>Not Executed</t>
        </is>
      </c>
      <c r="N91" s="12" t="inlineStr">
        <is>
          <t>Generated baseline case for Functional</t>
        </is>
      </c>
    </row>
    <row r="92" ht="36" customHeight="1">
      <c r="A92" s="11" t="inlineStr">
        <is>
          <t>FUN-091</t>
        </is>
      </c>
      <c r="B92" s="12" t="inlineStr">
        <is>
          <t>Workout</t>
        </is>
      </c>
      <c r="C92" s="12" t="inlineStr">
        <is>
          <t>Verify component logic and state mutation functions for Workout</t>
        </is>
      </c>
      <c r="D92" s="12" t="inlineStr">
        <is>
          <t>Functional - Workout - Verify component logic and state mutation functions (#91)</t>
        </is>
      </c>
      <c r="E92" s="12" t="inlineStr">
        <is>
          <t>Ensure Workout module satisfies quality criteria for Functional category.</t>
        </is>
      </c>
      <c r="F92" s="12" t="inlineStr">
        <is>
          <t>Test environment active, NutriFit app launched on local test setup for Workout.</t>
        </is>
      </c>
      <c r="G92" s="12" t="inlineStr">
        <is>
          <t>1. Open NutriFit app on target setup.
2. Navigate to Workout screen.
3. Invoke component function with test parameters, observe return values and side effects.
4. Validate assertions.</t>
        </is>
      </c>
      <c r="H92" s="12" t="inlineStr">
        <is>
          <t>Module: Workout, Setup: Local Host, Detail: Function params: Variant #91 (Workout)</t>
        </is>
      </c>
      <c r="I92" s="12" t="inlineStr">
        <is>
          <t>Function executes logic accurately and updates internal state correctly. for module Workout.</t>
        </is>
      </c>
      <c r="J92" s="12" t="inlineStr">
        <is>
          <t>Pending Execution</t>
        </is>
      </c>
      <c r="K92" s="11" t="inlineStr">
        <is>
          <t>Medium</t>
        </is>
      </c>
      <c r="L92" s="11" t="inlineStr">
        <is>
          <t>Critical</t>
        </is>
      </c>
      <c r="M92" s="13" t="inlineStr">
        <is>
          <t>Not Executed</t>
        </is>
      </c>
      <c r="N92" s="12" t="inlineStr">
        <is>
          <t>Generated baseline case for Functional</t>
        </is>
      </c>
    </row>
    <row r="93" ht="36" customHeight="1">
      <c r="A93" s="11" t="inlineStr">
        <is>
          <t>FUN-092</t>
        </is>
      </c>
      <c r="B93" s="12" t="inlineStr">
        <is>
          <t>Diet</t>
        </is>
      </c>
      <c r="C93" s="12" t="inlineStr">
        <is>
          <t>Verify validation constraints and edge-case handling for Diet</t>
        </is>
      </c>
      <c r="D93" s="12" t="inlineStr">
        <is>
          <t>Functional - Diet - Verify validation constraints and edge-case handling (#92)</t>
        </is>
      </c>
      <c r="E93" s="12" t="inlineStr">
        <is>
          <t>Ensure Diet module satisfies quality criteria for Functional category.</t>
        </is>
      </c>
      <c r="F93" s="12" t="inlineStr">
        <is>
          <t>Test environment active, NutriFit app launched on local test setup for Diet.</t>
        </is>
      </c>
      <c r="G93" s="12" t="inlineStr">
        <is>
          <t>1. Open NutriFit app on target setup.
2. Navigate to Diet screen.
3. Pass boundary, empty, and out-of-bounds inputs to validation handler.
4. Validate assertions.</t>
        </is>
      </c>
      <c r="H93" s="12" t="inlineStr">
        <is>
          <t>Module: Diet, Setup: Local Host, Detail: Edge case input: Variant #92 (Diet)</t>
        </is>
      </c>
      <c r="I93" s="12" t="inlineStr">
        <is>
          <t>Validation rules enforce constraints and return precise error strings. for module Diet.</t>
        </is>
      </c>
      <c r="J93" s="12" t="inlineStr">
        <is>
          <t>Pending Execution</t>
        </is>
      </c>
      <c r="K93" s="11" t="inlineStr">
        <is>
          <t>Medium</t>
        </is>
      </c>
      <c r="L93" s="11" t="inlineStr">
        <is>
          <t>Major</t>
        </is>
      </c>
      <c r="M93" s="13" t="inlineStr">
        <is>
          <t>Not Executed</t>
        </is>
      </c>
      <c r="N93" s="12" t="inlineStr">
        <is>
          <t>Generated baseline case for Functional</t>
        </is>
      </c>
    </row>
    <row r="94" ht="36" customHeight="1">
      <c r="A94" s="11" t="inlineStr">
        <is>
          <t>FUN-093</t>
        </is>
      </c>
      <c r="B94" s="12" t="inlineStr">
        <is>
          <t>Budget Diet</t>
        </is>
      </c>
      <c r="C94" s="12" t="inlineStr">
        <is>
          <t>Verify asynchronous service calls and Futures resolution for Budget Diet</t>
        </is>
      </c>
      <c r="D94" s="12" t="inlineStr">
        <is>
          <t>Functional - Budget Diet - Verify asynchronous service calls and Futures resolution (#93)</t>
        </is>
      </c>
      <c r="E94" s="12" t="inlineStr">
        <is>
          <t>Ensure Budget Diet module satisfies quality criteria for Functional category.</t>
        </is>
      </c>
      <c r="F94" s="12" t="inlineStr">
        <is>
          <t>Test environment active, NutriFit app launched on local test setup for Budget Diet.</t>
        </is>
      </c>
      <c r="G94" s="12" t="inlineStr">
        <is>
          <t>1. Open NutriFit app on target setup.
2. Navigate to Budget Diet screen.
3. Execute async service method, await Future completion, parse response model.
4. Validate assertions.</t>
        </is>
      </c>
      <c r="H94" s="12" t="inlineStr">
        <is>
          <t>Module: Budget Diet, Setup: Local Host, Detail: Async payload: Variant #93 (Budget Diet)</t>
        </is>
      </c>
      <c r="I94" s="12" t="inlineStr">
        <is>
          <t>Service parses JSON response cleanly into domain model instance. for module Budget Diet.</t>
        </is>
      </c>
      <c r="J94" s="12" t="inlineStr">
        <is>
          <t>Pending Execution</t>
        </is>
      </c>
      <c r="K94" s="11" t="inlineStr">
        <is>
          <t>High</t>
        </is>
      </c>
      <c r="L94" s="11" t="inlineStr">
        <is>
          <t>Moderate</t>
        </is>
      </c>
      <c r="M94" s="13" t="inlineStr">
        <is>
          <t>Not Executed</t>
        </is>
      </c>
      <c r="N94" s="12" t="inlineStr">
        <is>
          <t>Generated baseline case for Functional</t>
        </is>
      </c>
    </row>
    <row r="95" ht="36" customHeight="1">
      <c r="A95" s="11" t="inlineStr">
        <is>
          <t>FUN-094</t>
        </is>
      </c>
      <c r="B95" s="12" t="inlineStr">
        <is>
          <t>Stretching</t>
        </is>
      </c>
      <c r="C95" s="12" t="inlineStr">
        <is>
          <t>Verify reactive state listener callbacks and UI rebuilds for Stretching</t>
        </is>
      </c>
      <c r="D95" s="12" t="inlineStr">
        <is>
          <t>Functional - Stretching - Verify reactive state listener callbacks and UI rebuilds (#94)</t>
        </is>
      </c>
      <c r="E95" s="12" t="inlineStr">
        <is>
          <t>Ensure Stretching module satisfies quality criteria for Functional category.</t>
        </is>
      </c>
      <c r="F95" s="12" t="inlineStr">
        <is>
          <t>Test environment active, NutriFit app launched on local test setup for Stretching.</t>
        </is>
      </c>
      <c r="G95" s="12" t="inlineStr">
        <is>
          <t>1. Open NutriFit app on target setup.
2. Navigate to Stretching screen.
3. Mutate state property in Provider model, count listener callbacks triggered.
4. Validate assertions.</t>
        </is>
      </c>
      <c r="H95" s="12" t="inlineStr">
        <is>
          <t>Module: Stretching, Setup: Local Host, Detail: Provider notify: Variant #94 (Stretching)</t>
        </is>
      </c>
      <c r="I95" s="12" t="inlineStr">
        <is>
          <t>Listeners receive notification and rebuild bound UI components once. for module Stretching.</t>
        </is>
      </c>
      <c r="J95" s="12" t="inlineStr">
        <is>
          <t>Pending Execution</t>
        </is>
      </c>
      <c r="K95" s="11" t="inlineStr">
        <is>
          <t>Medium</t>
        </is>
      </c>
      <c r="L95" s="11" t="inlineStr">
        <is>
          <t>Major</t>
        </is>
      </c>
      <c r="M95" s="13" t="inlineStr">
        <is>
          <t>Not Executed</t>
        </is>
      </c>
      <c r="N95" s="12" t="inlineStr">
        <is>
          <t>Generated baseline case for Functional</t>
        </is>
      </c>
    </row>
    <row r="96" ht="36" customHeight="1">
      <c r="A96" s="11" t="inlineStr">
        <is>
          <t>FUN-095</t>
        </is>
      </c>
      <c r="B96" s="12" t="inlineStr">
        <is>
          <t>Water Tracker</t>
        </is>
      </c>
      <c r="C96" s="12" t="inlineStr">
        <is>
          <t>Verify authorization guard rules and permission checks for Water Tracker</t>
        </is>
      </c>
      <c r="D96" s="12" t="inlineStr">
        <is>
          <t>Functional - Water Tracker - Verify authorization guard rules and permission checks (#95)</t>
        </is>
      </c>
      <c r="E96" s="12" t="inlineStr">
        <is>
          <t>Ensure Water Tracker module satisfies quality criteria for Functional category.</t>
        </is>
      </c>
      <c r="F96" s="12" t="inlineStr">
        <is>
          <t>Test environment active, NutriFit app launched on local test setup for Water Tracker.</t>
        </is>
      </c>
      <c r="G96" s="12" t="inlineStr">
        <is>
          <t>1. Open NutriFit app on target setup.
2. Navigate to Water Tracker screen.
3. Attempt feature access with restricted user permissions.
4. Validate assertions.</t>
        </is>
      </c>
      <c r="H96" s="12" t="inlineStr">
        <is>
          <t>Module: Water Tracker, Setup: Local Host, Detail: Auth role: Variant #95 (Water Tracker)</t>
        </is>
      </c>
      <c r="I96" s="12" t="inlineStr">
        <is>
          <t>Authorization guard blocks access and redirects to permission error screen. for module Water Tracker.</t>
        </is>
      </c>
      <c r="J96" s="12" t="inlineStr">
        <is>
          <t>Pending Execution</t>
        </is>
      </c>
      <c r="K96" s="11" t="inlineStr">
        <is>
          <t>Low</t>
        </is>
      </c>
      <c r="L96" s="11" t="inlineStr">
        <is>
          <t>Moderate</t>
        </is>
      </c>
      <c r="M96" s="13" t="inlineStr">
        <is>
          <t>Not Executed</t>
        </is>
      </c>
      <c r="N96" s="12" t="inlineStr">
        <is>
          <t>Generated baseline case for Functional</t>
        </is>
      </c>
    </row>
    <row r="97" ht="36" customHeight="1">
      <c r="A97" s="11" t="inlineStr">
        <is>
          <t>FUN-096</t>
        </is>
      </c>
      <c r="B97" s="12" t="inlineStr">
        <is>
          <t>Sleep Tracker</t>
        </is>
      </c>
      <c r="C97" s="12" t="inlineStr">
        <is>
          <t>Verify component logic and state mutation functions for Sleep Tracker</t>
        </is>
      </c>
      <c r="D97" s="12" t="inlineStr">
        <is>
          <t>Functional - Sleep Tracker - Verify component logic and state mutation functions (#96)</t>
        </is>
      </c>
      <c r="E97" s="12" t="inlineStr">
        <is>
          <t>Ensure Sleep Tracker module satisfies quality criteria for Functional category.</t>
        </is>
      </c>
      <c r="F97" s="12" t="inlineStr">
        <is>
          <t>Test environment active, NutriFit app launched on local test setup for Sleep Tracker.</t>
        </is>
      </c>
      <c r="G97" s="12" t="inlineStr">
        <is>
          <t>1. Open NutriFit app on target setup.
2. Navigate to Sleep Tracker screen.
3. Invoke component function with test parameters, observe return values and side effects.
4. Validate assertions.</t>
        </is>
      </c>
      <c r="H97" s="12" t="inlineStr">
        <is>
          <t>Module: Sleep Tracker, Setup: Local Host, Detail: Function params: Variant #96 (Sleep Tracker)</t>
        </is>
      </c>
      <c r="I97" s="12" t="inlineStr">
        <is>
          <t>Function executes logic accurately and updates internal state correctly. for module Sleep Tracker.</t>
        </is>
      </c>
      <c r="J97" s="12" t="inlineStr">
        <is>
          <t>Pending Execution</t>
        </is>
      </c>
      <c r="K97" s="11" t="inlineStr">
        <is>
          <t>High</t>
        </is>
      </c>
      <c r="L97" s="11" t="inlineStr">
        <is>
          <t>Major</t>
        </is>
      </c>
      <c r="M97" s="13" t="inlineStr">
        <is>
          <t>Not Executed</t>
        </is>
      </c>
      <c r="N97" s="12" t="inlineStr">
        <is>
          <t>Generated baseline case for Functional</t>
        </is>
      </c>
    </row>
    <row r="98" ht="36" customHeight="1">
      <c r="A98" s="11" t="inlineStr">
        <is>
          <t>FUN-097</t>
        </is>
      </c>
      <c r="B98" s="12" t="inlineStr">
        <is>
          <t>Step Tracker</t>
        </is>
      </c>
      <c r="C98" s="12" t="inlineStr">
        <is>
          <t>Verify validation constraints and edge-case handling for Step Tracker</t>
        </is>
      </c>
      <c r="D98" s="12" t="inlineStr">
        <is>
          <t>Functional - Step Tracker - Verify validation constraints and edge-case handling (#97)</t>
        </is>
      </c>
      <c r="E98" s="12" t="inlineStr">
        <is>
          <t>Ensure Step Tracker module satisfies quality criteria for Functional category.</t>
        </is>
      </c>
      <c r="F98" s="12" t="inlineStr">
        <is>
          <t>Test environment active, NutriFit app launched on local test setup for Step Tracker.</t>
        </is>
      </c>
      <c r="G98" s="12" t="inlineStr">
        <is>
          <t>1. Open NutriFit app on target setup.
2. Navigate to Step Tracker screen.
3. Pass boundary, empty, and out-of-bounds inputs to validation handler.
4. Validate assertions.</t>
        </is>
      </c>
      <c r="H98" s="12" t="inlineStr">
        <is>
          <t>Module: Step Tracker, Setup: Local Host, Detail: Edge case input: Variant #97 (Step Tracker)</t>
        </is>
      </c>
      <c r="I98" s="12" t="inlineStr">
        <is>
          <t>Validation rules enforce constraints and return precise error strings. for module Step Tracker.</t>
        </is>
      </c>
      <c r="J98" s="12" t="inlineStr">
        <is>
          <t>Pending Execution</t>
        </is>
      </c>
      <c r="K98" s="11" t="inlineStr">
        <is>
          <t>Medium</t>
        </is>
      </c>
      <c r="L98" s="11" t="inlineStr">
        <is>
          <t>Moderate</t>
        </is>
      </c>
      <c r="M98" s="13" t="inlineStr">
        <is>
          <t>Not Executed</t>
        </is>
      </c>
      <c r="N98" s="12" t="inlineStr">
        <is>
          <t>Generated baseline case for Functional</t>
        </is>
      </c>
    </row>
    <row r="99" ht="36" customHeight="1">
      <c r="A99" s="11" t="inlineStr">
        <is>
          <t>FUN-098</t>
        </is>
      </c>
      <c r="B99" s="12" t="inlineStr">
        <is>
          <t>AI Trainer</t>
        </is>
      </c>
      <c r="C99" s="12" t="inlineStr">
        <is>
          <t>Verify asynchronous service calls and Futures resolution for AI Trainer</t>
        </is>
      </c>
      <c r="D99" s="12" t="inlineStr">
        <is>
          <t>Functional - AI Trainer - Verify asynchronous service calls and Futures resolution (#98)</t>
        </is>
      </c>
      <c r="E99" s="12" t="inlineStr">
        <is>
          <t>Ensure AI Trainer module satisfies quality criteria for Functional category.</t>
        </is>
      </c>
      <c r="F99" s="12" t="inlineStr">
        <is>
          <t>Test environment active, NutriFit app launched on local test setup for AI Trainer.</t>
        </is>
      </c>
      <c r="G99" s="12" t="inlineStr">
        <is>
          <t>1. Open NutriFit app on target setup.
2. Navigate to AI Trainer screen.
3. Execute async service method, await Future completion, parse response model.
4. Validate assertions.</t>
        </is>
      </c>
      <c r="H99" s="12" t="inlineStr">
        <is>
          <t>Module: AI Trainer, Setup: Local Host, Detail: Async payload: Variant #98 (AI Trainer)</t>
        </is>
      </c>
      <c r="I99" s="12" t="inlineStr">
        <is>
          <t>Service parses JSON response cleanly into domain model instance. for module AI Trainer.</t>
        </is>
      </c>
      <c r="J99" s="12" t="inlineStr">
        <is>
          <t>Pending Execution</t>
        </is>
      </c>
      <c r="K99" s="11" t="inlineStr">
        <is>
          <t>Medium</t>
        </is>
      </c>
      <c r="L99" s="11" t="inlineStr">
        <is>
          <t>Critical</t>
        </is>
      </c>
      <c r="M99" s="13" t="inlineStr">
        <is>
          <t>Not Executed</t>
        </is>
      </c>
      <c r="N99" s="12" t="inlineStr">
        <is>
          <t>Generated baseline case for Functional</t>
        </is>
      </c>
    </row>
    <row r="100" ht="36" customHeight="1">
      <c r="A100" s="11" t="inlineStr">
        <is>
          <t>FUN-099</t>
        </is>
      </c>
      <c r="B100" s="12" t="inlineStr">
        <is>
          <t>Shop</t>
        </is>
      </c>
      <c r="C100" s="12" t="inlineStr">
        <is>
          <t>Verify reactive state listener callbacks and UI rebuilds for Shop</t>
        </is>
      </c>
      <c r="D100" s="12" t="inlineStr">
        <is>
          <t>Functional - Shop - Verify reactive state listener callbacks and UI rebuilds (#99)</t>
        </is>
      </c>
      <c r="E100" s="12" t="inlineStr">
        <is>
          <t>Ensure Shop module satisfies quality criteria for Functional category.</t>
        </is>
      </c>
      <c r="F100" s="12" t="inlineStr">
        <is>
          <t>Test environment active, NutriFit app launched on local test setup for Shop.</t>
        </is>
      </c>
      <c r="G100" s="12" t="inlineStr">
        <is>
          <t>1. Open NutriFit app on target setup.
2. Navigate to Shop screen.
3. Mutate state property in Provider model, count listener callbacks triggered.
4. Validate assertions.</t>
        </is>
      </c>
      <c r="H100" s="12" t="inlineStr">
        <is>
          <t>Module: Shop, Setup: Local Host, Detail: Provider notify: Variant #99 (Shop)</t>
        </is>
      </c>
      <c r="I100" s="12" t="inlineStr">
        <is>
          <t>Listeners receive notification and rebuild bound UI components once. for module Shop.</t>
        </is>
      </c>
      <c r="J100" s="12" t="inlineStr">
        <is>
          <t>Pending Execution</t>
        </is>
      </c>
      <c r="K100" s="11" t="inlineStr">
        <is>
          <t>High</t>
        </is>
      </c>
      <c r="L100" s="11" t="inlineStr">
        <is>
          <t>Moderate</t>
        </is>
      </c>
      <c r="M100" s="13" t="inlineStr">
        <is>
          <t>Not Executed</t>
        </is>
      </c>
      <c r="N100" s="12" t="inlineStr">
        <is>
          <t>Generated baseline case for Functional</t>
        </is>
      </c>
    </row>
    <row r="101" ht="36" customHeight="1">
      <c r="A101" s="11" t="inlineStr">
        <is>
          <t>FUN-100</t>
        </is>
      </c>
      <c r="B101" s="12" t="inlineStr">
        <is>
          <t>Cart</t>
        </is>
      </c>
      <c r="C101" s="12" t="inlineStr">
        <is>
          <t>Verify authorization guard rules and permission checks for Cart</t>
        </is>
      </c>
      <c r="D101" s="12" t="inlineStr">
        <is>
          <t>Functional - Cart - Verify authorization guard rules and permission checks (#100)</t>
        </is>
      </c>
      <c r="E101" s="12" t="inlineStr">
        <is>
          <t>Ensure Cart module satisfies quality criteria for Functional category.</t>
        </is>
      </c>
      <c r="F101" s="12" t="inlineStr">
        <is>
          <t>Test environment active, NutriFit app launched on local test setup for Cart.</t>
        </is>
      </c>
      <c r="G101" s="12" t="inlineStr">
        <is>
          <t>1. Open NutriFit app on target setup.
2. Navigate to Cart screen.
3. Attempt feature access with restricted user permissions.
4. Validate assertions.</t>
        </is>
      </c>
      <c r="H101" s="12" t="inlineStr">
        <is>
          <t>Module: Cart, Setup: Local Host, Detail: Auth role: Variant #100 (Cart)</t>
        </is>
      </c>
      <c r="I101" s="12" t="inlineStr">
        <is>
          <t>Authorization guard blocks access and redirects to permission error screen. for module Cart.</t>
        </is>
      </c>
      <c r="J101" s="12" t="inlineStr">
        <is>
          <t>Pending Execution</t>
        </is>
      </c>
      <c r="K101" s="11" t="inlineStr">
        <is>
          <t>Low</t>
        </is>
      </c>
      <c r="L101" s="11" t="inlineStr">
        <is>
          <t>Major</t>
        </is>
      </c>
      <c r="M101" s="13" t="inlineStr">
        <is>
          <t>Not Executed</t>
        </is>
      </c>
      <c r="N101" s="12" t="inlineStr">
        <is>
          <t>Generated baseline case for Functional</t>
        </is>
      </c>
    </row>
    <row r="102" ht="36" customHeight="1">
      <c r="A102" s="11" t="inlineStr">
        <is>
          <t>FUN-101</t>
        </is>
      </c>
      <c r="B102" s="12" t="inlineStr">
        <is>
          <t>Checkout</t>
        </is>
      </c>
      <c r="C102" s="12" t="inlineStr">
        <is>
          <t>Verify component logic and state mutation functions for Checkout</t>
        </is>
      </c>
      <c r="D102" s="12" t="inlineStr">
        <is>
          <t>Functional - Checkout - Verify component logic and state mutation functions (#101)</t>
        </is>
      </c>
      <c r="E102" s="12" t="inlineStr">
        <is>
          <t>Ensure Checkout module satisfies quality criteria for Functional category.</t>
        </is>
      </c>
      <c r="F102" s="12" t="inlineStr">
        <is>
          <t>Test environment active, NutriFit app launched on local test setup for Checkout.</t>
        </is>
      </c>
      <c r="G102" s="12" t="inlineStr">
        <is>
          <t>1. Open NutriFit app on target setup.
2. Navigate to Checkout screen.
3. Invoke component function with test parameters, observe return values and side effects.
4. Validate assertions.</t>
        </is>
      </c>
      <c r="H102" s="12" t="inlineStr">
        <is>
          <t>Module: Checkout, Setup: Local Host, Detail: Function params: Variant #101 (Checkout)</t>
        </is>
      </c>
      <c r="I102" s="12" t="inlineStr">
        <is>
          <t>Function executes logic accurately and updates internal state correctly. for module Checkout.</t>
        </is>
      </c>
      <c r="J102" s="12" t="inlineStr">
        <is>
          <t>Pending Execution</t>
        </is>
      </c>
      <c r="K102" s="11" t="inlineStr">
        <is>
          <t>Medium</t>
        </is>
      </c>
      <c r="L102" s="11" t="inlineStr">
        <is>
          <t>Moderate</t>
        </is>
      </c>
      <c r="M102" s="13" t="inlineStr">
        <is>
          <t>Not Executed</t>
        </is>
      </c>
      <c r="N102" s="12" t="inlineStr">
        <is>
          <t>Generated baseline case for Functional</t>
        </is>
      </c>
    </row>
    <row r="103" ht="36" customHeight="1">
      <c r="A103" s="11" t="inlineStr">
        <is>
          <t>FUN-102</t>
        </is>
      </c>
      <c r="B103" s="12" t="inlineStr">
        <is>
          <t>Address</t>
        </is>
      </c>
      <c r="C103" s="12" t="inlineStr">
        <is>
          <t>Verify validation constraints and edge-case handling for Address</t>
        </is>
      </c>
      <c r="D103" s="12" t="inlineStr">
        <is>
          <t>Functional - Address - Verify validation constraints and edge-case handling (#102)</t>
        </is>
      </c>
      <c r="E103" s="12" t="inlineStr">
        <is>
          <t>Ensure Address module satisfies quality criteria for Functional category.</t>
        </is>
      </c>
      <c r="F103" s="12" t="inlineStr">
        <is>
          <t>Test environment active, NutriFit app launched on local test setup for Address.</t>
        </is>
      </c>
      <c r="G103" s="12" t="inlineStr">
        <is>
          <t>1. Open NutriFit app on target setup.
2. Navigate to Address screen.
3. Pass boundary, empty, and out-of-bounds inputs to validation handler.
4. Validate assertions.</t>
        </is>
      </c>
      <c r="H103" s="12" t="inlineStr">
        <is>
          <t>Module: Address, Setup: Local Host, Detail: Edge case input: Variant #102 (Address)</t>
        </is>
      </c>
      <c r="I103" s="12" t="inlineStr">
        <is>
          <t>Validation rules enforce constraints and return precise error strings. for module Address.</t>
        </is>
      </c>
      <c r="J103" s="12" t="inlineStr">
        <is>
          <t>Pending Execution</t>
        </is>
      </c>
      <c r="K103" s="11" t="inlineStr">
        <is>
          <t>High</t>
        </is>
      </c>
      <c r="L103" s="11" t="inlineStr">
        <is>
          <t>Major</t>
        </is>
      </c>
      <c r="M103" s="13" t="inlineStr">
        <is>
          <t>Not Executed</t>
        </is>
      </c>
      <c r="N103" s="12" t="inlineStr">
        <is>
          <t>Generated baseline case for Functional</t>
        </is>
      </c>
    </row>
    <row r="104" ht="36" customHeight="1">
      <c r="A104" s="11" t="inlineStr">
        <is>
          <t>FUN-103</t>
        </is>
      </c>
      <c r="B104" s="12" t="inlineStr">
        <is>
          <t>Orders</t>
        </is>
      </c>
      <c r="C104" s="12" t="inlineStr">
        <is>
          <t>Verify asynchronous service calls and Futures resolution for Orders</t>
        </is>
      </c>
      <c r="D104" s="12" t="inlineStr">
        <is>
          <t>Functional - Orders - Verify asynchronous service calls and Futures resolution (#103)</t>
        </is>
      </c>
      <c r="E104" s="12" t="inlineStr">
        <is>
          <t>Ensure Orders module satisfies quality criteria for Functional category.</t>
        </is>
      </c>
      <c r="F104" s="12" t="inlineStr">
        <is>
          <t>Test environment active, NutriFit app launched on local test setup for Orders.</t>
        </is>
      </c>
      <c r="G104" s="12" t="inlineStr">
        <is>
          <t>1. Open NutriFit app on target setup.
2. Navigate to Orders screen.
3. Execute async service method, await Future completion, parse response model.
4. Validate assertions.</t>
        </is>
      </c>
      <c r="H104" s="12" t="inlineStr">
        <is>
          <t>Module: Orders, Setup: Local Host, Detail: Async payload: Variant #103 (Orders)</t>
        </is>
      </c>
      <c r="I104" s="12" t="inlineStr">
        <is>
          <t>Service parses JSON response cleanly into domain model instance. for module Orders.</t>
        </is>
      </c>
      <c r="J104" s="12" t="inlineStr">
        <is>
          <t>Pending Execution</t>
        </is>
      </c>
      <c r="K104" s="11" t="inlineStr">
        <is>
          <t>Medium</t>
        </is>
      </c>
      <c r="L104" s="11" t="inlineStr">
        <is>
          <t>Moderate</t>
        </is>
      </c>
      <c r="M104" s="13" t="inlineStr">
        <is>
          <t>Not Executed</t>
        </is>
      </c>
      <c r="N104" s="12" t="inlineStr">
        <is>
          <t>Generated baseline case for Functional</t>
        </is>
      </c>
    </row>
    <row r="105" ht="36" customHeight="1">
      <c r="A105" s="11" t="inlineStr">
        <is>
          <t>FUN-104</t>
        </is>
      </c>
      <c r="B105" s="12" t="inlineStr">
        <is>
          <t>Profile</t>
        </is>
      </c>
      <c r="C105" s="12" t="inlineStr">
        <is>
          <t>Verify reactive state listener callbacks and UI rebuilds for Profile</t>
        </is>
      </c>
      <c r="D105" s="12" t="inlineStr">
        <is>
          <t>Functional - Profile - Verify reactive state listener callbacks and UI rebuilds (#104)</t>
        </is>
      </c>
      <c r="E105" s="12" t="inlineStr">
        <is>
          <t>Ensure Profile module satisfies quality criteria for Functional category.</t>
        </is>
      </c>
      <c r="F105" s="12" t="inlineStr">
        <is>
          <t>Test environment active, NutriFit app launched on local test setup for Profile.</t>
        </is>
      </c>
      <c r="G105" s="12" t="inlineStr">
        <is>
          <t>1. Open NutriFit app on target setup.
2. Navigate to Profile screen.
3. Mutate state property in Provider model, count listener callbacks triggered.
4. Validate assertions.</t>
        </is>
      </c>
      <c r="H105" s="12" t="inlineStr">
        <is>
          <t>Module: Profile, Setup: Local Host, Detail: Provider notify: Variant #104 (Profile)</t>
        </is>
      </c>
      <c r="I105" s="12" t="inlineStr">
        <is>
          <t>Listeners receive notification and rebuild bound UI components once. for module Profile.</t>
        </is>
      </c>
      <c r="J105" s="12" t="inlineStr">
        <is>
          <t>Pending Execution</t>
        </is>
      </c>
      <c r="K105" s="11" t="inlineStr">
        <is>
          <t>Medium</t>
        </is>
      </c>
      <c r="L105" s="11" t="inlineStr">
        <is>
          <t>Major</t>
        </is>
      </c>
      <c r="M105" s="13" t="inlineStr">
        <is>
          <t>Not Executed</t>
        </is>
      </c>
      <c r="N105" s="12" t="inlineStr">
        <is>
          <t>Generated baseline case for Functional</t>
        </is>
      </c>
    </row>
    <row r="106" ht="36" customHeight="1">
      <c r="A106" s="11" t="inlineStr">
        <is>
          <t>FUN-105</t>
        </is>
      </c>
      <c r="B106" s="12" t="inlineStr">
        <is>
          <t>Notifications</t>
        </is>
      </c>
      <c r="C106" s="12" t="inlineStr">
        <is>
          <t>Verify authorization guard rules and permission checks for Notifications</t>
        </is>
      </c>
      <c r="D106" s="12" t="inlineStr">
        <is>
          <t>Functional - Notifications - Verify authorization guard rules and permission checks (#105)</t>
        </is>
      </c>
      <c r="E106" s="12" t="inlineStr">
        <is>
          <t>Ensure Notifications module satisfies quality criteria for Functional category.</t>
        </is>
      </c>
      <c r="F106" s="12" t="inlineStr">
        <is>
          <t>Test environment active, NutriFit app launched on local test setup for Notifications.</t>
        </is>
      </c>
      <c r="G106" s="12" t="inlineStr">
        <is>
          <t>1. Open NutriFit app on target setup.
2. Navigate to Notifications screen.
3. Attempt feature access with restricted user permissions.
4. Validate assertions.</t>
        </is>
      </c>
      <c r="H106" s="12" t="inlineStr">
        <is>
          <t>Module: Notifications, Setup: Local Host, Detail: Auth role: Variant #105 (Notifications)</t>
        </is>
      </c>
      <c r="I106" s="12" t="inlineStr">
        <is>
          <t>Authorization guard blocks access and redirects to permission error screen. for module Notifications.</t>
        </is>
      </c>
      <c r="J106" s="12" t="inlineStr">
        <is>
          <t>Pending Execution</t>
        </is>
      </c>
      <c r="K106" s="11" t="inlineStr">
        <is>
          <t>High</t>
        </is>
      </c>
      <c r="L106" s="11" t="inlineStr">
        <is>
          <t>Critical</t>
        </is>
      </c>
      <c r="M106" s="13" t="inlineStr">
        <is>
          <t>Not Executed</t>
        </is>
      </c>
      <c r="N106" s="12" t="inlineStr">
        <is>
          <t>Generated baseline case for Functional</t>
        </is>
      </c>
    </row>
    <row r="107" ht="36" customHeight="1">
      <c r="A107" s="11" t="inlineStr">
        <is>
          <t>FUN-106</t>
        </is>
      </c>
      <c r="B107" s="12" t="inlineStr">
        <is>
          <t>Settings</t>
        </is>
      </c>
      <c r="C107" s="12" t="inlineStr">
        <is>
          <t>Verify component logic and state mutation functions for Settings</t>
        </is>
      </c>
      <c r="D107" s="12" t="inlineStr">
        <is>
          <t>Functional - Settings - Verify component logic and state mutation functions (#106)</t>
        </is>
      </c>
      <c r="E107" s="12" t="inlineStr">
        <is>
          <t>Ensure Settings module satisfies quality criteria for Functional category.</t>
        </is>
      </c>
      <c r="F107" s="12" t="inlineStr">
        <is>
          <t>Test environment active, NutriFit app launched on local test setup for Settings.</t>
        </is>
      </c>
      <c r="G107" s="12" t="inlineStr">
        <is>
          <t>1. Open NutriFit app on target setup.
2. Navigate to Settings screen.
3. Invoke component function with test parameters, observe return values and side effects.
4. Validate assertions.</t>
        </is>
      </c>
      <c r="H107" s="12" t="inlineStr">
        <is>
          <t>Module: Settings, Setup: Local Host, Detail: Function params: Variant #106 (Settings)</t>
        </is>
      </c>
      <c r="I107" s="12" t="inlineStr">
        <is>
          <t>Function executes logic accurately and updates internal state correctly. for module Settings.</t>
        </is>
      </c>
      <c r="J107" s="12" t="inlineStr">
        <is>
          <t>Pending Execution</t>
        </is>
      </c>
      <c r="K107" s="11" t="inlineStr">
        <is>
          <t>Medium</t>
        </is>
      </c>
      <c r="L107" s="11" t="inlineStr">
        <is>
          <t>Major</t>
        </is>
      </c>
      <c r="M107" s="13" t="inlineStr">
        <is>
          <t>Not Executed</t>
        </is>
      </c>
      <c r="N107" s="12" t="inlineStr">
        <is>
          <t>Generated baseline case for Functional</t>
        </is>
      </c>
    </row>
    <row r="108" ht="36" customHeight="1">
      <c r="A108" s="11" t="inlineStr">
        <is>
          <t>FUN-107</t>
        </is>
      </c>
      <c r="B108" s="12" t="inlineStr">
        <is>
          <t>Localization</t>
        </is>
      </c>
      <c r="C108" s="12" t="inlineStr">
        <is>
          <t>Verify validation constraints and edge-case handling for Localization</t>
        </is>
      </c>
      <c r="D108" s="12" t="inlineStr">
        <is>
          <t>Functional - Localization - Verify validation constraints and edge-case handling (#107)</t>
        </is>
      </c>
      <c r="E108" s="12" t="inlineStr">
        <is>
          <t>Ensure Localization module satisfies quality criteria for Functional category.</t>
        </is>
      </c>
      <c r="F108" s="12" t="inlineStr">
        <is>
          <t>Test environment active, NutriFit app launched on local test setup for Localization.</t>
        </is>
      </c>
      <c r="G108" s="12" t="inlineStr">
        <is>
          <t>1. Open NutriFit app on target setup.
2. Navigate to Localization screen.
3. Pass boundary, empty, and out-of-bounds inputs to validation handler.
4. Validate assertions.</t>
        </is>
      </c>
      <c r="H108" s="12" t="inlineStr">
        <is>
          <t>Module: Localization, Setup: Local Host, Detail: Edge case input: Variant #107 (Localization)</t>
        </is>
      </c>
      <c r="I108" s="12" t="inlineStr">
        <is>
          <t>Validation rules enforce constraints and return precise error strings. for module Localization.</t>
        </is>
      </c>
      <c r="J108" s="12" t="inlineStr">
        <is>
          <t>Pending Execution</t>
        </is>
      </c>
      <c r="K108" s="11" t="inlineStr">
        <is>
          <t>Medium</t>
        </is>
      </c>
      <c r="L108" s="11" t="inlineStr">
        <is>
          <t>Moderate</t>
        </is>
      </c>
      <c r="M108" s="13" t="inlineStr">
        <is>
          <t>Not Executed</t>
        </is>
      </c>
      <c r="N108" s="12" t="inlineStr">
        <is>
          <t>Generated baseline case for Functional</t>
        </is>
      </c>
    </row>
    <row r="109" ht="36" customHeight="1">
      <c r="A109" s="11" t="inlineStr">
        <is>
          <t>FUN-108</t>
        </is>
      </c>
      <c r="B109" s="12" t="inlineStr">
        <is>
          <t>Supabase Integration</t>
        </is>
      </c>
      <c r="C109" s="12" t="inlineStr">
        <is>
          <t>Verify asynchronous service calls and Futures resolution for Supabase Integration</t>
        </is>
      </c>
      <c r="D109" s="12" t="inlineStr">
        <is>
          <t>Functional - Supabase Integration - Verify asynchronous service calls and Futures resolution (#108)</t>
        </is>
      </c>
      <c r="E109" s="12" t="inlineStr">
        <is>
          <t>Ensure Supabase Integration module satisfies quality criteria for Functional category.</t>
        </is>
      </c>
      <c r="F109" s="12" t="inlineStr">
        <is>
          <t>Test environment active, NutriFit app launched on local test setup for Supabase Integration.</t>
        </is>
      </c>
      <c r="G109" s="12" t="inlineStr">
        <is>
          <t>1. Open NutriFit app on target setup.
2. Navigate to Supabase Integration screen.
3. Execute async service method, await Future completion, parse response model.
4. Validate assertions.</t>
        </is>
      </c>
      <c r="H109" s="12" t="inlineStr">
        <is>
          <t>Module: Supabase Integration, Setup: Local Host, Detail: Async payload: Variant #108 (Supabase Integration)</t>
        </is>
      </c>
      <c r="I109" s="12" t="inlineStr">
        <is>
          <t>Service parses JSON response cleanly into domain model instance. for module Supabase Integration.</t>
        </is>
      </c>
      <c r="J109" s="12" t="inlineStr">
        <is>
          <t>Pending Execution</t>
        </is>
      </c>
      <c r="K109" s="11" t="inlineStr">
        <is>
          <t>High</t>
        </is>
      </c>
      <c r="L109" s="11" t="inlineStr">
        <is>
          <t>Major</t>
        </is>
      </c>
      <c r="M109" s="13" t="inlineStr">
        <is>
          <t>Not Executed</t>
        </is>
      </c>
      <c r="N109" s="12" t="inlineStr">
        <is>
          <t>Generated baseline case for Functional</t>
        </is>
      </c>
    </row>
    <row r="110" ht="36" customHeight="1">
      <c r="A110" s="11" t="inlineStr">
        <is>
          <t>FUN-109</t>
        </is>
      </c>
      <c r="B110" s="12" t="inlineStr">
        <is>
          <t>Responsive Web</t>
        </is>
      </c>
      <c r="C110" s="12" t="inlineStr">
        <is>
          <t>Verify reactive state listener callbacks and UI rebuilds for Responsive Web</t>
        </is>
      </c>
      <c r="D110" s="12" t="inlineStr">
        <is>
          <t>Functional - Responsive Web - Verify reactive state listener callbacks and UI rebuilds (#109)</t>
        </is>
      </c>
      <c r="E110" s="12" t="inlineStr">
        <is>
          <t>Ensure Responsive Web module satisfies quality criteria for Functional category.</t>
        </is>
      </c>
      <c r="F110" s="12" t="inlineStr">
        <is>
          <t>Test environment active, NutriFit app launched on local test setup for Responsive Web.</t>
        </is>
      </c>
      <c r="G110" s="12" t="inlineStr">
        <is>
          <t>1. Open NutriFit app on target setup.
2. Navigate to Responsive Web screen.
3. Mutate state property in Provider model, count listener callbacks triggered.
4. Validate assertions.</t>
        </is>
      </c>
      <c r="H110" s="12" t="inlineStr">
        <is>
          <t>Module: Responsive Web, Setup: Local Host, Detail: Provider notify: Variant #109 (Responsive Web)</t>
        </is>
      </c>
      <c r="I110" s="12" t="inlineStr">
        <is>
          <t>Listeners receive notification and rebuild bound UI components once. for module Responsive Web.</t>
        </is>
      </c>
      <c r="J110" s="12" t="inlineStr">
        <is>
          <t>Pending Execution</t>
        </is>
      </c>
      <c r="K110" s="11" t="inlineStr">
        <is>
          <t>Medium</t>
        </is>
      </c>
      <c r="L110" s="11" t="inlineStr">
        <is>
          <t>Moderate</t>
        </is>
      </c>
      <c r="M110" s="13" t="inlineStr">
        <is>
          <t>Not Executed</t>
        </is>
      </c>
      <c r="N110" s="12" t="inlineStr">
        <is>
          <t>Generated baseline case for Functional</t>
        </is>
      </c>
    </row>
    <row r="111" ht="36" customHeight="1">
      <c r="A111" s="11" t="inlineStr">
        <is>
          <t>FUN-110</t>
        </is>
      </c>
      <c r="B111" s="12" t="inlineStr">
        <is>
          <t>Android UI</t>
        </is>
      </c>
      <c r="C111" s="12" t="inlineStr">
        <is>
          <t>Verify authorization guard rules and permission checks for Android UI</t>
        </is>
      </c>
      <c r="D111" s="12" t="inlineStr">
        <is>
          <t>Functional - Android UI - Verify authorization guard rules and permission checks (#110)</t>
        </is>
      </c>
      <c r="E111" s="12" t="inlineStr">
        <is>
          <t>Ensure Android UI module satisfies quality criteria for Functional category.</t>
        </is>
      </c>
      <c r="F111" s="12" t="inlineStr">
        <is>
          <t>Test environment active, NutriFit app launched on local test setup for Android UI.</t>
        </is>
      </c>
      <c r="G111" s="12" t="inlineStr">
        <is>
          <t>1. Open NutriFit app on target setup.
2. Navigate to Android UI screen.
3. Attempt feature access with restricted user permissions.
4. Validate assertions.</t>
        </is>
      </c>
      <c r="H111" s="12" t="inlineStr">
        <is>
          <t>Module: Android UI, Setup: Local Host, Detail: Auth role: Variant #110 (Android UI)</t>
        </is>
      </c>
      <c r="I111" s="12" t="inlineStr">
        <is>
          <t>Authorization guard blocks access and redirects to permission error screen. for module Android UI.</t>
        </is>
      </c>
      <c r="J111" s="12" t="inlineStr">
        <is>
          <t>Pending Execution</t>
        </is>
      </c>
      <c r="K111" s="11" t="inlineStr">
        <is>
          <t>Low</t>
        </is>
      </c>
      <c r="L111" s="11" t="inlineStr">
        <is>
          <t>Major</t>
        </is>
      </c>
      <c r="M111" s="13" t="inlineStr">
        <is>
          <t>Not Executed</t>
        </is>
      </c>
      <c r="N111" s="12" t="inlineStr">
        <is>
          <t>Generated baseline case for Functional</t>
        </is>
      </c>
    </row>
    <row r="112" ht="36" customHeight="1">
      <c r="A112" s="11" t="inlineStr">
        <is>
          <t>FUN-111</t>
        </is>
      </c>
      <c r="B112" s="12" t="inlineStr">
        <is>
          <t>Authentication</t>
        </is>
      </c>
      <c r="C112" s="12" t="inlineStr">
        <is>
          <t>Verify component logic and state mutation functions for Authentication</t>
        </is>
      </c>
      <c r="D112" s="12" t="inlineStr">
        <is>
          <t>Functional - Authentication - Verify component logic and state mutation functions (#111)</t>
        </is>
      </c>
      <c r="E112" s="12" t="inlineStr">
        <is>
          <t>Ensure Authentication module satisfies quality criteria for Functional category.</t>
        </is>
      </c>
      <c r="F112" s="12" t="inlineStr">
        <is>
          <t>Test environment active, NutriFit app launched on local test setup for Authentication.</t>
        </is>
      </c>
      <c r="G112" s="12" t="inlineStr">
        <is>
          <t>1. Open NutriFit app on target setup.
2. Navigate to Authentication screen.
3. Invoke component function with test parameters, observe return values and side effects.
4. Validate assertions.</t>
        </is>
      </c>
      <c r="H112" s="12" t="inlineStr">
        <is>
          <t>Module: Authentication, Setup: Local Host, Detail: Function params: Variant #111 (Authentication)</t>
        </is>
      </c>
      <c r="I112" s="12" t="inlineStr">
        <is>
          <t>Function executes logic accurately and updates internal state correctly. for module Authentication.</t>
        </is>
      </c>
      <c r="J112" s="12" t="inlineStr">
        <is>
          <t>Pending Execution</t>
        </is>
      </c>
      <c r="K112" s="11" t="inlineStr">
        <is>
          <t>High</t>
        </is>
      </c>
      <c r="L112" s="11" t="inlineStr">
        <is>
          <t>Moderate</t>
        </is>
      </c>
      <c r="M112" s="13" t="inlineStr">
        <is>
          <t>Not Executed</t>
        </is>
      </c>
      <c r="N112" s="12" t="inlineStr">
        <is>
          <t>Generated baseline case for Functional</t>
        </is>
      </c>
    </row>
    <row r="113" ht="36" customHeight="1">
      <c r="A113" s="11" t="inlineStr">
        <is>
          <t>FUN-112</t>
        </is>
      </c>
      <c r="B113" s="12" t="inlineStr">
        <is>
          <t>Dashboard</t>
        </is>
      </c>
      <c r="C113" s="12" t="inlineStr">
        <is>
          <t>Verify validation constraints and edge-case handling for Dashboard</t>
        </is>
      </c>
      <c r="D113" s="12" t="inlineStr">
        <is>
          <t>Functional - Dashboard - Verify validation constraints and edge-case handling (#112)</t>
        </is>
      </c>
      <c r="E113" s="12" t="inlineStr">
        <is>
          <t>Ensure Dashboard module satisfies quality criteria for Functional category.</t>
        </is>
      </c>
      <c r="F113" s="12" t="inlineStr">
        <is>
          <t>Test environment active, NutriFit app launched on local test setup for Dashboard.</t>
        </is>
      </c>
      <c r="G113" s="12" t="inlineStr">
        <is>
          <t>1. Open NutriFit app on target setup.
2. Navigate to Dashboard screen.
3. Pass boundary, empty, and out-of-bounds inputs to validation handler.
4. Validate assertions.</t>
        </is>
      </c>
      <c r="H113" s="12" t="inlineStr">
        <is>
          <t>Module: Dashboard, Setup: Local Host, Detail: Edge case input: Variant #112 (Dashboard)</t>
        </is>
      </c>
      <c r="I113" s="12" t="inlineStr">
        <is>
          <t>Validation rules enforce constraints and return precise error strings. for module Dashboard.</t>
        </is>
      </c>
      <c r="J113" s="12" t="inlineStr">
        <is>
          <t>Pending Execution</t>
        </is>
      </c>
      <c r="K113" s="11" t="inlineStr">
        <is>
          <t>Medium</t>
        </is>
      </c>
      <c r="L113" s="11" t="inlineStr">
        <is>
          <t>Critical</t>
        </is>
      </c>
      <c r="M113" s="13" t="inlineStr">
        <is>
          <t>Not Executed</t>
        </is>
      </c>
      <c r="N113" s="12" t="inlineStr">
        <is>
          <t>Generated baseline case for Functional</t>
        </is>
      </c>
    </row>
    <row r="114" ht="36" customHeight="1">
      <c r="A114" s="11" t="inlineStr">
        <is>
          <t>FUN-113</t>
        </is>
      </c>
      <c r="B114" s="12" t="inlineStr">
        <is>
          <t>Workout</t>
        </is>
      </c>
      <c r="C114" s="12" t="inlineStr">
        <is>
          <t>Verify asynchronous service calls and Futures resolution for Workout</t>
        </is>
      </c>
      <c r="D114" s="12" t="inlineStr">
        <is>
          <t>Functional - Workout - Verify asynchronous service calls and Futures resolution (#113)</t>
        </is>
      </c>
      <c r="E114" s="12" t="inlineStr">
        <is>
          <t>Ensure Workout module satisfies quality criteria for Functional category.</t>
        </is>
      </c>
      <c r="F114" s="12" t="inlineStr">
        <is>
          <t>Test environment active, NutriFit app launched on local test setup for Workout.</t>
        </is>
      </c>
      <c r="G114" s="12" t="inlineStr">
        <is>
          <t>1. Open NutriFit app on target setup.
2. Navigate to Workout screen.
3. Execute async service method, await Future completion, parse response model.
4. Validate assertions.</t>
        </is>
      </c>
      <c r="H114" s="12" t="inlineStr">
        <is>
          <t>Module: Workout, Setup: Local Host, Detail: Async payload: Variant #113 (Workout)</t>
        </is>
      </c>
      <c r="I114" s="12" t="inlineStr">
        <is>
          <t>Service parses JSON response cleanly into domain model instance. for module Workout.</t>
        </is>
      </c>
      <c r="J114" s="12" t="inlineStr">
        <is>
          <t>Pending Execution</t>
        </is>
      </c>
      <c r="K114" s="11" t="inlineStr">
        <is>
          <t>Medium</t>
        </is>
      </c>
      <c r="L114" s="11" t="inlineStr">
        <is>
          <t>Moderate</t>
        </is>
      </c>
      <c r="M114" s="13" t="inlineStr">
        <is>
          <t>Not Executed</t>
        </is>
      </c>
      <c r="N114" s="12" t="inlineStr">
        <is>
          <t>Generated baseline case for Functional</t>
        </is>
      </c>
    </row>
    <row r="115" ht="36" customHeight="1">
      <c r="A115" s="11" t="inlineStr">
        <is>
          <t>FUN-114</t>
        </is>
      </c>
      <c r="B115" s="12" t="inlineStr">
        <is>
          <t>Diet</t>
        </is>
      </c>
      <c r="C115" s="12" t="inlineStr">
        <is>
          <t>Verify reactive state listener callbacks and UI rebuilds for Diet</t>
        </is>
      </c>
      <c r="D115" s="12" t="inlineStr">
        <is>
          <t>Functional - Diet - Verify reactive state listener callbacks and UI rebuilds (#114)</t>
        </is>
      </c>
      <c r="E115" s="12" t="inlineStr">
        <is>
          <t>Ensure Diet module satisfies quality criteria for Functional category.</t>
        </is>
      </c>
      <c r="F115" s="12" t="inlineStr">
        <is>
          <t>Test environment active, NutriFit app launched on local test setup for Diet.</t>
        </is>
      </c>
      <c r="G115" s="12" t="inlineStr">
        <is>
          <t>1. Open NutriFit app on target setup.
2. Navigate to Diet screen.
3. Mutate state property in Provider model, count listener callbacks triggered.
4. Validate assertions.</t>
        </is>
      </c>
      <c r="H115" s="12" t="inlineStr">
        <is>
          <t>Module: Diet, Setup: Local Host, Detail: Provider notify: Variant #114 (Diet)</t>
        </is>
      </c>
      <c r="I115" s="12" t="inlineStr">
        <is>
          <t>Listeners receive notification and rebuild bound UI components once. for module Diet.</t>
        </is>
      </c>
      <c r="J115" s="12" t="inlineStr">
        <is>
          <t>Pending Execution</t>
        </is>
      </c>
      <c r="K115" s="11" t="inlineStr">
        <is>
          <t>High</t>
        </is>
      </c>
      <c r="L115" s="11" t="inlineStr">
        <is>
          <t>Major</t>
        </is>
      </c>
      <c r="M115" s="13" t="inlineStr">
        <is>
          <t>Not Executed</t>
        </is>
      </c>
      <c r="N115" s="12" t="inlineStr">
        <is>
          <t>Generated baseline case for Functional</t>
        </is>
      </c>
    </row>
    <row r="116" ht="36" customHeight="1">
      <c r="A116" s="11" t="inlineStr">
        <is>
          <t>FUN-115</t>
        </is>
      </c>
      <c r="B116" s="12" t="inlineStr">
        <is>
          <t>Budget Diet</t>
        </is>
      </c>
      <c r="C116" s="12" t="inlineStr">
        <is>
          <t>Verify authorization guard rules and permission checks for Budget Diet</t>
        </is>
      </c>
      <c r="D116" s="12" t="inlineStr">
        <is>
          <t>Functional - Budget Diet - Verify authorization guard rules and permission checks (#115)</t>
        </is>
      </c>
      <c r="E116" s="12" t="inlineStr">
        <is>
          <t>Ensure Budget Diet module satisfies quality criteria for Functional category.</t>
        </is>
      </c>
      <c r="F116" s="12" t="inlineStr">
        <is>
          <t>Test environment active, NutriFit app launched on local test setup for Budget Diet.</t>
        </is>
      </c>
      <c r="G116" s="12" t="inlineStr">
        <is>
          <t>1. Open NutriFit app on target setup.
2. Navigate to Budget Diet screen.
3. Attempt feature access with restricted user permissions.
4. Validate assertions.</t>
        </is>
      </c>
      <c r="H116" s="12" t="inlineStr">
        <is>
          <t>Module: Budget Diet, Setup: Local Host, Detail: Auth role: Variant #115 (Budget Diet)</t>
        </is>
      </c>
      <c r="I116" s="12" t="inlineStr">
        <is>
          <t>Authorization guard blocks access and redirects to permission error screen. for module Budget Diet.</t>
        </is>
      </c>
      <c r="J116" s="12" t="inlineStr">
        <is>
          <t>Pending Execution</t>
        </is>
      </c>
      <c r="K116" s="11" t="inlineStr">
        <is>
          <t>Low</t>
        </is>
      </c>
      <c r="L116" s="11" t="inlineStr">
        <is>
          <t>Moderate</t>
        </is>
      </c>
      <c r="M116" s="13" t="inlineStr">
        <is>
          <t>Not Executed</t>
        </is>
      </c>
      <c r="N116" s="12" t="inlineStr">
        <is>
          <t>Generated baseline case for Functional</t>
        </is>
      </c>
    </row>
    <row r="117" ht="36" customHeight="1">
      <c r="A117" s="11" t="inlineStr">
        <is>
          <t>FUN-116</t>
        </is>
      </c>
      <c r="B117" s="12" t="inlineStr">
        <is>
          <t>Stretching</t>
        </is>
      </c>
      <c r="C117" s="12" t="inlineStr">
        <is>
          <t>Verify component logic and state mutation functions for Stretching</t>
        </is>
      </c>
      <c r="D117" s="12" t="inlineStr">
        <is>
          <t>Functional - Stretching - Verify component logic and state mutation functions (#116)</t>
        </is>
      </c>
      <c r="E117" s="12" t="inlineStr">
        <is>
          <t>Ensure Stretching module satisfies quality criteria for Functional category.</t>
        </is>
      </c>
      <c r="F117" s="12" t="inlineStr">
        <is>
          <t>Test environment active, NutriFit app launched on local test setup for Stretching.</t>
        </is>
      </c>
      <c r="G117" s="12" t="inlineStr">
        <is>
          <t>1. Open NutriFit app on target setup.
2. Navigate to Stretching screen.
3. Invoke component function with test parameters, observe return values and side effects.
4. Validate assertions.</t>
        </is>
      </c>
      <c r="H117" s="12" t="inlineStr">
        <is>
          <t>Module: Stretching, Setup: Local Host, Detail: Function params: Variant #116 (Stretching)</t>
        </is>
      </c>
      <c r="I117" s="12" t="inlineStr">
        <is>
          <t>Function executes logic accurately and updates internal state correctly. for module Stretching.</t>
        </is>
      </c>
      <c r="J117" s="12" t="inlineStr">
        <is>
          <t>Pending Execution</t>
        </is>
      </c>
      <c r="K117" s="11" t="inlineStr">
        <is>
          <t>Medium</t>
        </is>
      </c>
      <c r="L117" s="11" t="inlineStr">
        <is>
          <t>Major</t>
        </is>
      </c>
      <c r="M117" s="13" t="inlineStr">
        <is>
          <t>Not Executed</t>
        </is>
      </c>
      <c r="N117" s="12" t="inlineStr">
        <is>
          <t>Generated baseline case for Functional</t>
        </is>
      </c>
    </row>
    <row r="118" ht="36" customHeight="1">
      <c r="A118" s="11" t="inlineStr">
        <is>
          <t>FUN-117</t>
        </is>
      </c>
      <c r="B118" s="12" t="inlineStr">
        <is>
          <t>Water Tracker</t>
        </is>
      </c>
      <c r="C118" s="12" t="inlineStr">
        <is>
          <t>Verify validation constraints and edge-case handling for Water Tracker</t>
        </is>
      </c>
      <c r="D118" s="12" t="inlineStr">
        <is>
          <t>Functional - Water Tracker - Verify validation constraints and edge-case handling (#117)</t>
        </is>
      </c>
      <c r="E118" s="12" t="inlineStr">
        <is>
          <t>Ensure Water Tracker module satisfies quality criteria for Functional category.</t>
        </is>
      </c>
      <c r="F118" s="12" t="inlineStr">
        <is>
          <t>Test environment active, NutriFit app launched on local test setup for Water Tracker.</t>
        </is>
      </c>
      <c r="G118" s="12" t="inlineStr">
        <is>
          <t>1. Open NutriFit app on target setup.
2. Navigate to Water Tracker screen.
3. Pass boundary, empty, and out-of-bounds inputs to validation handler.
4. Validate assertions.</t>
        </is>
      </c>
      <c r="H118" s="12" t="inlineStr">
        <is>
          <t>Module: Water Tracker, Setup: Local Host, Detail: Edge case input: Variant #117 (Water Tracker)</t>
        </is>
      </c>
      <c r="I118" s="12" t="inlineStr">
        <is>
          <t>Validation rules enforce constraints and return precise error strings. for module Water Tracker.</t>
        </is>
      </c>
      <c r="J118" s="12" t="inlineStr">
        <is>
          <t>Pending Execution</t>
        </is>
      </c>
      <c r="K118" s="11" t="inlineStr">
        <is>
          <t>High</t>
        </is>
      </c>
      <c r="L118" s="11" t="inlineStr">
        <is>
          <t>Moderate</t>
        </is>
      </c>
      <c r="M118" s="13" t="inlineStr">
        <is>
          <t>Not Executed</t>
        </is>
      </c>
      <c r="N118" s="12" t="inlineStr">
        <is>
          <t>Generated baseline case for Functional</t>
        </is>
      </c>
    </row>
    <row r="119" ht="36" customHeight="1">
      <c r="A119" s="11" t="inlineStr">
        <is>
          <t>FUN-118</t>
        </is>
      </c>
      <c r="B119" s="12" t="inlineStr">
        <is>
          <t>Sleep Tracker</t>
        </is>
      </c>
      <c r="C119" s="12" t="inlineStr">
        <is>
          <t>Verify asynchronous service calls and Futures resolution for Sleep Tracker</t>
        </is>
      </c>
      <c r="D119" s="12" t="inlineStr">
        <is>
          <t>Functional - Sleep Tracker - Verify asynchronous service calls and Futures resolution (#118)</t>
        </is>
      </c>
      <c r="E119" s="12" t="inlineStr">
        <is>
          <t>Ensure Sleep Tracker module satisfies quality criteria for Functional category.</t>
        </is>
      </c>
      <c r="F119" s="12" t="inlineStr">
        <is>
          <t>Test environment active, NutriFit app launched on local test setup for Sleep Tracker.</t>
        </is>
      </c>
      <c r="G119" s="12" t="inlineStr">
        <is>
          <t>1. Open NutriFit app on target setup.
2. Navigate to Sleep Tracker screen.
3. Execute async service method, await Future completion, parse response model.
4. Validate assertions.</t>
        </is>
      </c>
      <c r="H119" s="12" t="inlineStr">
        <is>
          <t>Module: Sleep Tracker, Setup: Local Host, Detail: Async payload: Variant #118 (Sleep Tracker)</t>
        </is>
      </c>
      <c r="I119" s="12" t="inlineStr">
        <is>
          <t>Service parses JSON response cleanly into domain model instance. for module Sleep Tracker.</t>
        </is>
      </c>
      <c r="J119" s="12" t="inlineStr">
        <is>
          <t>Pending Execution</t>
        </is>
      </c>
      <c r="K119" s="11" t="inlineStr">
        <is>
          <t>Medium</t>
        </is>
      </c>
      <c r="L119" s="11" t="inlineStr">
        <is>
          <t>Major</t>
        </is>
      </c>
      <c r="M119" s="13" t="inlineStr">
        <is>
          <t>Not Executed</t>
        </is>
      </c>
      <c r="N119" s="12" t="inlineStr">
        <is>
          <t>Generated baseline case for Functional</t>
        </is>
      </c>
    </row>
    <row r="120" ht="36" customHeight="1">
      <c r="A120" s="11" t="inlineStr">
        <is>
          <t>FUN-119</t>
        </is>
      </c>
      <c r="B120" s="12" t="inlineStr">
        <is>
          <t>Step Tracker</t>
        </is>
      </c>
      <c r="C120" s="12" t="inlineStr">
        <is>
          <t>Verify reactive state listener callbacks and UI rebuilds for Step Tracker</t>
        </is>
      </c>
      <c r="D120" s="12" t="inlineStr">
        <is>
          <t>Functional - Step Tracker - Verify reactive state listener callbacks and UI rebuilds (#119)</t>
        </is>
      </c>
      <c r="E120" s="12" t="inlineStr">
        <is>
          <t>Ensure Step Tracker module satisfies quality criteria for Functional category.</t>
        </is>
      </c>
      <c r="F120" s="12" t="inlineStr">
        <is>
          <t>Test environment active, NutriFit app launched on local test setup for Step Tracker.</t>
        </is>
      </c>
      <c r="G120" s="12" t="inlineStr">
        <is>
          <t>1. Open NutriFit app on target setup.
2. Navigate to Step Tracker screen.
3. Mutate state property in Provider model, count listener callbacks triggered.
4. Validate assertions.</t>
        </is>
      </c>
      <c r="H120" s="12" t="inlineStr">
        <is>
          <t>Module: Step Tracker, Setup: Local Host, Detail: Provider notify: Variant #119 (Step Tracker)</t>
        </is>
      </c>
      <c r="I120" s="12" t="inlineStr">
        <is>
          <t>Listeners receive notification and rebuild bound UI components once. for module Step Tracker.</t>
        </is>
      </c>
      <c r="J120" s="12" t="inlineStr">
        <is>
          <t>Pending Execution</t>
        </is>
      </c>
      <c r="K120" s="11" t="inlineStr">
        <is>
          <t>Medium</t>
        </is>
      </c>
      <c r="L120" s="11" t="inlineStr">
        <is>
          <t>Critical</t>
        </is>
      </c>
      <c r="M120" s="13" t="inlineStr">
        <is>
          <t>Not Executed</t>
        </is>
      </c>
      <c r="N120" s="12" t="inlineStr">
        <is>
          <t>Generated baseline case for Functional</t>
        </is>
      </c>
    </row>
    <row r="121" ht="36" customHeight="1">
      <c r="A121" s="11" t="inlineStr">
        <is>
          <t>FUN-120</t>
        </is>
      </c>
      <c r="B121" s="12" t="inlineStr">
        <is>
          <t>AI Trainer</t>
        </is>
      </c>
      <c r="C121" s="12" t="inlineStr">
        <is>
          <t>Verify authorization guard rules and permission checks for AI Trainer</t>
        </is>
      </c>
      <c r="D121" s="12" t="inlineStr">
        <is>
          <t>Functional - AI Trainer - Verify authorization guard rules and permission checks (#120)</t>
        </is>
      </c>
      <c r="E121" s="12" t="inlineStr">
        <is>
          <t>Ensure AI Trainer module satisfies quality criteria for Functional category.</t>
        </is>
      </c>
      <c r="F121" s="12" t="inlineStr">
        <is>
          <t>Test environment active, NutriFit app launched on local test setup for AI Trainer.</t>
        </is>
      </c>
      <c r="G121" s="12" t="inlineStr">
        <is>
          <t>1. Open NutriFit app on target setup.
2. Navigate to AI Trainer screen.
3. Attempt feature access with restricted user permissions.
4. Validate assertions.</t>
        </is>
      </c>
      <c r="H121" s="12" t="inlineStr">
        <is>
          <t>Module: AI Trainer, Setup: Local Host, Detail: Auth role: Variant #120 (AI Trainer)</t>
        </is>
      </c>
      <c r="I121" s="12" t="inlineStr">
        <is>
          <t>Authorization guard blocks access and redirects to permission error screen. for module AI Trainer.</t>
        </is>
      </c>
      <c r="J121" s="12" t="inlineStr">
        <is>
          <t>Pending Execution</t>
        </is>
      </c>
      <c r="K121" s="11" t="inlineStr">
        <is>
          <t>High</t>
        </is>
      </c>
      <c r="L121" s="11" t="inlineStr">
        <is>
          <t>Major</t>
        </is>
      </c>
      <c r="M121" s="13" t="inlineStr">
        <is>
          <t>Not Executed</t>
        </is>
      </c>
      <c r="N121" s="12" t="inlineStr">
        <is>
          <t>Generated baseline case for Functional</t>
        </is>
      </c>
    </row>
    <row r="122" ht="36" customHeight="1">
      <c r="A122" s="11" t="inlineStr">
        <is>
          <t>FUN-121</t>
        </is>
      </c>
      <c r="B122" s="12" t="inlineStr">
        <is>
          <t>Shop</t>
        </is>
      </c>
      <c r="C122" s="12" t="inlineStr">
        <is>
          <t>Verify component logic and state mutation functions for Shop</t>
        </is>
      </c>
      <c r="D122" s="12" t="inlineStr">
        <is>
          <t>Functional - Shop - Verify component logic and state mutation functions (#121)</t>
        </is>
      </c>
      <c r="E122" s="12" t="inlineStr">
        <is>
          <t>Ensure Shop module satisfies quality criteria for Functional category.</t>
        </is>
      </c>
      <c r="F122" s="12" t="inlineStr">
        <is>
          <t>Test environment active, NutriFit app launched on local test setup for Shop.</t>
        </is>
      </c>
      <c r="G122" s="12" t="inlineStr">
        <is>
          <t>1. Open NutriFit app on target setup.
2. Navigate to Shop screen.
3. Invoke component function with test parameters, observe return values and side effects.
4. Validate assertions.</t>
        </is>
      </c>
      <c r="H122" s="12" t="inlineStr">
        <is>
          <t>Module: Shop, Setup: Local Host, Detail: Function params: Variant #121 (Shop)</t>
        </is>
      </c>
      <c r="I122" s="12" t="inlineStr">
        <is>
          <t>Function executes logic accurately and updates internal state correctly. for module Shop.</t>
        </is>
      </c>
      <c r="J122" s="12" t="inlineStr">
        <is>
          <t>Pending Execution</t>
        </is>
      </c>
      <c r="K122" s="11" t="inlineStr">
        <is>
          <t>Medium</t>
        </is>
      </c>
      <c r="L122" s="11" t="inlineStr">
        <is>
          <t>Moderate</t>
        </is>
      </c>
      <c r="M122" s="13" t="inlineStr">
        <is>
          <t>Not Executed</t>
        </is>
      </c>
      <c r="N122" s="12" t="inlineStr">
        <is>
          <t>Generated baseline case for Functional</t>
        </is>
      </c>
    </row>
    <row r="123" ht="36" customHeight="1">
      <c r="A123" s="11" t="inlineStr">
        <is>
          <t>FUN-122</t>
        </is>
      </c>
      <c r="B123" s="12" t="inlineStr">
        <is>
          <t>Cart</t>
        </is>
      </c>
      <c r="C123" s="12" t="inlineStr">
        <is>
          <t>Verify validation constraints and edge-case handling for Cart</t>
        </is>
      </c>
      <c r="D123" s="12" t="inlineStr">
        <is>
          <t>Functional - Cart - Verify validation constraints and edge-case handling (#122)</t>
        </is>
      </c>
      <c r="E123" s="12" t="inlineStr">
        <is>
          <t>Ensure Cart module satisfies quality criteria for Functional category.</t>
        </is>
      </c>
      <c r="F123" s="12" t="inlineStr">
        <is>
          <t>Test environment active, NutriFit app launched on local test setup for Cart.</t>
        </is>
      </c>
      <c r="G123" s="12" t="inlineStr">
        <is>
          <t>1. Open NutriFit app on target setup.
2. Navigate to Cart screen.
3. Pass boundary, empty, and out-of-bounds inputs to validation handler.
4. Validate assertions.</t>
        </is>
      </c>
      <c r="H123" s="12" t="inlineStr">
        <is>
          <t>Module: Cart, Setup: Local Host, Detail: Edge case input: Variant #122 (Cart)</t>
        </is>
      </c>
      <c r="I123" s="12" t="inlineStr">
        <is>
          <t>Validation rules enforce constraints and return precise error strings. for module Cart.</t>
        </is>
      </c>
      <c r="J123" s="12" t="inlineStr">
        <is>
          <t>Pending Execution</t>
        </is>
      </c>
      <c r="K123" s="11" t="inlineStr">
        <is>
          <t>Medium</t>
        </is>
      </c>
      <c r="L123" s="11" t="inlineStr">
        <is>
          <t>Major</t>
        </is>
      </c>
      <c r="M123" s="13" t="inlineStr">
        <is>
          <t>Not Executed</t>
        </is>
      </c>
      <c r="N123" s="12" t="inlineStr">
        <is>
          <t>Generated baseline case for Functional</t>
        </is>
      </c>
    </row>
    <row r="124" ht="36" customHeight="1">
      <c r="A124" s="11" t="inlineStr">
        <is>
          <t>FUN-123</t>
        </is>
      </c>
      <c r="B124" s="12" t="inlineStr">
        <is>
          <t>Checkout</t>
        </is>
      </c>
      <c r="C124" s="12" t="inlineStr">
        <is>
          <t>Verify asynchronous service calls and Futures resolution for Checkout</t>
        </is>
      </c>
      <c r="D124" s="12" t="inlineStr">
        <is>
          <t>Functional - Checkout - Verify asynchronous service calls and Futures resolution (#123)</t>
        </is>
      </c>
      <c r="E124" s="12" t="inlineStr">
        <is>
          <t>Ensure Checkout module satisfies quality criteria for Functional category.</t>
        </is>
      </c>
      <c r="F124" s="12" t="inlineStr">
        <is>
          <t>Test environment active, NutriFit app launched on local test setup for Checkout.</t>
        </is>
      </c>
      <c r="G124" s="12" t="inlineStr">
        <is>
          <t>1. Open NutriFit app on target setup.
2. Navigate to Checkout screen.
3. Execute async service method, await Future completion, parse response model.
4. Validate assertions.</t>
        </is>
      </c>
      <c r="H124" s="12" t="inlineStr">
        <is>
          <t>Module: Checkout, Setup: Local Host, Detail: Async payload: Variant #123 (Checkout)</t>
        </is>
      </c>
      <c r="I124" s="12" t="inlineStr">
        <is>
          <t>Service parses JSON response cleanly into domain model instance. for module Checkout.</t>
        </is>
      </c>
      <c r="J124" s="12" t="inlineStr">
        <is>
          <t>Pending Execution</t>
        </is>
      </c>
      <c r="K124" s="11" t="inlineStr">
        <is>
          <t>High</t>
        </is>
      </c>
      <c r="L124" s="11" t="inlineStr">
        <is>
          <t>Moderate</t>
        </is>
      </c>
      <c r="M124" s="13" t="inlineStr">
        <is>
          <t>Not Executed</t>
        </is>
      </c>
      <c r="N124" s="12" t="inlineStr">
        <is>
          <t>Generated baseline case for Functional</t>
        </is>
      </c>
    </row>
    <row r="125" ht="36" customHeight="1">
      <c r="A125" s="11" t="inlineStr">
        <is>
          <t>FUN-124</t>
        </is>
      </c>
      <c r="B125" s="12" t="inlineStr">
        <is>
          <t>Address</t>
        </is>
      </c>
      <c r="C125" s="12" t="inlineStr">
        <is>
          <t>Verify reactive state listener callbacks and UI rebuilds for Address</t>
        </is>
      </c>
      <c r="D125" s="12" t="inlineStr">
        <is>
          <t>Functional - Address - Verify reactive state listener callbacks and UI rebuilds (#124)</t>
        </is>
      </c>
      <c r="E125" s="12" t="inlineStr">
        <is>
          <t>Ensure Address module satisfies quality criteria for Functional category.</t>
        </is>
      </c>
      <c r="F125" s="12" t="inlineStr">
        <is>
          <t>Test environment active, NutriFit app launched on local test setup for Address.</t>
        </is>
      </c>
      <c r="G125" s="12" t="inlineStr">
        <is>
          <t>1. Open NutriFit app on target setup.
2. Navigate to Address screen.
3. Mutate state property in Provider model, count listener callbacks triggered.
4. Validate assertions.</t>
        </is>
      </c>
      <c r="H125" s="12" t="inlineStr">
        <is>
          <t>Module: Address, Setup: Local Host, Detail: Provider notify: Variant #124 (Address)</t>
        </is>
      </c>
      <c r="I125" s="12" t="inlineStr">
        <is>
          <t>Listeners receive notification and rebuild bound UI components once. for module Address.</t>
        </is>
      </c>
      <c r="J125" s="12" t="inlineStr">
        <is>
          <t>Pending Execution</t>
        </is>
      </c>
      <c r="K125" s="11" t="inlineStr">
        <is>
          <t>Medium</t>
        </is>
      </c>
      <c r="L125" s="11" t="inlineStr">
        <is>
          <t>Major</t>
        </is>
      </c>
      <c r="M125" s="13" t="inlineStr">
        <is>
          <t>Not Executed</t>
        </is>
      </c>
      <c r="N125" s="12" t="inlineStr">
        <is>
          <t>Generated baseline case for Functional</t>
        </is>
      </c>
    </row>
    <row r="126" ht="36" customHeight="1">
      <c r="A126" s="11" t="inlineStr">
        <is>
          <t>FUN-125</t>
        </is>
      </c>
      <c r="B126" s="12" t="inlineStr">
        <is>
          <t>Orders</t>
        </is>
      </c>
      <c r="C126" s="12" t="inlineStr">
        <is>
          <t>Verify authorization guard rules and permission checks for Orders</t>
        </is>
      </c>
      <c r="D126" s="12" t="inlineStr">
        <is>
          <t>Functional - Orders - Verify authorization guard rules and permission checks (#125)</t>
        </is>
      </c>
      <c r="E126" s="12" t="inlineStr">
        <is>
          <t>Ensure Orders module satisfies quality criteria for Functional category.</t>
        </is>
      </c>
      <c r="F126" s="12" t="inlineStr">
        <is>
          <t>Test environment active, NutriFit app launched on local test setup for Orders.</t>
        </is>
      </c>
      <c r="G126" s="12" t="inlineStr">
        <is>
          <t>1. Open NutriFit app on target setup.
2. Navigate to Orders screen.
3. Attempt feature access with restricted user permissions.
4. Validate assertions.</t>
        </is>
      </c>
      <c r="H126" s="12" t="inlineStr">
        <is>
          <t>Module: Orders, Setup: Local Host, Detail: Auth role: Variant #125 (Orders)</t>
        </is>
      </c>
      <c r="I126" s="12" t="inlineStr">
        <is>
          <t>Authorization guard blocks access and redirects to permission error screen. for module Orders.</t>
        </is>
      </c>
      <c r="J126" s="12" t="inlineStr">
        <is>
          <t>Pending Execution</t>
        </is>
      </c>
      <c r="K126" s="11" t="inlineStr">
        <is>
          <t>Low</t>
        </is>
      </c>
      <c r="L126" s="11" t="inlineStr">
        <is>
          <t>Moderate</t>
        </is>
      </c>
      <c r="M126" s="13" t="inlineStr">
        <is>
          <t>Not Executed</t>
        </is>
      </c>
      <c r="N126" s="12" t="inlineStr">
        <is>
          <t>Generated baseline case for Functional</t>
        </is>
      </c>
    </row>
    <row r="127" ht="36" customHeight="1">
      <c r="A127" s="11" t="inlineStr">
        <is>
          <t>FUN-126</t>
        </is>
      </c>
      <c r="B127" s="12" t="inlineStr">
        <is>
          <t>Profile</t>
        </is>
      </c>
      <c r="C127" s="12" t="inlineStr">
        <is>
          <t>Verify component logic and state mutation functions for Profile</t>
        </is>
      </c>
      <c r="D127" s="12" t="inlineStr">
        <is>
          <t>Functional - Profile - Verify component logic and state mutation functions (#126)</t>
        </is>
      </c>
      <c r="E127" s="12" t="inlineStr">
        <is>
          <t>Ensure Profile module satisfies quality criteria for Functional category.</t>
        </is>
      </c>
      <c r="F127" s="12" t="inlineStr">
        <is>
          <t>Test environment active, NutriFit app launched on local test setup for Profile.</t>
        </is>
      </c>
      <c r="G127" s="12" t="inlineStr">
        <is>
          <t>1. Open NutriFit app on target setup.
2. Navigate to Profile screen.
3. Invoke component function with test parameters, observe return values and side effects.
4. Validate assertions.</t>
        </is>
      </c>
      <c r="H127" s="12" t="inlineStr">
        <is>
          <t>Module: Profile, Setup: Local Host, Detail: Function params: Variant #126 (Profile)</t>
        </is>
      </c>
      <c r="I127" s="12" t="inlineStr">
        <is>
          <t>Function executes logic accurately and updates internal state correctly. for module Profile.</t>
        </is>
      </c>
      <c r="J127" s="12" t="inlineStr">
        <is>
          <t>Pending Execution</t>
        </is>
      </c>
      <c r="K127" s="11" t="inlineStr">
        <is>
          <t>High</t>
        </is>
      </c>
      <c r="L127" s="11" t="inlineStr">
        <is>
          <t>Critical</t>
        </is>
      </c>
      <c r="M127" s="13" t="inlineStr">
        <is>
          <t>Not Executed</t>
        </is>
      </c>
      <c r="N127" s="12" t="inlineStr">
        <is>
          <t>Generated baseline case for Functional</t>
        </is>
      </c>
    </row>
    <row r="128" ht="36" customHeight="1">
      <c r="A128" s="11" t="inlineStr">
        <is>
          <t>FUN-127</t>
        </is>
      </c>
      <c r="B128" s="12" t="inlineStr">
        <is>
          <t>Notifications</t>
        </is>
      </c>
      <c r="C128" s="12" t="inlineStr">
        <is>
          <t>Verify validation constraints and edge-case handling for Notifications</t>
        </is>
      </c>
      <c r="D128" s="12" t="inlineStr">
        <is>
          <t>Functional - Notifications - Verify validation constraints and edge-case handling (#127)</t>
        </is>
      </c>
      <c r="E128" s="12" t="inlineStr">
        <is>
          <t>Ensure Notifications module satisfies quality criteria for Functional category.</t>
        </is>
      </c>
      <c r="F128" s="12" t="inlineStr">
        <is>
          <t>Test environment active, NutriFit app launched on local test setup for Notifications.</t>
        </is>
      </c>
      <c r="G128" s="12" t="inlineStr">
        <is>
          <t>1. Open NutriFit app on target setup.
2. Navigate to Notifications screen.
3. Pass boundary, empty, and out-of-bounds inputs to validation handler.
4. Validate assertions.</t>
        </is>
      </c>
      <c r="H128" s="12" t="inlineStr">
        <is>
          <t>Module: Notifications, Setup: Local Host, Detail: Edge case input: Variant #127 (Notifications)</t>
        </is>
      </c>
      <c r="I128" s="12" t="inlineStr">
        <is>
          <t>Validation rules enforce constraints and return precise error strings. for module Notifications.</t>
        </is>
      </c>
      <c r="J128" s="12" t="inlineStr">
        <is>
          <t>Pending Execution</t>
        </is>
      </c>
      <c r="K128" s="11" t="inlineStr">
        <is>
          <t>Medium</t>
        </is>
      </c>
      <c r="L128" s="11" t="inlineStr">
        <is>
          <t>Moderate</t>
        </is>
      </c>
      <c r="M128" s="13" t="inlineStr">
        <is>
          <t>Not Executed</t>
        </is>
      </c>
      <c r="N128" s="12" t="inlineStr">
        <is>
          <t>Generated baseline case for Functional</t>
        </is>
      </c>
    </row>
    <row r="129" ht="36" customHeight="1">
      <c r="A129" s="11" t="inlineStr">
        <is>
          <t>FUN-128</t>
        </is>
      </c>
      <c r="B129" s="12" t="inlineStr">
        <is>
          <t>Settings</t>
        </is>
      </c>
      <c r="C129" s="12" t="inlineStr">
        <is>
          <t>Verify asynchronous service calls and Futures resolution for Settings</t>
        </is>
      </c>
      <c r="D129" s="12" t="inlineStr">
        <is>
          <t>Functional - Settings - Verify asynchronous service calls and Futures resolution (#128)</t>
        </is>
      </c>
      <c r="E129" s="12" t="inlineStr">
        <is>
          <t>Ensure Settings module satisfies quality criteria for Functional category.</t>
        </is>
      </c>
      <c r="F129" s="12" t="inlineStr">
        <is>
          <t>Test environment active, NutriFit app launched on local test setup for Settings.</t>
        </is>
      </c>
      <c r="G129" s="12" t="inlineStr">
        <is>
          <t>1. Open NutriFit app on target setup.
2. Navigate to Settings screen.
3. Execute async service method, await Future completion, parse response model.
4. Validate assertions.</t>
        </is>
      </c>
      <c r="H129" s="12" t="inlineStr">
        <is>
          <t>Module: Settings, Setup: Local Host, Detail: Async payload: Variant #128 (Settings)</t>
        </is>
      </c>
      <c r="I129" s="12" t="inlineStr">
        <is>
          <t>Service parses JSON response cleanly into domain model instance. for module Settings.</t>
        </is>
      </c>
      <c r="J129" s="12" t="inlineStr">
        <is>
          <t>Pending Execution</t>
        </is>
      </c>
      <c r="K129" s="11" t="inlineStr">
        <is>
          <t>Medium</t>
        </is>
      </c>
      <c r="L129" s="11" t="inlineStr">
        <is>
          <t>Major</t>
        </is>
      </c>
      <c r="M129" s="13" t="inlineStr">
        <is>
          <t>Not Executed</t>
        </is>
      </c>
      <c r="N129" s="12" t="inlineStr">
        <is>
          <t>Generated baseline case for Functional</t>
        </is>
      </c>
    </row>
    <row r="130" ht="36" customHeight="1">
      <c r="A130" s="11" t="inlineStr">
        <is>
          <t>FUN-129</t>
        </is>
      </c>
      <c r="B130" s="12" t="inlineStr">
        <is>
          <t>Localization</t>
        </is>
      </c>
      <c r="C130" s="12" t="inlineStr">
        <is>
          <t>Verify reactive state listener callbacks and UI rebuilds for Localization</t>
        </is>
      </c>
      <c r="D130" s="12" t="inlineStr">
        <is>
          <t>Functional - Localization - Verify reactive state listener callbacks and UI rebuilds (#129)</t>
        </is>
      </c>
      <c r="E130" s="12" t="inlineStr">
        <is>
          <t>Ensure Localization module satisfies quality criteria for Functional category.</t>
        </is>
      </c>
      <c r="F130" s="12" t="inlineStr">
        <is>
          <t>Test environment active, NutriFit app launched on local test setup for Localization.</t>
        </is>
      </c>
      <c r="G130" s="12" t="inlineStr">
        <is>
          <t>1. Open NutriFit app on target setup.
2. Navigate to Localization screen.
3. Mutate state property in Provider model, count listener callbacks triggered.
4. Validate assertions.</t>
        </is>
      </c>
      <c r="H130" s="12" t="inlineStr">
        <is>
          <t>Module: Localization, Setup: Local Host, Detail: Provider notify: Variant #129 (Localization)</t>
        </is>
      </c>
      <c r="I130" s="12" t="inlineStr">
        <is>
          <t>Listeners receive notification and rebuild bound UI components once. for module Localization.</t>
        </is>
      </c>
      <c r="J130" s="12" t="inlineStr">
        <is>
          <t>Pending Execution</t>
        </is>
      </c>
      <c r="K130" s="11" t="inlineStr">
        <is>
          <t>High</t>
        </is>
      </c>
      <c r="L130" s="11" t="inlineStr">
        <is>
          <t>Moderate</t>
        </is>
      </c>
      <c r="M130" s="13" t="inlineStr">
        <is>
          <t>Not Executed</t>
        </is>
      </c>
      <c r="N130" s="12" t="inlineStr">
        <is>
          <t>Generated baseline case for Functional</t>
        </is>
      </c>
    </row>
    <row r="131" ht="36" customHeight="1">
      <c r="A131" s="11" t="inlineStr">
        <is>
          <t>FUN-130</t>
        </is>
      </c>
      <c r="B131" s="12" t="inlineStr">
        <is>
          <t>Supabase Integration</t>
        </is>
      </c>
      <c r="C131" s="12" t="inlineStr">
        <is>
          <t>Verify authorization guard rules and permission checks for Supabase Integration</t>
        </is>
      </c>
      <c r="D131" s="12" t="inlineStr">
        <is>
          <t>Functional - Supabase Integration - Verify authorization guard rules and permission checks (#130)</t>
        </is>
      </c>
      <c r="E131" s="12" t="inlineStr">
        <is>
          <t>Ensure Supabase Integration module satisfies quality criteria for Functional category.</t>
        </is>
      </c>
      <c r="F131" s="12" t="inlineStr">
        <is>
          <t>Test environment active, NutriFit app launched on local test setup for Supabase Integration.</t>
        </is>
      </c>
      <c r="G131" s="12" t="inlineStr">
        <is>
          <t>1. Open NutriFit app on target setup.
2. Navigate to Supabase Integration screen.
3. Attempt feature access with restricted user permissions.
4. Validate assertions.</t>
        </is>
      </c>
      <c r="H131" s="12" t="inlineStr">
        <is>
          <t>Module: Supabase Integration, Setup: Local Host, Detail: Auth role: Variant #130 (Supabase Integration)</t>
        </is>
      </c>
      <c r="I131" s="12" t="inlineStr">
        <is>
          <t>Authorization guard blocks access and redirects to permission error screen. for module Supabase Integration.</t>
        </is>
      </c>
      <c r="J131" s="12" t="inlineStr">
        <is>
          <t>Pending Execution</t>
        </is>
      </c>
      <c r="K131" s="11" t="inlineStr">
        <is>
          <t>Low</t>
        </is>
      </c>
      <c r="L131" s="11" t="inlineStr">
        <is>
          <t>Major</t>
        </is>
      </c>
      <c r="M131" s="13" t="inlineStr">
        <is>
          <t>Not Executed</t>
        </is>
      </c>
      <c r="N131" s="12" t="inlineStr">
        <is>
          <t>Generated baseline case for Functional</t>
        </is>
      </c>
    </row>
    <row r="132" ht="36" customHeight="1">
      <c r="A132" s="11" t="inlineStr">
        <is>
          <t>FUN-131</t>
        </is>
      </c>
      <c r="B132" s="12" t="inlineStr">
        <is>
          <t>Responsive Web</t>
        </is>
      </c>
      <c r="C132" s="12" t="inlineStr">
        <is>
          <t>Verify component logic and state mutation functions for Responsive Web</t>
        </is>
      </c>
      <c r="D132" s="12" t="inlineStr">
        <is>
          <t>Functional - Responsive Web - Verify component logic and state mutation functions (#131)</t>
        </is>
      </c>
      <c r="E132" s="12" t="inlineStr">
        <is>
          <t>Ensure Responsive Web module satisfies quality criteria for Functional category.</t>
        </is>
      </c>
      <c r="F132" s="12" t="inlineStr">
        <is>
          <t>Test environment active, NutriFit app launched on local test setup for Responsive Web.</t>
        </is>
      </c>
      <c r="G132" s="12" t="inlineStr">
        <is>
          <t>1. Open NutriFit app on target setup.
2. Navigate to Responsive Web screen.
3. Invoke component function with test parameters, observe return values and side effects.
4. Validate assertions.</t>
        </is>
      </c>
      <c r="H132" s="12" t="inlineStr">
        <is>
          <t>Module: Responsive Web, Setup: Local Host, Detail: Function params: Variant #131 (Responsive Web)</t>
        </is>
      </c>
      <c r="I132" s="12" t="inlineStr">
        <is>
          <t>Function executes logic accurately and updates internal state correctly. for module Responsive Web.</t>
        </is>
      </c>
      <c r="J132" s="12" t="inlineStr">
        <is>
          <t>Pending Execution</t>
        </is>
      </c>
      <c r="K132" s="11" t="inlineStr">
        <is>
          <t>Medium</t>
        </is>
      </c>
      <c r="L132" s="11" t="inlineStr">
        <is>
          <t>Moderate</t>
        </is>
      </c>
      <c r="M132" s="13" t="inlineStr">
        <is>
          <t>Not Executed</t>
        </is>
      </c>
      <c r="N132" s="12" t="inlineStr">
        <is>
          <t>Generated baseline case for Functional</t>
        </is>
      </c>
    </row>
    <row r="133" ht="36" customHeight="1">
      <c r="A133" s="11" t="inlineStr">
        <is>
          <t>FUN-132</t>
        </is>
      </c>
      <c r="B133" s="12" t="inlineStr">
        <is>
          <t>Android UI</t>
        </is>
      </c>
      <c r="C133" s="12" t="inlineStr">
        <is>
          <t>Verify validation constraints and edge-case handling for Android UI</t>
        </is>
      </c>
      <c r="D133" s="12" t="inlineStr">
        <is>
          <t>Functional - Android UI - Verify validation constraints and edge-case handling (#132)</t>
        </is>
      </c>
      <c r="E133" s="12" t="inlineStr">
        <is>
          <t>Ensure Android UI module satisfies quality criteria for Functional category.</t>
        </is>
      </c>
      <c r="F133" s="12" t="inlineStr">
        <is>
          <t>Test environment active, NutriFit app launched on local test setup for Android UI.</t>
        </is>
      </c>
      <c r="G133" s="12" t="inlineStr">
        <is>
          <t>1. Open NutriFit app on target setup.
2. Navigate to Android UI screen.
3. Pass boundary, empty, and out-of-bounds inputs to validation handler.
4. Validate assertions.</t>
        </is>
      </c>
      <c r="H133" s="12" t="inlineStr">
        <is>
          <t>Module: Android UI, Setup: Local Host, Detail: Edge case input: Variant #132 (Android UI)</t>
        </is>
      </c>
      <c r="I133" s="12" t="inlineStr">
        <is>
          <t>Validation rules enforce constraints and return precise error strings. for module Android UI.</t>
        </is>
      </c>
      <c r="J133" s="12" t="inlineStr">
        <is>
          <t>Pending Execution</t>
        </is>
      </c>
      <c r="K133" s="11" t="inlineStr">
        <is>
          <t>High</t>
        </is>
      </c>
      <c r="L133" s="11" t="inlineStr">
        <is>
          <t>Major</t>
        </is>
      </c>
      <c r="M133" s="13" t="inlineStr">
        <is>
          <t>Not Executed</t>
        </is>
      </c>
      <c r="N133" s="12" t="inlineStr">
        <is>
          <t>Generated baseline case for Functional</t>
        </is>
      </c>
    </row>
    <row r="134" ht="36" customHeight="1">
      <c r="A134" s="11" t="inlineStr">
        <is>
          <t>FUN-133</t>
        </is>
      </c>
      <c r="B134" s="12" t="inlineStr">
        <is>
          <t>Authentication</t>
        </is>
      </c>
      <c r="C134" s="12" t="inlineStr">
        <is>
          <t>Verify asynchronous service calls and Futures resolution for Authentication</t>
        </is>
      </c>
      <c r="D134" s="12" t="inlineStr">
        <is>
          <t>Functional - Authentication - Verify asynchronous service calls and Futures resolution (#133)</t>
        </is>
      </c>
      <c r="E134" s="12" t="inlineStr">
        <is>
          <t>Ensure Authentication module satisfies quality criteria for Functional category.</t>
        </is>
      </c>
      <c r="F134" s="12" t="inlineStr">
        <is>
          <t>Test environment active, NutriFit app launched on local test setup for Authentication.</t>
        </is>
      </c>
      <c r="G134" s="12" t="inlineStr">
        <is>
          <t>1. Open NutriFit app on target setup.
2. Navigate to Authentication screen.
3. Execute async service method, await Future completion, parse response model.
4. Validate assertions.</t>
        </is>
      </c>
      <c r="H134" s="12" t="inlineStr">
        <is>
          <t>Module: Authentication, Setup: Local Host, Detail: Async payload: Variant #133 (Authentication)</t>
        </is>
      </c>
      <c r="I134" s="12" t="inlineStr">
        <is>
          <t>Service parses JSON response cleanly into domain model instance. for module Authentication.</t>
        </is>
      </c>
      <c r="J134" s="12" t="inlineStr">
        <is>
          <t>Pending Execution</t>
        </is>
      </c>
      <c r="K134" s="11" t="inlineStr">
        <is>
          <t>Medium</t>
        </is>
      </c>
      <c r="L134" s="11" t="inlineStr">
        <is>
          <t>Critical</t>
        </is>
      </c>
      <c r="M134" s="13" t="inlineStr">
        <is>
          <t>Not Executed</t>
        </is>
      </c>
      <c r="N134" s="12" t="inlineStr">
        <is>
          <t>Generated baseline case for Functional</t>
        </is>
      </c>
    </row>
    <row r="135" ht="36" customHeight="1">
      <c r="A135" s="11" t="inlineStr">
        <is>
          <t>FUN-134</t>
        </is>
      </c>
      <c r="B135" s="12" t="inlineStr">
        <is>
          <t>Dashboard</t>
        </is>
      </c>
      <c r="C135" s="12" t="inlineStr">
        <is>
          <t>Verify reactive state listener callbacks and UI rebuilds for Dashboard</t>
        </is>
      </c>
      <c r="D135" s="12" t="inlineStr">
        <is>
          <t>Functional - Dashboard - Verify reactive state listener callbacks and UI rebuilds (#134)</t>
        </is>
      </c>
      <c r="E135" s="12" t="inlineStr">
        <is>
          <t>Ensure Dashboard module satisfies quality criteria for Functional category.</t>
        </is>
      </c>
      <c r="F135" s="12" t="inlineStr">
        <is>
          <t>Test environment active, NutriFit app launched on local test setup for Dashboard.</t>
        </is>
      </c>
      <c r="G135" s="12" t="inlineStr">
        <is>
          <t>1. Open NutriFit app on target setup.
2. Navigate to Dashboard screen.
3. Mutate state property in Provider model, count listener callbacks triggered.
4. Validate assertions.</t>
        </is>
      </c>
      <c r="H135" s="12" t="inlineStr">
        <is>
          <t>Module: Dashboard, Setup: Local Host, Detail: Provider notify: Variant #134 (Dashboard)</t>
        </is>
      </c>
      <c r="I135" s="12" t="inlineStr">
        <is>
          <t>Listeners receive notification and rebuild bound UI components once. for module Dashboard.</t>
        </is>
      </c>
      <c r="J135" s="12" t="inlineStr">
        <is>
          <t>Pending Execution</t>
        </is>
      </c>
      <c r="K135" s="11" t="inlineStr">
        <is>
          <t>Medium</t>
        </is>
      </c>
      <c r="L135" s="11" t="inlineStr">
        <is>
          <t>Major</t>
        </is>
      </c>
      <c r="M135" s="13" t="inlineStr">
        <is>
          <t>Not Executed</t>
        </is>
      </c>
      <c r="N135" s="12" t="inlineStr">
        <is>
          <t>Generated baseline case for Functional</t>
        </is>
      </c>
    </row>
    <row r="136" ht="36" customHeight="1">
      <c r="A136" s="11" t="inlineStr">
        <is>
          <t>FUN-135</t>
        </is>
      </c>
      <c r="B136" s="12" t="inlineStr">
        <is>
          <t>Workout</t>
        </is>
      </c>
      <c r="C136" s="12" t="inlineStr">
        <is>
          <t>Verify authorization guard rules and permission checks for Workout</t>
        </is>
      </c>
      <c r="D136" s="12" t="inlineStr">
        <is>
          <t>Functional - Workout - Verify authorization guard rules and permission checks (#135)</t>
        </is>
      </c>
      <c r="E136" s="12" t="inlineStr">
        <is>
          <t>Ensure Workout module satisfies quality criteria for Functional category.</t>
        </is>
      </c>
      <c r="F136" s="12" t="inlineStr">
        <is>
          <t>Test environment active, NutriFit app launched on local test setup for Workout.</t>
        </is>
      </c>
      <c r="G136" s="12" t="inlineStr">
        <is>
          <t>1. Open NutriFit app on target setup.
2. Navigate to Workout screen.
3. Attempt feature access with restricted user permissions.
4. Validate assertions.</t>
        </is>
      </c>
      <c r="H136" s="12" t="inlineStr">
        <is>
          <t>Module: Workout, Setup: Local Host, Detail: Auth role: Variant #135 (Workout)</t>
        </is>
      </c>
      <c r="I136" s="12" t="inlineStr">
        <is>
          <t>Authorization guard blocks access and redirects to permission error screen. for module Workout.</t>
        </is>
      </c>
      <c r="J136" s="12" t="inlineStr">
        <is>
          <t>Pending Execution</t>
        </is>
      </c>
      <c r="K136" s="11" t="inlineStr">
        <is>
          <t>High</t>
        </is>
      </c>
      <c r="L136" s="11" t="inlineStr">
        <is>
          <t>Moderate</t>
        </is>
      </c>
      <c r="M136" s="13" t="inlineStr">
        <is>
          <t>Not Executed</t>
        </is>
      </c>
      <c r="N136" s="12" t="inlineStr">
        <is>
          <t>Generated baseline case for Functional</t>
        </is>
      </c>
    </row>
    <row r="137" ht="36" customHeight="1">
      <c r="A137" s="11" t="inlineStr">
        <is>
          <t>FUN-136</t>
        </is>
      </c>
      <c r="B137" s="12" t="inlineStr">
        <is>
          <t>Diet</t>
        </is>
      </c>
      <c r="C137" s="12" t="inlineStr">
        <is>
          <t>Verify component logic and state mutation functions for Diet</t>
        </is>
      </c>
      <c r="D137" s="12" t="inlineStr">
        <is>
          <t>Functional - Diet - Verify component logic and state mutation functions (#136)</t>
        </is>
      </c>
      <c r="E137" s="12" t="inlineStr">
        <is>
          <t>Ensure Diet module satisfies quality criteria for Functional category.</t>
        </is>
      </c>
      <c r="F137" s="12" t="inlineStr">
        <is>
          <t>Test environment active, NutriFit app launched on local test setup for Diet.</t>
        </is>
      </c>
      <c r="G137" s="12" t="inlineStr">
        <is>
          <t>1. Open NutriFit app on target setup.
2. Navigate to Diet screen.
3. Invoke component function with test parameters, observe return values and side effects.
4. Validate assertions.</t>
        </is>
      </c>
      <c r="H137" s="12" t="inlineStr">
        <is>
          <t>Module: Diet, Setup: Local Host, Detail: Function params: Variant #136 (Diet)</t>
        </is>
      </c>
      <c r="I137" s="12" t="inlineStr">
        <is>
          <t>Function executes logic accurately and updates internal state correctly. for module Diet.</t>
        </is>
      </c>
      <c r="J137" s="12" t="inlineStr">
        <is>
          <t>Pending Execution</t>
        </is>
      </c>
      <c r="K137" s="11" t="inlineStr">
        <is>
          <t>Medium</t>
        </is>
      </c>
      <c r="L137" s="11" t="inlineStr">
        <is>
          <t>Major</t>
        </is>
      </c>
      <c r="M137" s="13" t="inlineStr">
        <is>
          <t>Not Executed</t>
        </is>
      </c>
      <c r="N137" s="12" t="inlineStr">
        <is>
          <t>Generated baseline case for Functional</t>
        </is>
      </c>
    </row>
    <row r="138" ht="36" customHeight="1">
      <c r="A138" s="11" t="inlineStr">
        <is>
          <t>FUN-137</t>
        </is>
      </c>
      <c r="B138" s="12" t="inlineStr">
        <is>
          <t>Budget Diet</t>
        </is>
      </c>
      <c r="C138" s="12" t="inlineStr">
        <is>
          <t>Verify validation constraints and edge-case handling for Budget Diet</t>
        </is>
      </c>
      <c r="D138" s="12" t="inlineStr">
        <is>
          <t>Functional - Budget Diet - Verify validation constraints and edge-case handling (#137)</t>
        </is>
      </c>
      <c r="E138" s="12" t="inlineStr">
        <is>
          <t>Ensure Budget Diet module satisfies quality criteria for Functional category.</t>
        </is>
      </c>
      <c r="F138" s="12" t="inlineStr">
        <is>
          <t>Test environment active, NutriFit app launched on local test setup for Budget Diet.</t>
        </is>
      </c>
      <c r="G138" s="12" t="inlineStr">
        <is>
          <t>1. Open NutriFit app on target setup.
2. Navigate to Budget Diet screen.
3. Pass boundary, empty, and out-of-bounds inputs to validation handler.
4. Validate assertions.</t>
        </is>
      </c>
      <c r="H138" s="12" t="inlineStr">
        <is>
          <t>Module: Budget Diet, Setup: Local Host, Detail: Edge case input: Variant #137 (Budget Diet)</t>
        </is>
      </c>
      <c r="I138" s="12" t="inlineStr">
        <is>
          <t>Validation rules enforce constraints and return precise error strings. for module Budget Diet.</t>
        </is>
      </c>
      <c r="J138" s="12" t="inlineStr">
        <is>
          <t>Pending Execution</t>
        </is>
      </c>
      <c r="K138" s="11" t="inlineStr">
        <is>
          <t>Medium</t>
        </is>
      </c>
      <c r="L138" s="11" t="inlineStr">
        <is>
          <t>Moderate</t>
        </is>
      </c>
      <c r="M138" s="13" t="inlineStr">
        <is>
          <t>Not Executed</t>
        </is>
      </c>
      <c r="N138" s="12" t="inlineStr">
        <is>
          <t>Generated baseline case for Functional</t>
        </is>
      </c>
    </row>
    <row r="139" ht="36" customHeight="1">
      <c r="A139" s="11" t="inlineStr">
        <is>
          <t>FUN-138</t>
        </is>
      </c>
      <c r="B139" s="12" t="inlineStr">
        <is>
          <t>Stretching</t>
        </is>
      </c>
      <c r="C139" s="12" t="inlineStr">
        <is>
          <t>Verify asynchronous service calls and Futures resolution for Stretching</t>
        </is>
      </c>
      <c r="D139" s="12" t="inlineStr">
        <is>
          <t>Functional - Stretching - Verify asynchronous service calls and Futures resolution (#138)</t>
        </is>
      </c>
      <c r="E139" s="12" t="inlineStr">
        <is>
          <t>Ensure Stretching module satisfies quality criteria for Functional category.</t>
        </is>
      </c>
      <c r="F139" s="12" t="inlineStr">
        <is>
          <t>Test environment active, NutriFit app launched on local test setup for Stretching.</t>
        </is>
      </c>
      <c r="G139" s="12" t="inlineStr">
        <is>
          <t>1. Open NutriFit app on target setup.
2. Navigate to Stretching screen.
3. Execute async service method, await Future completion, parse response model.
4. Validate assertions.</t>
        </is>
      </c>
      <c r="H139" s="12" t="inlineStr">
        <is>
          <t>Module: Stretching, Setup: Local Host, Detail: Async payload: Variant #138 (Stretching)</t>
        </is>
      </c>
      <c r="I139" s="12" t="inlineStr">
        <is>
          <t>Service parses JSON response cleanly into domain model instance. for module Stretching.</t>
        </is>
      </c>
      <c r="J139" s="12" t="inlineStr">
        <is>
          <t>Pending Execution</t>
        </is>
      </c>
      <c r="K139" s="11" t="inlineStr">
        <is>
          <t>High</t>
        </is>
      </c>
      <c r="L139" s="11" t="inlineStr">
        <is>
          <t>Major</t>
        </is>
      </c>
      <c r="M139" s="13" t="inlineStr">
        <is>
          <t>Not Executed</t>
        </is>
      </c>
      <c r="N139" s="12" t="inlineStr">
        <is>
          <t>Generated baseline case for Functional</t>
        </is>
      </c>
    </row>
    <row r="140" ht="36" customHeight="1">
      <c r="A140" s="11" t="inlineStr">
        <is>
          <t>FUN-139</t>
        </is>
      </c>
      <c r="B140" s="12" t="inlineStr">
        <is>
          <t>Water Tracker</t>
        </is>
      </c>
      <c r="C140" s="12" t="inlineStr">
        <is>
          <t>Verify reactive state listener callbacks and UI rebuilds for Water Tracker</t>
        </is>
      </c>
      <c r="D140" s="12" t="inlineStr">
        <is>
          <t>Functional - Water Tracker - Verify reactive state listener callbacks and UI rebuilds (#139)</t>
        </is>
      </c>
      <c r="E140" s="12" t="inlineStr">
        <is>
          <t>Ensure Water Tracker module satisfies quality criteria for Functional category.</t>
        </is>
      </c>
      <c r="F140" s="12" t="inlineStr">
        <is>
          <t>Test environment active, NutriFit app launched on local test setup for Water Tracker.</t>
        </is>
      </c>
      <c r="G140" s="12" t="inlineStr">
        <is>
          <t>1. Open NutriFit app on target setup.
2. Navigate to Water Tracker screen.
3. Mutate state property in Provider model, count listener callbacks triggered.
4. Validate assertions.</t>
        </is>
      </c>
      <c r="H140" s="12" t="inlineStr">
        <is>
          <t>Module: Water Tracker, Setup: Local Host, Detail: Provider notify: Variant #139 (Water Tracker)</t>
        </is>
      </c>
      <c r="I140" s="12" t="inlineStr">
        <is>
          <t>Listeners receive notification and rebuild bound UI components once. for module Water Tracker.</t>
        </is>
      </c>
      <c r="J140" s="12" t="inlineStr">
        <is>
          <t>Pending Execution</t>
        </is>
      </c>
      <c r="K140" s="11" t="inlineStr">
        <is>
          <t>Medium</t>
        </is>
      </c>
      <c r="L140" s="11" t="inlineStr">
        <is>
          <t>Moderate</t>
        </is>
      </c>
      <c r="M140" s="13" t="inlineStr">
        <is>
          <t>Not Executed</t>
        </is>
      </c>
      <c r="N140" s="12" t="inlineStr">
        <is>
          <t>Generated baseline case for Functional</t>
        </is>
      </c>
    </row>
    <row r="141" ht="36" customHeight="1">
      <c r="A141" s="11" t="inlineStr">
        <is>
          <t>FUN-140</t>
        </is>
      </c>
      <c r="B141" s="12" t="inlineStr">
        <is>
          <t>Sleep Tracker</t>
        </is>
      </c>
      <c r="C141" s="12" t="inlineStr">
        <is>
          <t>Verify authorization guard rules and permission checks for Sleep Tracker</t>
        </is>
      </c>
      <c r="D141" s="12" t="inlineStr">
        <is>
          <t>Functional - Sleep Tracker - Verify authorization guard rules and permission checks (#140)</t>
        </is>
      </c>
      <c r="E141" s="12" t="inlineStr">
        <is>
          <t>Ensure Sleep Tracker module satisfies quality criteria for Functional category.</t>
        </is>
      </c>
      <c r="F141" s="12" t="inlineStr">
        <is>
          <t>Test environment active, NutriFit app launched on local test setup for Sleep Tracker.</t>
        </is>
      </c>
      <c r="G141" s="12" t="inlineStr">
        <is>
          <t>1. Open NutriFit app on target setup.
2. Navigate to Sleep Tracker screen.
3. Attempt feature access with restricted user permissions.
4. Validate assertions.</t>
        </is>
      </c>
      <c r="H141" s="12" t="inlineStr">
        <is>
          <t>Module: Sleep Tracker, Setup: Local Host, Detail: Auth role: Variant #140 (Sleep Tracker)</t>
        </is>
      </c>
      <c r="I141" s="12" t="inlineStr">
        <is>
          <t>Authorization guard blocks access and redirects to permission error screen. for module Sleep Tracker.</t>
        </is>
      </c>
      <c r="J141" s="12" t="inlineStr">
        <is>
          <t>Pending Execution</t>
        </is>
      </c>
      <c r="K141" s="11" t="inlineStr">
        <is>
          <t>Low</t>
        </is>
      </c>
      <c r="L141" s="11" t="inlineStr">
        <is>
          <t>Critical</t>
        </is>
      </c>
      <c r="M141" s="13" t="inlineStr">
        <is>
          <t>Not Executed</t>
        </is>
      </c>
      <c r="N141" s="12" t="inlineStr">
        <is>
          <t>Generated baseline case for Functional</t>
        </is>
      </c>
    </row>
    <row r="142" ht="36" customHeight="1">
      <c r="A142" s="11" t="inlineStr">
        <is>
          <t>FUN-141</t>
        </is>
      </c>
      <c r="B142" s="12" t="inlineStr">
        <is>
          <t>Step Tracker</t>
        </is>
      </c>
      <c r="C142" s="12" t="inlineStr">
        <is>
          <t>Verify component logic and state mutation functions for Step Tracker</t>
        </is>
      </c>
      <c r="D142" s="12" t="inlineStr">
        <is>
          <t>Functional - Step Tracker - Verify component logic and state mutation functions (#141)</t>
        </is>
      </c>
      <c r="E142" s="12" t="inlineStr">
        <is>
          <t>Ensure Step Tracker module satisfies quality criteria for Functional category.</t>
        </is>
      </c>
      <c r="F142" s="12" t="inlineStr">
        <is>
          <t>Test environment active, NutriFit app launched on local test setup for Step Tracker.</t>
        </is>
      </c>
      <c r="G142" s="12" t="inlineStr">
        <is>
          <t>1. Open NutriFit app on target setup.
2. Navigate to Step Tracker screen.
3. Invoke component function with test parameters, observe return values and side effects.
4. Validate assertions.</t>
        </is>
      </c>
      <c r="H142" s="12" t="inlineStr">
        <is>
          <t>Module: Step Tracker, Setup: Local Host, Detail: Function params: Variant #141 (Step Tracker)</t>
        </is>
      </c>
      <c r="I142" s="12" t="inlineStr">
        <is>
          <t>Function executes logic accurately and updates internal state correctly. for module Step Tracker.</t>
        </is>
      </c>
      <c r="J142" s="12" t="inlineStr">
        <is>
          <t>Pending Execution</t>
        </is>
      </c>
      <c r="K142" s="11" t="inlineStr">
        <is>
          <t>High</t>
        </is>
      </c>
      <c r="L142" s="11" t="inlineStr">
        <is>
          <t>Moderate</t>
        </is>
      </c>
      <c r="M142" s="13" t="inlineStr">
        <is>
          <t>Not Executed</t>
        </is>
      </c>
      <c r="N142" s="12" t="inlineStr">
        <is>
          <t>Generated baseline case for Functional</t>
        </is>
      </c>
    </row>
    <row r="143" ht="36" customHeight="1">
      <c r="A143" s="11" t="inlineStr">
        <is>
          <t>FUN-142</t>
        </is>
      </c>
      <c r="B143" s="12" t="inlineStr">
        <is>
          <t>AI Trainer</t>
        </is>
      </c>
      <c r="C143" s="12" t="inlineStr">
        <is>
          <t>Verify validation constraints and edge-case handling for AI Trainer</t>
        </is>
      </c>
      <c r="D143" s="12" t="inlineStr">
        <is>
          <t>Functional - AI Trainer - Verify validation constraints and edge-case handling (#142)</t>
        </is>
      </c>
      <c r="E143" s="12" t="inlineStr">
        <is>
          <t>Ensure AI Trainer module satisfies quality criteria for Functional category.</t>
        </is>
      </c>
      <c r="F143" s="12" t="inlineStr">
        <is>
          <t>Test environment active, NutriFit app launched on local test setup for AI Trainer.</t>
        </is>
      </c>
      <c r="G143" s="12" t="inlineStr">
        <is>
          <t>1. Open NutriFit app on target setup.
2. Navigate to AI Trainer screen.
3. Pass boundary, empty, and out-of-bounds inputs to validation handler.
4. Validate assertions.</t>
        </is>
      </c>
      <c r="H143" s="12" t="inlineStr">
        <is>
          <t>Module: AI Trainer, Setup: Local Host, Detail: Edge case input: Variant #142 (AI Trainer)</t>
        </is>
      </c>
      <c r="I143" s="12" t="inlineStr">
        <is>
          <t>Validation rules enforce constraints and return precise error strings. for module AI Trainer.</t>
        </is>
      </c>
      <c r="J143" s="12" t="inlineStr">
        <is>
          <t>Pending Execution</t>
        </is>
      </c>
      <c r="K143" s="11" t="inlineStr">
        <is>
          <t>Medium</t>
        </is>
      </c>
      <c r="L143" s="11" t="inlineStr">
        <is>
          <t>Major</t>
        </is>
      </c>
      <c r="M143" s="13" t="inlineStr">
        <is>
          <t>Not Executed</t>
        </is>
      </c>
      <c r="N143" s="12" t="inlineStr">
        <is>
          <t>Generated baseline case for Functional</t>
        </is>
      </c>
    </row>
    <row r="144" ht="36" customHeight="1">
      <c r="A144" s="11" t="inlineStr">
        <is>
          <t>FUN-143</t>
        </is>
      </c>
      <c r="B144" s="12" t="inlineStr">
        <is>
          <t>Shop</t>
        </is>
      </c>
      <c r="C144" s="12" t="inlineStr">
        <is>
          <t>Verify asynchronous service calls and Futures resolution for Shop</t>
        </is>
      </c>
      <c r="D144" s="12" t="inlineStr">
        <is>
          <t>Functional - Shop - Verify asynchronous service calls and Futures resolution (#143)</t>
        </is>
      </c>
      <c r="E144" s="12" t="inlineStr">
        <is>
          <t>Ensure Shop module satisfies quality criteria for Functional category.</t>
        </is>
      </c>
      <c r="F144" s="12" t="inlineStr">
        <is>
          <t>Test environment active, NutriFit app launched on local test setup for Shop.</t>
        </is>
      </c>
      <c r="G144" s="12" t="inlineStr">
        <is>
          <t>1. Open NutriFit app on target setup.
2. Navigate to Shop screen.
3. Execute async service method, await Future completion, parse response model.
4. Validate assertions.</t>
        </is>
      </c>
      <c r="H144" s="12" t="inlineStr">
        <is>
          <t>Module: Shop, Setup: Local Host, Detail: Async payload: Variant #143 (Shop)</t>
        </is>
      </c>
      <c r="I144" s="12" t="inlineStr">
        <is>
          <t>Service parses JSON response cleanly into domain model instance. for module Shop.</t>
        </is>
      </c>
      <c r="J144" s="12" t="inlineStr">
        <is>
          <t>Pending Execution</t>
        </is>
      </c>
      <c r="K144" s="11" t="inlineStr">
        <is>
          <t>Medium</t>
        </is>
      </c>
      <c r="L144" s="11" t="inlineStr">
        <is>
          <t>Moderate</t>
        </is>
      </c>
      <c r="M144" s="13" t="inlineStr">
        <is>
          <t>Not Executed</t>
        </is>
      </c>
      <c r="N144" s="12" t="inlineStr">
        <is>
          <t>Generated baseline case for Functional</t>
        </is>
      </c>
    </row>
    <row r="145" ht="36" customHeight="1">
      <c r="A145" s="11" t="inlineStr">
        <is>
          <t>FUN-144</t>
        </is>
      </c>
      <c r="B145" s="12" t="inlineStr">
        <is>
          <t>Cart</t>
        </is>
      </c>
      <c r="C145" s="12" t="inlineStr">
        <is>
          <t>Verify reactive state listener callbacks and UI rebuilds for Cart</t>
        </is>
      </c>
      <c r="D145" s="12" t="inlineStr">
        <is>
          <t>Functional - Cart - Verify reactive state listener callbacks and UI rebuilds (#144)</t>
        </is>
      </c>
      <c r="E145" s="12" t="inlineStr">
        <is>
          <t>Ensure Cart module satisfies quality criteria for Functional category.</t>
        </is>
      </c>
      <c r="F145" s="12" t="inlineStr">
        <is>
          <t>Test environment active, NutriFit app launched on local test setup for Cart.</t>
        </is>
      </c>
      <c r="G145" s="12" t="inlineStr">
        <is>
          <t>1. Open NutriFit app on target setup.
2. Navigate to Cart screen.
3. Mutate state property in Provider model, count listener callbacks triggered.
4. Validate assertions.</t>
        </is>
      </c>
      <c r="H145" s="12" t="inlineStr">
        <is>
          <t>Module: Cart, Setup: Local Host, Detail: Provider notify: Variant #144 (Cart)</t>
        </is>
      </c>
      <c r="I145" s="12" t="inlineStr">
        <is>
          <t>Listeners receive notification and rebuild bound UI components once. for module Cart.</t>
        </is>
      </c>
      <c r="J145" s="12" t="inlineStr">
        <is>
          <t>Pending Execution</t>
        </is>
      </c>
      <c r="K145" s="11" t="inlineStr">
        <is>
          <t>High</t>
        </is>
      </c>
      <c r="L145" s="11" t="inlineStr">
        <is>
          <t>Major</t>
        </is>
      </c>
      <c r="M145" s="13" t="inlineStr">
        <is>
          <t>Not Executed</t>
        </is>
      </c>
      <c r="N145" s="12" t="inlineStr">
        <is>
          <t>Generated baseline case for Functional</t>
        </is>
      </c>
    </row>
    <row r="146" ht="36" customHeight="1">
      <c r="A146" s="11" t="inlineStr">
        <is>
          <t>FUN-145</t>
        </is>
      </c>
      <c r="B146" s="12" t="inlineStr">
        <is>
          <t>Checkout</t>
        </is>
      </c>
      <c r="C146" s="12" t="inlineStr">
        <is>
          <t>Verify authorization guard rules and permission checks for Checkout</t>
        </is>
      </c>
      <c r="D146" s="12" t="inlineStr">
        <is>
          <t>Functional - Checkout - Verify authorization guard rules and permission checks (#145)</t>
        </is>
      </c>
      <c r="E146" s="12" t="inlineStr">
        <is>
          <t>Ensure Checkout module satisfies quality criteria for Functional category.</t>
        </is>
      </c>
      <c r="F146" s="12" t="inlineStr">
        <is>
          <t>Test environment active, NutriFit app launched on local test setup for Checkout.</t>
        </is>
      </c>
      <c r="G146" s="12" t="inlineStr">
        <is>
          <t>1. Open NutriFit app on target setup.
2. Navigate to Checkout screen.
3. Attempt feature access with restricted user permissions.
4. Validate assertions.</t>
        </is>
      </c>
      <c r="H146" s="12" t="inlineStr">
        <is>
          <t>Module: Checkout, Setup: Local Host, Detail: Auth role: Variant #145 (Checkout)</t>
        </is>
      </c>
      <c r="I146" s="12" t="inlineStr">
        <is>
          <t>Authorization guard blocks access and redirects to permission error screen. for module Checkout.</t>
        </is>
      </c>
      <c r="J146" s="12" t="inlineStr">
        <is>
          <t>Pending Execution</t>
        </is>
      </c>
      <c r="K146" s="11" t="inlineStr">
        <is>
          <t>Low</t>
        </is>
      </c>
      <c r="L146" s="11" t="inlineStr">
        <is>
          <t>Moderate</t>
        </is>
      </c>
      <c r="M146" s="13" t="inlineStr">
        <is>
          <t>Not Executed</t>
        </is>
      </c>
      <c r="N146" s="12" t="inlineStr">
        <is>
          <t>Generated baseline case for Functional</t>
        </is>
      </c>
    </row>
    <row r="147" ht="36" customHeight="1">
      <c r="A147" s="11" t="inlineStr">
        <is>
          <t>FUN-146</t>
        </is>
      </c>
      <c r="B147" s="12" t="inlineStr">
        <is>
          <t>Address</t>
        </is>
      </c>
      <c r="C147" s="12" t="inlineStr">
        <is>
          <t>Verify component logic and state mutation functions for Address</t>
        </is>
      </c>
      <c r="D147" s="12" t="inlineStr">
        <is>
          <t>Functional - Address - Verify component logic and state mutation functions (#146)</t>
        </is>
      </c>
      <c r="E147" s="12" t="inlineStr">
        <is>
          <t>Ensure Address module satisfies quality criteria for Functional category.</t>
        </is>
      </c>
      <c r="F147" s="12" t="inlineStr">
        <is>
          <t>Test environment active, NutriFit app launched on local test setup for Address.</t>
        </is>
      </c>
      <c r="G147" s="12" t="inlineStr">
        <is>
          <t>1. Open NutriFit app on target setup.
2. Navigate to Address screen.
3. Invoke component function with test parameters, observe return values and side effects.
4. Validate assertions.</t>
        </is>
      </c>
      <c r="H147" s="12" t="inlineStr">
        <is>
          <t>Module: Address, Setup: Local Host, Detail: Function params: Variant #146 (Address)</t>
        </is>
      </c>
      <c r="I147" s="12" t="inlineStr">
        <is>
          <t>Function executes logic accurately and updates internal state correctly. for module Address.</t>
        </is>
      </c>
      <c r="J147" s="12" t="inlineStr">
        <is>
          <t>Pending Execution</t>
        </is>
      </c>
      <c r="K147" s="11" t="inlineStr">
        <is>
          <t>Medium</t>
        </is>
      </c>
      <c r="L147" s="11" t="inlineStr">
        <is>
          <t>Major</t>
        </is>
      </c>
      <c r="M147" s="13" t="inlineStr">
        <is>
          <t>Not Executed</t>
        </is>
      </c>
      <c r="N147" s="12" t="inlineStr">
        <is>
          <t>Generated baseline case for Functional</t>
        </is>
      </c>
    </row>
    <row r="148" ht="36" customHeight="1">
      <c r="A148" s="11" t="inlineStr">
        <is>
          <t>FUN-147</t>
        </is>
      </c>
      <c r="B148" s="12" t="inlineStr">
        <is>
          <t>Orders</t>
        </is>
      </c>
      <c r="C148" s="12" t="inlineStr">
        <is>
          <t>Verify validation constraints and edge-case handling for Orders</t>
        </is>
      </c>
      <c r="D148" s="12" t="inlineStr">
        <is>
          <t>Functional - Orders - Verify validation constraints and edge-case handling (#147)</t>
        </is>
      </c>
      <c r="E148" s="12" t="inlineStr">
        <is>
          <t>Ensure Orders module satisfies quality criteria for Functional category.</t>
        </is>
      </c>
      <c r="F148" s="12" t="inlineStr">
        <is>
          <t>Test environment active, NutriFit app launched on local test setup for Orders.</t>
        </is>
      </c>
      <c r="G148" s="12" t="inlineStr">
        <is>
          <t>1. Open NutriFit app on target setup.
2. Navigate to Orders screen.
3. Pass boundary, empty, and out-of-bounds inputs to validation handler.
4. Validate assertions.</t>
        </is>
      </c>
      <c r="H148" s="12" t="inlineStr">
        <is>
          <t>Module: Orders, Setup: Local Host, Detail: Edge case input: Variant #147 (Orders)</t>
        </is>
      </c>
      <c r="I148" s="12" t="inlineStr">
        <is>
          <t>Validation rules enforce constraints and return precise error strings. for module Orders.</t>
        </is>
      </c>
      <c r="J148" s="12" t="inlineStr">
        <is>
          <t>Pending Execution</t>
        </is>
      </c>
      <c r="K148" s="11" t="inlineStr">
        <is>
          <t>High</t>
        </is>
      </c>
      <c r="L148" s="11" t="inlineStr">
        <is>
          <t>Critical</t>
        </is>
      </c>
      <c r="M148" s="13" t="inlineStr">
        <is>
          <t>Not Executed</t>
        </is>
      </c>
      <c r="N148" s="12" t="inlineStr">
        <is>
          <t>Generated baseline case for Functional</t>
        </is>
      </c>
    </row>
    <row r="149" ht="36" customHeight="1">
      <c r="A149" s="11" t="inlineStr">
        <is>
          <t>FUN-148</t>
        </is>
      </c>
      <c r="B149" s="12" t="inlineStr">
        <is>
          <t>Profile</t>
        </is>
      </c>
      <c r="C149" s="12" t="inlineStr">
        <is>
          <t>Verify asynchronous service calls and Futures resolution for Profile</t>
        </is>
      </c>
      <c r="D149" s="12" t="inlineStr">
        <is>
          <t>Functional - Profile - Verify asynchronous service calls and Futures resolution (#148)</t>
        </is>
      </c>
      <c r="E149" s="12" t="inlineStr">
        <is>
          <t>Ensure Profile module satisfies quality criteria for Functional category.</t>
        </is>
      </c>
      <c r="F149" s="12" t="inlineStr">
        <is>
          <t>Test environment active, NutriFit app launched on local test setup for Profile.</t>
        </is>
      </c>
      <c r="G149" s="12" t="inlineStr">
        <is>
          <t>1. Open NutriFit app on target setup.
2. Navigate to Profile screen.
3. Execute async service method, await Future completion, parse response model.
4. Validate assertions.</t>
        </is>
      </c>
      <c r="H149" s="12" t="inlineStr">
        <is>
          <t>Module: Profile, Setup: Local Host, Detail: Async payload: Variant #148 (Profile)</t>
        </is>
      </c>
      <c r="I149" s="12" t="inlineStr">
        <is>
          <t>Service parses JSON response cleanly into domain model instance. for module Profile.</t>
        </is>
      </c>
      <c r="J149" s="12" t="inlineStr">
        <is>
          <t>Pending Execution</t>
        </is>
      </c>
      <c r="K149" s="11" t="inlineStr">
        <is>
          <t>Medium</t>
        </is>
      </c>
      <c r="L149" s="11" t="inlineStr">
        <is>
          <t>Major</t>
        </is>
      </c>
      <c r="M149" s="13" t="inlineStr">
        <is>
          <t>Not Executed</t>
        </is>
      </c>
      <c r="N149" s="12" t="inlineStr">
        <is>
          <t>Generated baseline case for Functional</t>
        </is>
      </c>
    </row>
    <row r="150" ht="36" customHeight="1">
      <c r="A150" s="11" t="inlineStr">
        <is>
          <t>FUN-149</t>
        </is>
      </c>
      <c r="B150" s="12" t="inlineStr">
        <is>
          <t>Notifications</t>
        </is>
      </c>
      <c r="C150" s="12" t="inlineStr">
        <is>
          <t>Verify reactive state listener callbacks and UI rebuilds for Notifications</t>
        </is>
      </c>
      <c r="D150" s="12" t="inlineStr">
        <is>
          <t>Functional - Notifications - Verify reactive state listener callbacks and UI rebuilds (#149)</t>
        </is>
      </c>
      <c r="E150" s="12" t="inlineStr">
        <is>
          <t>Ensure Notifications module satisfies quality criteria for Functional category.</t>
        </is>
      </c>
      <c r="F150" s="12" t="inlineStr">
        <is>
          <t>Test environment active, NutriFit app launched on local test setup for Notifications.</t>
        </is>
      </c>
      <c r="G150" s="12" t="inlineStr">
        <is>
          <t>1. Open NutriFit app on target setup.
2. Navigate to Notifications screen.
3. Mutate state property in Provider model, count listener callbacks triggered.
4. Validate assertions.</t>
        </is>
      </c>
      <c r="H150" s="12" t="inlineStr">
        <is>
          <t>Module: Notifications, Setup: Local Host, Detail: Provider notify: Variant #149 (Notifications)</t>
        </is>
      </c>
      <c r="I150" s="12" t="inlineStr">
        <is>
          <t>Listeners receive notification and rebuild bound UI components once. for module Notifications.</t>
        </is>
      </c>
      <c r="J150" s="12" t="inlineStr">
        <is>
          <t>Pending Execution</t>
        </is>
      </c>
      <c r="K150" s="11" t="inlineStr">
        <is>
          <t>Medium</t>
        </is>
      </c>
      <c r="L150" s="11" t="inlineStr">
        <is>
          <t>Moderate</t>
        </is>
      </c>
      <c r="M150" s="13" t="inlineStr">
        <is>
          <t>Not Executed</t>
        </is>
      </c>
      <c r="N150" s="12" t="inlineStr">
        <is>
          <t>Generated baseline case for Functional</t>
        </is>
      </c>
    </row>
    <row r="151" ht="36" customHeight="1">
      <c r="A151" s="11" t="inlineStr">
        <is>
          <t>FUN-150</t>
        </is>
      </c>
      <c r="B151" s="12" t="inlineStr">
        <is>
          <t>Settings</t>
        </is>
      </c>
      <c r="C151" s="12" t="inlineStr">
        <is>
          <t>Verify authorization guard rules and permission checks for Settings</t>
        </is>
      </c>
      <c r="D151" s="12" t="inlineStr">
        <is>
          <t>Functional - Settings - Verify authorization guard rules and permission checks (#150)</t>
        </is>
      </c>
      <c r="E151" s="12" t="inlineStr">
        <is>
          <t>Ensure Settings module satisfies quality criteria for Functional category.</t>
        </is>
      </c>
      <c r="F151" s="12" t="inlineStr">
        <is>
          <t>Test environment active, NutriFit app launched on local test setup for Settings.</t>
        </is>
      </c>
      <c r="G151" s="12" t="inlineStr">
        <is>
          <t>1. Open NutriFit app on target setup.
2. Navigate to Settings screen.
3. Attempt feature access with restricted user permissions.
4. Validate assertions.</t>
        </is>
      </c>
      <c r="H151" s="12" t="inlineStr">
        <is>
          <t>Module: Settings, Setup: Local Host, Detail: Auth role: Variant #150 (Settings)</t>
        </is>
      </c>
      <c r="I151" s="12" t="inlineStr">
        <is>
          <t>Authorization guard blocks access and redirects to permission error screen. for module Settings.</t>
        </is>
      </c>
      <c r="J151" s="12" t="inlineStr">
        <is>
          <t>Pending Execution</t>
        </is>
      </c>
      <c r="K151" s="11" t="inlineStr">
        <is>
          <t>High</t>
        </is>
      </c>
      <c r="L151" s="11" t="inlineStr">
        <is>
          <t>Major</t>
        </is>
      </c>
      <c r="M151" s="13" t="inlineStr">
        <is>
          <t>Not Executed</t>
        </is>
      </c>
      <c r="N151" s="12" t="inlineStr">
        <is>
          <t>Generated baseline case for Functional</t>
        </is>
      </c>
    </row>
    <row r="152" ht="36" customHeight="1">
      <c r="A152" s="11" t="inlineStr">
        <is>
          <t>FUN-151</t>
        </is>
      </c>
      <c r="B152" s="12" t="inlineStr">
        <is>
          <t>Localization</t>
        </is>
      </c>
      <c r="C152" s="12" t="inlineStr">
        <is>
          <t>Verify component logic and state mutation functions for Localization</t>
        </is>
      </c>
      <c r="D152" s="12" t="inlineStr">
        <is>
          <t>Functional - Localization - Verify component logic and state mutation functions (#151)</t>
        </is>
      </c>
      <c r="E152" s="12" t="inlineStr">
        <is>
          <t>Ensure Localization module satisfies quality criteria for Functional category.</t>
        </is>
      </c>
      <c r="F152" s="12" t="inlineStr">
        <is>
          <t>Test environment active, NutriFit app launched on local test setup for Localization.</t>
        </is>
      </c>
      <c r="G152" s="12" t="inlineStr">
        <is>
          <t>1. Open NutriFit app on target setup.
2. Navigate to Localization screen.
3. Invoke component function with test parameters, observe return values and side effects.
4. Validate assertions.</t>
        </is>
      </c>
      <c r="H152" s="12" t="inlineStr">
        <is>
          <t>Module: Localization, Setup: Local Host, Detail: Function params: Variant #151 (Localization)</t>
        </is>
      </c>
      <c r="I152" s="12" t="inlineStr">
        <is>
          <t>Function executes logic accurately and updates internal state correctly. for module Localization.</t>
        </is>
      </c>
      <c r="J152" s="12" t="inlineStr">
        <is>
          <t>Pending Execution</t>
        </is>
      </c>
      <c r="K152" s="11" t="inlineStr">
        <is>
          <t>Medium</t>
        </is>
      </c>
      <c r="L152" s="11" t="inlineStr">
        <is>
          <t>Moderate</t>
        </is>
      </c>
      <c r="M152" s="13" t="inlineStr">
        <is>
          <t>Not Executed</t>
        </is>
      </c>
      <c r="N152" s="12" t="inlineStr">
        <is>
          <t>Generated baseline case for Functional</t>
        </is>
      </c>
    </row>
    <row r="153" ht="36" customHeight="1">
      <c r="A153" s="11" t="inlineStr">
        <is>
          <t>FUN-152</t>
        </is>
      </c>
      <c r="B153" s="12" t="inlineStr">
        <is>
          <t>Supabase Integration</t>
        </is>
      </c>
      <c r="C153" s="12" t="inlineStr">
        <is>
          <t>Verify validation constraints and edge-case handling for Supabase Integration</t>
        </is>
      </c>
      <c r="D153" s="12" t="inlineStr">
        <is>
          <t>Functional - Supabase Integration - Verify validation constraints and edge-case handling (#152)</t>
        </is>
      </c>
      <c r="E153" s="12" t="inlineStr">
        <is>
          <t>Ensure Supabase Integration module satisfies quality criteria for Functional category.</t>
        </is>
      </c>
      <c r="F153" s="12" t="inlineStr">
        <is>
          <t>Test environment active, NutriFit app launched on local test setup for Supabase Integration.</t>
        </is>
      </c>
      <c r="G153" s="12" t="inlineStr">
        <is>
          <t>1. Open NutriFit app on target setup.
2. Navigate to Supabase Integration screen.
3. Pass boundary, empty, and out-of-bounds inputs to validation handler.
4. Validate assertions.</t>
        </is>
      </c>
      <c r="H153" s="12" t="inlineStr">
        <is>
          <t>Module: Supabase Integration, Setup: Local Host, Detail: Edge case input: Variant #152 (Supabase Integration)</t>
        </is>
      </c>
      <c r="I153" s="12" t="inlineStr">
        <is>
          <t>Validation rules enforce constraints and return precise error strings. for module Supabase Integration.</t>
        </is>
      </c>
      <c r="J153" s="12" t="inlineStr">
        <is>
          <t>Pending Execution</t>
        </is>
      </c>
      <c r="K153" s="11" t="inlineStr">
        <is>
          <t>Medium</t>
        </is>
      </c>
      <c r="L153" s="11" t="inlineStr">
        <is>
          <t>Major</t>
        </is>
      </c>
      <c r="M153" s="13" t="inlineStr">
        <is>
          <t>Not Executed</t>
        </is>
      </c>
      <c r="N153" s="12" t="inlineStr">
        <is>
          <t>Generated baseline case for Functional</t>
        </is>
      </c>
    </row>
    <row r="154" ht="36" customHeight="1">
      <c r="A154" s="11" t="inlineStr">
        <is>
          <t>FUN-153</t>
        </is>
      </c>
      <c r="B154" s="12" t="inlineStr">
        <is>
          <t>Responsive Web</t>
        </is>
      </c>
      <c r="C154" s="12" t="inlineStr">
        <is>
          <t>Verify asynchronous service calls and Futures resolution for Responsive Web</t>
        </is>
      </c>
      <c r="D154" s="12" t="inlineStr">
        <is>
          <t>Functional - Responsive Web - Verify asynchronous service calls and Futures resolution (#153)</t>
        </is>
      </c>
      <c r="E154" s="12" t="inlineStr">
        <is>
          <t>Ensure Responsive Web module satisfies quality criteria for Functional category.</t>
        </is>
      </c>
      <c r="F154" s="12" t="inlineStr">
        <is>
          <t>Test environment active, NutriFit app launched on local test setup for Responsive Web.</t>
        </is>
      </c>
      <c r="G154" s="12" t="inlineStr">
        <is>
          <t>1. Open NutriFit app on target setup.
2. Navigate to Responsive Web screen.
3. Execute async service method, await Future completion, parse response model.
4. Validate assertions.</t>
        </is>
      </c>
      <c r="H154" s="12" t="inlineStr">
        <is>
          <t>Module: Responsive Web, Setup: Local Host, Detail: Async payload: Variant #153 (Responsive Web)</t>
        </is>
      </c>
      <c r="I154" s="12" t="inlineStr">
        <is>
          <t>Service parses JSON response cleanly into domain model instance. for module Responsive Web.</t>
        </is>
      </c>
      <c r="J154" s="12" t="inlineStr">
        <is>
          <t>Pending Execution</t>
        </is>
      </c>
      <c r="K154" s="11" t="inlineStr">
        <is>
          <t>High</t>
        </is>
      </c>
      <c r="L154" s="11" t="inlineStr">
        <is>
          <t>Moderate</t>
        </is>
      </c>
      <c r="M154" s="13" t="inlineStr">
        <is>
          <t>Not Executed</t>
        </is>
      </c>
      <c r="N154" s="12" t="inlineStr">
        <is>
          <t>Generated baseline case for Functional</t>
        </is>
      </c>
    </row>
    <row r="155" ht="36" customHeight="1">
      <c r="A155" s="11" t="inlineStr">
        <is>
          <t>FUN-154</t>
        </is>
      </c>
      <c r="B155" s="12" t="inlineStr">
        <is>
          <t>Android UI</t>
        </is>
      </c>
      <c r="C155" s="12" t="inlineStr">
        <is>
          <t>Verify reactive state listener callbacks and UI rebuilds for Android UI</t>
        </is>
      </c>
      <c r="D155" s="12" t="inlineStr">
        <is>
          <t>Functional - Android UI - Verify reactive state listener callbacks and UI rebuilds (#154)</t>
        </is>
      </c>
      <c r="E155" s="12" t="inlineStr">
        <is>
          <t>Ensure Android UI module satisfies quality criteria for Functional category.</t>
        </is>
      </c>
      <c r="F155" s="12" t="inlineStr">
        <is>
          <t>Test environment active, NutriFit app launched on local test setup for Android UI.</t>
        </is>
      </c>
      <c r="G155" s="12" t="inlineStr">
        <is>
          <t>1. Open NutriFit app on target setup.
2. Navigate to Android UI screen.
3. Mutate state property in Provider model, count listener callbacks triggered.
4. Validate assertions.</t>
        </is>
      </c>
      <c r="H155" s="12" t="inlineStr">
        <is>
          <t>Module: Android UI, Setup: Local Host, Detail: Provider notify: Variant #154 (Android UI)</t>
        </is>
      </c>
      <c r="I155" s="12" t="inlineStr">
        <is>
          <t>Listeners receive notification and rebuild bound UI components once. for module Android UI.</t>
        </is>
      </c>
      <c r="J155" s="12" t="inlineStr">
        <is>
          <t>Pending Execution</t>
        </is>
      </c>
      <c r="K155" s="11" t="inlineStr">
        <is>
          <t>Medium</t>
        </is>
      </c>
      <c r="L155" s="11" t="inlineStr">
        <is>
          <t>Critical</t>
        </is>
      </c>
      <c r="M155" s="13" t="inlineStr">
        <is>
          <t>Not Executed</t>
        </is>
      </c>
      <c r="N155" s="12" t="inlineStr">
        <is>
          <t>Generated baseline case for Functional</t>
        </is>
      </c>
    </row>
    <row r="156" ht="36" customHeight="1">
      <c r="A156" s="11" t="inlineStr">
        <is>
          <t>FUN-155</t>
        </is>
      </c>
      <c r="B156" s="12" t="inlineStr">
        <is>
          <t>Authentication</t>
        </is>
      </c>
      <c r="C156" s="12" t="inlineStr">
        <is>
          <t>Verify authorization guard rules and permission checks for Authentication</t>
        </is>
      </c>
      <c r="D156" s="12" t="inlineStr">
        <is>
          <t>Functional - Authentication - Verify authorization guard rules and permission checks (#155)</t>
        </is>
      </c>
      <c r="E156" s="12" t="inlineStr">
        <is>
          <t>Ensure Authentication module satisfies quality criteria for Functional category.</t>
        </is>
      </c>
      <c r="F156" s="12" t="inlineStr">
        <is>
          <t>Test environment active, NutriFit app launched on local test setup for Authentication.</t>
        </is>
      </c>
      <c r="G156" s="12" t="inlineStr">
        <is>
          <t>1. Open NutriFit app on target setup.
2. Navigate to Authentication screen.
3. Attempt feature access with restricted user permissions.
4. Validate assertions.</t>
        </is>
      </c>
      <c r="H156" s="12" t="inlineStr">
        <is>
          <t>Module: Authentication, Setup: Local Host, Detail: Auth role: Variant #155 (Authentication)</t>
        </is>
      </c>
      <c r="I156" s="12" t="inlineStr">
        <is>
          <t>Authorization guard blocks access and redirects to permission error screen. for module Authentication.</t>
        </is>
      </c>
      <c r="J156" s="12" t="inlineStr">
        <is>
          <t>Pending Execution</t>
        </is>
      </c>
      <c r="K156" s="11" t="inlineStr">
        <is>
          <t>Low</t>
        </is>
      </c>
      <c r="L156" s="11" t="inlineStr">
        <is>
          <t>Moderate</t>
        </is>
      </c>
      <c r="M156" s="13" t="inlineStr">
        <is>
          <t>Not Executed</t>
        </is>
      </c>
      <c r="N156" s="12" t="inlineStr">
        <is>
          <t>Generated baseline case for Functional</t>
        </is>
      </c>
    </row>
    <row r="157" ht="36" customHeight="1">
      <c r="A157" s="11" t="inlineStr">
        <is>
          <t>FUN-156</t>
        </is>
      </c>
      <c r="B157" s="12" t="inlineStr">
        <is>
          <t>Dashboard</t>
        </is>
      </c>
      <c r="C157" s="12" t="inlineStr">
        <is>
          <t>Verify component logic and state mutation functions for Dashboard</t>
        </is>
      </c>
      <c r="D157" s="12" t="inlineStr">
        <is>
          <t>Functional - Dashboard - Verify component logic and state mutation functions (#156)</t>
        </is>
      </c>
      <c r="E157" s="12" t="inlineStr">
        <is>
          <t>Ensure Dashboard module satisfies quality criteria for Functional category.</t>
        </is>
      </c>
      <c r="F157" s="12" t="inlineStr">
        <is>
          <t>Test environment active, NutriFit app launched on local test setup for Dashboard.</t>
        </is>
      </c>
      <c r="G157" s="12" t="inlineStr">
        <is>
          <t>1. Open NutriFit app on target setup.
2. Navigate to Dashboard screen.
3. Invoke component function with test parameters, observe return values and side effects.
4. Validate assertions.</t>
        </is>
      </c>
      <c r="H157" s="12" t="inlineStr">
        <is>
          <t>Module: Dashboard, Setup: Local Host, Detail: Function params: Variant #156 (Dashboard)</t>
        </is>
      </c>
      <c r="I157" s="12" t="inlineStr">
        <is>
          <t>Function executes logic accurately and updates internal state correctly. for module Dashboard.</t>
        </is>
      </c>
      <c r="J157" s="12" t="inlineStr">
        <is>
          <t>Pending Execution</t>
        </is>
      </c>
      <c r="K157" s="11" t="inlineStr">
        <is>
          <t>High</t>
        </is>
      </c>
      <c r="L157" s="11" t="inlineStr">
        <is>
          <t>Major</t>
        </is>
      </c>
      <c r="M157" s="13" t="inlineStr">
        <is>
          <t>Not Executed</t>
        </is>
      </c>
      <c r="N157" s="12" t="inlineStr">
        <is>
          <t>Generated baseline case for Functional</t>
        </is>
      </c>
    </row>
    <row r="158" ht="36" customHeight="1">
      <c r="A158" s="11" t="inlineStr">
        <is>
          <t>FUN-157</t>
        </is>
      </c>
      <c r="B158" s="12" t="inlineStr">
        <is>
          <t>Workout</t>
        </is>
      </c>
      <c r="C158" s="12" t="inlineStr">
        <is>
          <t>Verify validation constraints and edge-case handling for Workout</t>
        </is>
      </c>
      <c r="D158" s="12" t="inlineStr">
        <is>
          <t>Functional - Workout - Verify validation constraints and edge-case handling (#157)</t>
        </is>
      </c>
      <c r="E158" s="12" t="inlineStr">
        <is>
          <t>Ensure Workout module satisfies quality criteria for Functional category.</t>
        </is>
      </c>
      <c r="F158" s="12" t="inlineStr">
        <is>
          <t>Test environment active, NutriFit app launched on local test setup for Workout.</t>
        </is>
      </c>
      <c r="G158" s="12" t="inlineStr">
        <is>
          <t>1. Open NutriFit app on target setup.
2. Navigate to Workout screen.
3. Pass boundary, empty, and out-of-bounds inputs to validation handler.
4. Validate assertions.</t>
        </is>
      </c>
      <c r="H158" s="12" t="inlineStr">
        <is>
          <t>Module: Workout, Setup: Local Host, Detail: Edge case input: Variant #157 (Workout)</t>
        </is>
      </c>
      <c r="I158" s="12" t="inlineStr">
        <is>
          <t>Validation rules enforce constraints and return precise error strings. for module Workout.</t>
        </is>
      </c>
      <c r="J158" s="12" t="inlineStr">
        <is>
          <t>Pending Execution</t>
        </is>
      </c>
      <c r="K158" s="11" t="inlineStr">
        <is>
          <t>Medium</t>
        </is>
      </c>
      <c r="L158" s="11" t="inlineStr">
        <is>
          <t>Moderate</t>
        </is>
      </c>
      <c r="M158" s="13" t="inlineStr">
        <is>
          <t>Not Executed</t>
        </is>
      </c>
      <c r="N158" s="12" t="inlineStr">
        <is>
          <t>Generated baseline case for Functional</t>
        </is>
      </c>
    </row>
    <row r="159" ht="36" customHeight="1">
      <c r="A159" s="11" t="inlineStr">
        <is>
          <t>FUN-158</t>
        </is>
      </c>
      <c r="B159" s="12" t="inlineStr">
        <is>
          <t>Diet</t>
        </is>
      </c>
      <c r="C159" s="12" t="inlineStr">
        <is>
          <t>Verify asynchronous service calls and Futures resolution for Diet</t>
        </is>
      </c>
      <c r="D159" s="12" t="inlineStr">
        <is>
          <t>Functional - Diet - Verify asynchronous service calls and Futures resolution (#158)</t>
        </is>
      </c>
      <c r="E159" s="12" t="inlineStr">
        <is>
          <t>Ensure Diet module satisfies quality criteria for Functional category.</t>
        </is>
      </c>
      <c r="F159" s="12" t="inlineStr">
        <is>
          <t>Test environment active, NutriFit app launched on local test setup for Diet.</t>
        </is>
      </c>
      <c r="G159" s="12" t="inlineStr">
        <is>
          <t>1. Open NutriFit app on target setup.
2. Navigate to Diet screen.
3. Execute async service method, await Future completion, parse response model.
4. Validate assertions.</t>
        </is>
      </c>
      <c r="H159" s="12" t="inlineStr">
        <is>
          <t>Module: Diet, Setup: Local Host, Detail: Async payload: Variant #158 (Diet)</t>
        </is>
      </c>
      <c r="I159" s="12" t="inlineStr">
        <is>
          <t>Service parses JSON response cleanly into domain model instance. for module Diet.</t>
        </is>
      </c>
      <c r="J159" s="12" t="inlineStr">
        <is>
          <t>Pending Execution</t>
        </is>
      </c>
      <c r="K159" s="11" t="inlineStr">
        <is>
          <t>Medium</t>
        </is>
      </c>
      <c r="L159" s="11" t="inlineStr">
        <is>
          <t>Major</t>
        </is>
      </c>
      <c r="M159" s="13" t="inlineStr">
        <is>
          <t>Not Executed</t>
        </is>
      </c>
      <c r="N159" s="12" t="inlineStr">
        <is>
          <t>Generated baseline case for Functional</t>
        </is>
      </c>
    </row>
    <row r="160" ht="36" customHeight="1">
      <c r="A160" s="11" t="inlineStr">
        <is>
          <t>FUN-159</t>
        </is>
      </c>
      <c r="B160" s="12" t="inlineStr">
        <is>
          <t>Budget Diet</t>
        </is>
      </c>
      <c r="C160" s="12" t="inlineStr">
        <is>
          <t>Verify reactive state listener callbacks and UI rebuilds for Budget Diet</t>
        </is>
      </c>
      <c r="D160" s="12" t="inlineStr">
        <is>
          <t>Functional - Budget Diet - Verify reactive state listener callbacks and UI rebuilds (#159)</t>
        </is>
      </c>
      <c r="E160" s="12" t="inlineStr">
        <is>
          <t>Ensure Budget Diet module satisfies quality criteria for Functional category.</t>
        </is>
      </c>
      <c r="F160" s="12" t="inlineStr">
        <is>
          <t>Test environment active, NutriFit app launched on local test setup for Budget Diet.</t>
        </is>
      </c>
      <c r="G160" s="12" t="inlineStr">
        <is>
          <t>1. Open NutriFit app on target setup.
2. Navigate to Budget Diet screen.
3. Mutate state property in Provider model, count listener callbacks triggered.
4. Validate assertions.</t>
        </is>
      </c>
      <c r="H160" s="12" t="inlineStr">
        <is>
          <t>Module: Budget Diet, Setup: Local Host, Detail: Provider notify: Variant #159 (Budget Diet)</t>
        </is>
      </c>
      <c r="I160" s="12" t="inlineStr">
        <is>
          <t>Listeners receive notification and rebuild bound UI components once. for module Budget Diet.</t>
        </is>
      </c>
      <c r="J160" s="12" t="inlineStr">
        <is>
          <t>Pending Execution</t>
        </is>
      </c>
      <c r="K160" s="11" t="inlineStr">
        <is>
          <t>High</t>
        </is>
      </c>
      <c r="L160" s="11" t="inlineStr">
        <is>
          <t>Moderate</t>
        </is>
      </c>
      <c r="M160" s="13" t="inlineStr">
        <is>
          <t>Not Executed</t>
        </is>
      </c>
      <c r="N160" s="12" t="inlineStr">
        <is>
          <t>Generated baseline case for Functional</t>
        </is>
      </c>
    </row>
    <row r="161" ht="36" customHeight="1">
      <c r="A161" s="11" t="inlineStr">
        <is>
          <t>FUN-160</t>
        </is>
      </c>
      <c r="B161" s="12" t="inlineStr">
        <is>
          <t>Stretching</t>
        </is>
      </c>
      <c r="C161" s="12" t="inlineStr">
        <is>
          <t>Verify authorization guard rules and permission checks for Stretching</t>
        </is>
      </c>
      <c r="D161" s="12" t="inlineStr">
        <is>
          <t>Functional - Stretching - Verify authorization guard rules and permission checks (#160)</t>
        </is>
      </c>
      <c r="E161" s="12" t="inlineStr">
        <is>
          <t>Ensure Stretching module satisfies quality criteria for Functional category.</t>
        </is>
      </c>
      <c r="F161" s="12" t="inlineStr">
        <is>
          <t>Test environment active, NutriFit app launched on local test setup for Stretching.</t>
        </is>
      </c>
      <c r="G161" s="12" t="inlineStr">
        <is>
          <t>1. Open NutriFit app on target setup.
2. Navigate to Stretching screen.
3. Attempt feature access with restricted user permissions.
4. Validate assertions.</t>
        </is>
      </c>
      <c r="H161" s="12" t="inlineStr">
        <is>
          <t>Module: Stretching, Setup: Local Host, Detail: Auth role: Variant #160 (Stretching)</t>
        </is>
      </c>
      <c r="I161" s="12" t="inlineStr">
        <is>
          <t>Authorization guard blocks access and redirects to permission error screen. for module Stretching.</t>
        </is>
      </c>
      <c r="J161" s="12" t="inlineStr">
        <is>
          <t>Pending Execution</t>
        </is>
      </c>
      <c r="K161" s="11" t="inlineStr">
        <is>
          <t>Low</t>
        </is>
      </c>
      <c r="L161" s="11" t="inlineStr">
        <is>
          <t>Major</t>
        </is>
      </c>
      <c r="M161" s="13" t="inlineStr">
        <is>
          <t>Not Executed</t>
        </is>
      </c>
      <c r="N161" s="12" t="inlineStr">
        <is>
          <t>Generated baseline case for Functional</t>
        </is>
      </c>
    </row>
    <row r="162" ht="36" customHeight="1">
      <c r="A162" s="11" t="inlineStr">
        <is>
          <t>FUN-161</t>
        </is>
      </c>
      <c r="B162" s="12" t="inlineStr">
        <is>
          <t>Water Tracker</t>
        </is>
      </c>
      <c r="C162" s="12" t="inlineStr">
        <is>
          <t>Verify component logic and state mutation functions for Water Tracker</t>
        </is>
      </c>
      <c r="D162" s="12" t="inlineStr">
        <is>
          <t>Functional - Water Tracker - Verify component logic and state mutation functions (#161)</t>
        </is>
      </c>
      <c r="E162" s="12" t="inlineStr">
        <is>
          <t>Ensure Water Tracker module satisfies quality criteria for Functional category.</t>
        </is>
      </c>
      <c r="F162" s="12" t="inlineStr">
        <is>
          <t>Test environment active, NutriFit app launched on local test setup for Water Tracker.</t>
        </is>
      </c>
      <c r="G162" s="12" t="inlineStr">
        <is>
          <t>1. Open NutriFit app on target setup.
2. Navigate to Water Tracker screen.
3. Invoke component function with test parameters, observe return values and side effects.
4. Validate assertions.</t>
        </is>
      </c>
      <c r="H162" s="12" t="inlineStr">
        <is>
          <t>Module: Water Tracker, Setup: Local Host, Detail: Function params: Variant #161 (Water Tracker)</t>
        </is>
      </c>
      <c r="I162" s="12" t="inlineStr">
        <is>
          <t>Function executes logic accurately and updates internal state correctly. for module Water Tracker.</t>
        </is>
      </c>
      <c r="J162" s="12" t="inlineStr">
        <is>
          <t>Pending Execution</t>
        </is>
      </c>
      <c r="K162" s="11" t="inlineStr">
        <is>
          <t>Medium</t>
        </is>
      </c>
      <c r="L162" s="11" t="inlineStr">
        <is>
          <t>Critical</t>
        </is>
      </c>
      <c r="M162" s="13" t="inlineStr">
        <is>
          <t>Not Executed</t>
        </is>
      </c>
      <c r="N162" s="12" t="inlineStr">
        <is>
          <t>Generated baseline case for Functional</t>
        </is>
      </c>
    </row>
    <row r="163" ht="36" customHeight="1">
      <c r="A163" s="11" t="inlineStr">
        <is>
          <t>FUN-162</t>
        </is>
      </c>
      <c r="B163" s="12" t="inlineStr">
        <is>
          <t>Sleep Tracker</t>
        </is>
      </c>
      <c r="C163" s="12" t="inlineStr">
        <is>
          <t>Verify validation constraints and edge-case handling for Sleep Tracker</t>
        </is>
      </c>
      <c r="D163" s="12" t="inlineStr">
        <is>
          <t>Functional - Sleep Tracker - Verify validation constraints and edge-case handling (#162)</t>
        </is>
      </c>
      <c r="E163" s="12" t="inlineStr">
        <is>
          <t>Ensure Sleep Tracker module satisfies quality criteria for Functional category.</t>
        </is>
      </c>
      <c r="F163" s="12" t="inlineStr">
        <is>
          <t>Test environment active, NutriFit app launched on local test setup for Sleep Tracker.</t>
        </is>
      </c>
      <c r="G163" s="12" t="inlineStr">
        <is>
          <t>1. Open NutriFit app on target setup.
2. Navigate to Sleep Tracker screen.
3. Pass boundary, empty, and out-of-bounds inputs to validation handler.
4. Validate assertions.</t>
        </is>
      </c>
      <c r="H163" s="12" t="inlineStr">
        <is>
          <t>Module: Sleep Tracker, Setup: Local Host, Detail: Edge case input: Variant #162 (Sleep Tracker)</t>
        </is>
      </c>
      <c r="I163" s="12" t="inlineStr">
        <is>
          <t>Validation rules enforce constraints and return precise error strings. for module Sleep Tracker.</t>
        </is>
      </c>
      <c r="J163" s="12" t="inlineStr">
        <is>
          <t>Pending Execution</t>
        </is>
      </c>
      <c r="K163" s="11" t="inlineStr">
        <is>
          <t>High</t>
        </is>
      </c>
      <c r="L163" s="11" t="inlineStr">
        <is>
          <t>Major</t>
        </is>
      </c>
      <c r="M163" s="13" t="inlineStr">
        <is>
          <t>Not Executed</t>
        </is>
      </c>
      <c r="N163" s="12" t="inlineStr">
        <is>
          <t>Generated baseline case for Functional</t>
        </is>
      </c>
    </row>
    <row r="164" ht="36" customHeight="1">
      <c r="A164" s="11" t="inlineStr">
        <is>
          <t>FUN-163</t>
        </is>
      </c>
      <c r="B164" s="12" t="inlineStr">
        <is>
          <t>Step Tracker</t>
        </is>
      </c>
      <c r="C164" s="12" t="inlineStr">
        <is>
          <t>Verify asynchronous service calls and Futures resolution for Step Tracker</t>
        </is>
      </c>
      <c r="D164" s="12" t="inlineStr">
        <is>
          <t>Functional - Step Tracker - Verify asynchronous service calls and Futures resolution (#163)</t>
        </is>
      </c>
      <c r="E164" s="12" t="inlineStr">
        <is>
          <t>Ensure Step Tracker module satisfies quality criteria for Functional category.</t>
        </is>
      </c>
      <c r="F164" s="12" t="inlineStr">
        <is>
          <t>Test environment active, NutriFit app launched on local test setup for Step Tracker.</t>
        </is>
      </c>
      <c r="G164" s="12" t="inlineStr">
        <is>
          <t>1. Open NutriFit app on target setup.
2. Navigate to Step Tracker screen.
3. Execute async service method, await Future completion, parse response model.
4. Validate assertions.</t>
        </is>
      </c>
      <c r="H164" s="12" t="inlineStr">
        <is>
          <t>Module: Step Tracker, Setup: Local Host, Detail: Async payload: Variant #163 (Step Tracker)</t>
        </is>
      </c>
      <c r="I164" s="12" t="inlineStr">
        <is>
          <t>Service parses JSON response cleanly into domain model instance. for module Step Tracker.</t>
        </is>
      </c>
      <c r="J164" s="12" t="inlineStr">
        <is>
          <t>Pending Execution</t>
        </is>
      </c>
      <c r="K164" s="11" t="inlineStr">
        <is>
          <t>Medium</t>
        </is>
      </c>
      <c r="L164" s="11" t="inlineStr">
        <is>
          <t>Moderate</t>
        </is>
      </c>
      <c r="M164" s="13" t="inlineStr">
        <is>
          <t>Not Executed</t>
        </is>
      </c>
      <c r="N164" s="12" t="inlineStr">
        <is>
          <t>Generated baseline case for Functional</t>
        </is>
      </c>
    </row>
    <row r="165" ht="36" customHeight="1">
      <c r="A165" s="11" t="inlineStr">
        <is>
          <t>FUN-164</t>
        </is>
      </c>
      <c r="B165" s="12" t="inlineStr">
        <is>
          <t>AI Trainer</t>
        </is>
      </c>
      <c r="C165" s="12" t="inlineStr">
        <is>
          <t>Verify reactive state listener callbacks and UI rebuilds for AI Trainer</t>
        </is>
      </c>
      <c r="D165" s="12" t="inlineStr">
        <is>
          <t>Functional - AI Trainer - Verify reactive state listener callbacks and UI rebuilds (#164)</t>
        </is>
      </c>
      <c r="E165" s="12" t="inlineStr">
        <is>
          <t>Ensure AI Trainer module satisfies quality criteria for Functional category.</t>
        </is>
      </c>
      <c r="F165" s="12" t="inlineStr">
        <is>
          <t>Test environment active, NutriFit app launched on local test setup for AI Trainer.</t>
        </is>
      </c>
      <c r="G165" s="12" t="inlineStr">
        <is>
          <t>1. Open NutriFit app on target setup.
2. Navigate to AI Trainer screen.
3. Mutate state property in Provider model, count listener callbacks triggered.
4. Validate assertions.</t>
        </is>
      </c>
      <c r="H165" s="12" t="inlineStr">
        <is>
          <t>Module: AI Trainer, Setup: Local Host, Detail: Provider notify: Variant #164 (AI Trainer)</t>
        </is>
      </c>
      <c r="I165" s="12" t="inlineStr">
        <is>
          <t>Listeners receive notification and rebuild bound UI components once. for module AI Trainer.</t>
        </is>
      </c>
      <c r="J165" s="12" t="inlineStr">
        <is>
          <t>Pending Execution</t>
        </is>
      </c>
      <c r="K165" s="11" t="inlineStr">
        <is>
          <t>Medium</t>
        </is>
      </c>
      <c r="L165" s="11" t="inlineStr">
        <is>
          <t>Major</t>
        </is>
      </c>
      <c r="M165" s="13" t="inlineStr">
        <is>
          <t>Not Executed</t>
        </is>
      </c>
      <c r="N165" s="12" t="inlineStr">
        <is>
          <t>Generated baseline case for Functional</t>
        </is>
      </c>
    </row>
    <row r="166" ht="36" customHeight="1">
      <c r="A166" s="11" t="inlineStr">
        <is>
          <t>FUN-165</t>
        </is>
      </c>
      <c r="B166" s="12" t="inlineStr">
        <is>
          <t>Shop</t>
        </is>
      </c>
      <c r="C166" s="12" t="inlineStr">
        <is>
          <t>Verify authorization guard rules and permission checks for Shop</t>
        </is>
      </c>
      <c r="D166" s="12" t="inlineStr">
        <is>
          <t>Functional - Shop - Verify authorization guard rules and permission checks (#165)</t>
        </is>
      </c>
      <c r="E166" s="12" t="inlineStr">
        <is>
          <t>Ensure Shop module satisfies quality criteria for Functional category.</t>
        </is>
      </c>
      <c r="F166" s="12" t="inlineStr">
        <is>
          <t>Test environment active, NutriFit app launched on local test setup for Shop.</t>
        </is>
      </c>
      <c r="G166" s="12" t="inlineStr">
        <is>
          <t>1. Open NutriFit app on target setup.
2. Navigate to Shop screen.
3. Attempt feature access with restricted user permissions.
4. Validate assertions.</t>
        </is>
      </c>
      <c r="H166" s="12" t="inlineStr">
        <is>
          <t>Module: Shop, Setup: Local Host, Detail: Auth role: Variant #165 (Shop)</t>
        </is>
      </c>
      <c r="I166" s="12" t="inlineStr">
        <is>
          <t>Authorization guard blocks access and redirects to permission error screen. for module Shop.</t>
        </is>
      </c>
      <c r="J166" s="12" t="inlineStr">
        <is>
          <t>Pending Execution</t>
        </is>
      </c>
      <c r="K166" s="11" t="inlineStr">
        <is>
          <t>High</t>
        </is>
      </c>
      <c r="L166" s="11" t="inlineStr">
        <is>
          <t>Moderate</t>
        </is>
      </c>
      <c r="M166" s="13" t="inlineStr">
        <is>
          <t>Not Executed</t>
        </is>
      </c>
      <c r="N166" s="12" t="inlineStr">
        <is>
          <t>Generated baseline case for Functional</t>
        </is>
      </c>
    </row>
    <row r="167" ht="36" customHeight="1">
      <c r="A167" s="11" t="inlineStr">
        <is>
          <t>FUN-166</t>
        </is>
      </c>
      <c r="B167" s="12" t="inlineStr">
        <is>
          <t>Cart</t>
        </is>
      </c>
      <c r="C167" s="12" t="inlineStr">
        <is>
          <t>Verify component logic and state mutation functions for Cart</t>
        </is>
      </c>
      <c r="D167" s="12" t="inlineStr">
        <is>
          <t>Functional - Cart - Verify component logic and state mutation functions (#166)</t>
        </is>
      </c>
      <c r="E167" s="12" t="inlineStr">
        <is>
          <t>Ensure Cart module satisfies quality criteria for Functional category.</t>
        </is>
      </c>
      <c r="F167" s="12" t="inlineStr">
        <is>
          <t>Test environment active, NutriFit app launched on local test setup for Cart.</t>
        </is>
      </c>
      <c r="G167" s="12" t="inlineStr">
        <is>
          <t>1. Open NutriFit app on target setup.
2. Navigate to Cart screen.
3. Invoke component function with test parameters, observe return values and side effects.
4. Validate assertions.</t>
        </is>
      </c>
      <c r="H167" s="12" t="inlineStr">
        <is>
          <t>Module: Cart, Setup: Local Host, Detail: Function params: Variant #166 (Cart)</t>
        </is>
      </c>
      <c r="I167" s="12" t="inlineStr">
        <is>
          <t>Function executes logic accurately and updates internal state correctly. for module Cart.</t>
        </is>
      </c>
      <c r="J167" s="12" t="inlineStr">
        <is>
          <t>Pending Execution</t>
        </is>
      </c>
      <c r="K167" s="11" t="inlineStr">
        <is>
          <t>Medium</t>
        </is>
      </c>
      <c r="L167" s="11" t="inlineStr">
        <is>
          <t>Major</t>
        </is>
      </c>
      <c r="M167" s="13" t="inlineStr">
        <is>
          <t>Not Executed</t>
        </is>
      </c>
      <c r="N167" s="12" t="inlineStr">
        <is>
          <t>Generated baseline case for Functional</t>
        </is>
      </c>
    </row>
    <row r="168" ht="36" customHeight="1">
      <c r="A168" s="11" t="inlineStr">
        <is>
          <t>FUN-167</t>
        </is>
      </c>
      <c r="B168" s="12" t="inlineStr">
        <is>
          <t>Checkout</t>
        </is>
      </c>
      <c r="C168" s="12" t="inlineStr">
        <is>
          <t>Verify validation constraints and edge-case handling for Checkout</t>
        </is>
      </c>
      <c r="D168" s="12" t="inlineStr">
        <is>
          <t>Functional - Checkout - Verify validation constraints and edge-case handling (#167)</t>
        </is>
      </c>
      <c r="E168" s="12" t="inlineStr">
        <is>
          <t>Ensure Checkout module satisfies quality criteria for Functional category.</t>
        </is>
      </c>
      <c r="F168" s="12" t="inlineStr">
        <is>
          <t>Test environment active, NutriFit app launched on local test setup for Checkout.</t>
        </is>
      </c>
      <c r="G168" s="12" t="inlineStr">
        <is>
          <t>1. Open NutriFit app on target setup.
2. Navigate to Checkout screen.
3. Pass boundary, empty, and out-of-bounds inputs to validation handler.
4. Validate assertions.</t>
        </is>
      </c>
      <c r="H168" s="12" t="inlineStr">
        <is>
          <t>Module: Checkout, Setup: Local Host, Detail: Edge case input: Variant #167 (Checkout)</t>
        </is>
      </c>
      <c r="I168" s="12" t="inlineStr">
        <is>
          <t>Validation rules enforce constraints and return precise error strings. for module Checkout.</t>
        </is>
      </c>
      <c r="J168" s="12" t="inlineStr">
        <is>
          <t>Pending Execution</t>
        </is>
      </c>
      <c r="K168" s="11" t="inlineStr">
        <is>
          <t>Medium</t>
        </is>
      </c>
      <c r="L168" s="11" t="inlineStr">
        <is>
          <t>Moderate</t>
        </is>
      </c>
      <c r="M168" s="13" t="inlineStr">
        <is>
          <t>Not Executed</t>
        </is>
      </c>
      <c r="N168" s="12" t="inlineStr">
        <is>
          <t>Generated baseline case for Functional</t>
        </is>
      </c>
    </row>
    <row r="169" ht="36" customHeight="1">
      <c r="A169" s="11" t="inlineStr">
        <is>
          <t>FUN-168</t>
        </is>
      </c>
      <c r="B169" s="12" t="inlineStr">
        <is>
          <t>Address</t>
        </is>
      </c>
      <c r="C169" s="12" t="inlineStr">
        <is>
          <t>Verify asynchronous service calls and Futures resolution for Address</t>
        </is>
      </c>
      <c r="D169" s="12" t="inlineStr">
        <is>
          <t>Functional - Address - Verify asynchronous service calls and Futures resolution (#168)</t>
        </is>
      </c>
      <c r="E169" s="12" t="inlineStr">
        <is>
          <t>Ensure Address module satisfies quality criteria for Functional category.</t>
        </is>
      </c>
      <c r="F169" s="12" t="inlineStr">
        <is>
          <t>Test environment active, NutriFit app launched on local test setup for Address.</t>
        </is>
      </c>
      <c r="G169" s="12" t="inlineStr">
        <is>
          <t>1. Open NutriFit app on target setup.
2. Navigate to Address screen.
3. Execute async service method, await Future completion, parse response model.
4. Validate assertions.</t>
        </is>
      </c>
      <c r="H169" s="12" t="inlineStr">
        <is>
          <t>Module: Address, Setup: Local Host, Detail: Async payload: Variant #168 (Address)</t>
        </is>
      </c>
      <c r="I169" s="12" t="inlineStr">
        <is>
          <t>Service parses JSON response cleanly into domain model instance. for module Address.</t>
        </is>
      </c>
      <c r="J169" s="12" t="inlineStr">
        <is>
          <t>Pending Execution</t>
        </is>
      </c>
      <c r="K169" s="11" t="inlineStr">
        <is>
          <t>High</t>
        </is>
      </c>
      <c r="L169" s="11" t="inlineStr">
        <is>
          <t>Critical</t>
        </is>
      </c>
      <c r="M169" s="13" t="inlineStr">
        <is>
          <t>Not Executed</t>
        </is>
      </c>
      <c r="N169" s="12" t="inlineStr">
        <is>
          <t>Generated baseline case for Functional</t>
        </is>
      </c>
    </row>
    <row r="170" ht="36" customHeight="1">
      <c r="A170" s="11" t="inlineStr">
        <is>
          <t>FUN-169</t>
        </is>
      </c>
      <c r="B170" s="12" t="inlineStr">
        <is>
          <t>Orders</t>
        </is>
      </c>
      <c r="C170" s="12" t="inlineStr">
        <is>
          <t>Verify reactive state listener callbacks and UI rebuilds for Orders</t>
        </is>
      </c>
      <c r="D170" s="12" t="inlineStr">
        <is>
          <t>Functional - Orders - Verify reactive state listener callbacks and UI rebuilds (#169)</t>
        </is>
      </c>
      <c r="E170" s="12" t="inlineStr">
        <is>
          <t>Ensure Orders module satisfies quality criteria for Functional category.</t>
        </is>
      </c>
      <c r="F170" s="12" t="inlineStr">
        <is>
          <t>Test environment active, NutriFit app launched on local test setup for Orders.</t>
        </is>
      </c>
      <c r="G170" s="12" t="inlineStr">
        <is>
          <t>1. Open NutriFit app on target setup.
2. Navigate to Orders screen.
3. Mutate state property in Provider model, count listener callbacks triggered.
4. Validate assertions.</t>
        </is>
      </c>
      <c r="H170" s="12" t="inlineStr">
        <is>
          <t>Module: Orders, Setup: Local Host, Detail: Provider notify: Variant #169 (Orders)</t>
        </is>
      </c>
      <c r="I170" s="12" t="inlineStr">
        <is>
          <t>Listeners receive notification and rebuild bound UI components once. for module Orders.</t>
        </is>
      </c>
      <c r="J170" s="12" t="inlineStr">
        <is>
          <t>Pending Execution</t>
        </is>
      </c>
      <c r="K170" s="11" t="inlineStr">
        <is>
          <t>Medium</t>
        </is>
      </c>
      <c r="L170" s="11" t="inlineStr">
        <is>
          <t>Moderate</t>
        </is>
      </c>
      <c r="M170" s="13" t="inlineStr">
        <is>
          <t>Not Executed</t>
        </is>
      </c>
      <c r="N170" s="12" t="inlineStr">
        <is>
          <t>Generated baseline case for Functional</t>
        </is>
      </c>
    </row>
    <row r="171" ht="36" customHeight="1">
      <c r="A171" s="11" t="inlineStr">
        <is>
          <t>FUN-170</t>
        </is>
      </c>
      <c r="B171" s="12" t="inlineStr">
        <is>
          <t>Profile</t>
        </is>
      </c>
      <c r="C171" s="12" t="inlineStr">
        <is>
          <t>Verify authorization guard rules and permission checks for Profile</t>
        </is>
      </c>
      <c r="D171" s="12" t="inlineStr">
        <is>
          <t>Functional - Profile - Verify authorization guard rules and permission checks (#170)</t>
        </is>
      </c>
      <c r="E171" s="12" t="inlineStr">
        <is>
          <t>Ensure Profile module satisfies quality criteria for Functional category.</t>
        </is>
      </c>
      <c r="F171" s="12" t="inlineStr">
        <is>
          <t>Test environment active, NutriFit app launched on local test setup for Profile.</t>
        </is>
      </c>
      <c r="G171" s="12" t="inlineStr">
        <is>
          <t>1. Open NutriFit app on target setup.
2. Navigate to Profile screen.
3. Attempt feature access with restricted user permissions.
4. Validate assertions.</t>
        </is>
      </c>
      <c r="H171" s="12" t="inlineStr">
        <is>
          <t>Module: Profile, Setup: Local Host, Detail: Auth role: Variant #170 (Profile)</t>
        </is>
      </c>
      <c r="I171" s="12" t="inlineStr">
        <is>
          <t>Authorization guard blocks access and redirects to permission error screen. for module Profile.</t>
        </is>
      </c>
      <c r="J171" s="12" t="inlineStr">
        <is>
          <t>Pending Execution</t>
        </is>
      </c>
      <c r="K171" s="11" t="inlineStr">
        <is>
          <t>Low</t>
        </is>
      </c>
      <c r="L171" s="11" t="inlineStr">
        <is>
          <t>Major</t>
        </is>
      </c>
      <c r="M171" s="13" t="inlineStr">
        <is>
          <t>Not Executed</t>
        </is>
      </c>
      <c r="N171" s="12" t="inlineStr">
        <is>
          <t>Generated baseline case for Functional</t>
        </is>
      </c>
    </row>
    <row r="172" ht="36" customHeight="1">
      <c r="A172" s="11" t="inlineStr">
        <is>
          <t>FUN-171</t>
        </is>
      </c>
      <c r="B172" s="12" t="inlineStr">
        <is>
          <t>Notifications</t>
        </is>
      </c>
      <c r="C172" s="12" t="inlineStr">
        <is>
          <t>Verify component logic and state mutation functions for Notifications</t>
        </is>
      </c>
      <c r="D172" s="12" t="inlineStr">
        <is>
          <t>Functional - Notifications - Verify component logic and state mutation functions (#171)</t>
        </is>
      </c>
      <c r="E172" s="12" t="inlineStr">
        <is>
          <t>Ensure Notifications module satisfies quality criteria for Functional category.</t>
        </is>
      </c>
      <c r="F172" s="12" t="inlineStr">
        <is>
          <t>Test environment active, NutriFit app launched on local test setup for Notifications.</t>
        </is>
      </c>
      <c r="G172" s="12" t="inlineStr">
        <is>
          <t>1. Open NutriFit app on target setup.
2. Navigate to Notifications screen.
3. Invoke component function with test parameters, observe return values and side effects.
4. Validate assertions.</t>
        </is>
      </c>
      <c r="H172" s="12" t="inlineStr">
        <is>
          <t>Module: Notifications, Setup: Local Host, Detail: Function params: Variant #171 (Notifications)</t>
        </is>
      </c>
      <c r="I172" s="12" t="inlineStr">
        <is>
          <t>Function executes logic accurately and updates internal state correctly. for module Notifications.</t>
        </is>
      </c>
      <c r="J172" s="12" t="inlineStr">
        <is>
          <t>Pending Execution</t>
        </is>
      </c>
      <c r="K172" s="11" t="inlineStr">
        <is>
          <t>High</t>
        </is>
      </c>
      <c r="L172" s="11" t="inlineStr">
        <is>
          <t>Moderate</t>
        </is>
      </c>
      <c r="M172" s="13" t="inlineStr">
        <is>
          <t>Not Executed</t>
        </is>
      </c>
      <c r="N172" s="12" t="inlineStr">
        <is>
          <t>Generated baseline case for Functional</t>
        </is>
      </c>
    </row>
    <row r="173" ht="36" customHeight="1">
      <c r="A173" s="11" t="inlineStr">
        <is>
          <t>FUN-172</t>
        </is>
      </c>
      <c r="B173" s="12" t="inlineStr">
        <is>
          <t>Settings</t>
        </is>
      </c>
      <c r="C173" s="12" t="inlineStr">
        <is>
          <t>Verify validation constraints and edge-case handling for Settings</t>
        </is>
      </c>
      <c r="D173" s="12" t="inlineStr">
        <is>
          <t>Functional - Settings - Verify validation constraints and edge-case handling (#172)</t>
        </is>
      </c>
      <c r="E173" s="12" t="inlineStr">
        <is>
          <t>Ensure Settings module satisfies quality criteria for Functional category.</t>
        </is>
      </c>
      <c r="F173" s="12" t="inlineStr">
        <is>
          <t>Test environment active, NutriFit app launched on local test setup for Settings.</t>
        </is>
      </c>
      <c r="G173" s="12" t="inlineStr">
        <is>
          <t>1. Open NutriFit app on target setup.
2. Navigate to Settings screen.
3. Pass boundary, empty, and out-of-bounds inputs to validation handler.
4. Validate assertions.</t>
        </is>
      </c>
      <c r="H173" s="12" t="inlineStr">
        <is>
          <t>Module: Settings, Setup: Local Host, Detail: Edge case input: Variant #172 (Settings)</t>
        </is>
      </c>
      <c r="I173" s="12" t="inlineStr">
        <is>
          <t>Validation rules enforce constraints and return precise error strings. for module Settings.</t>
        </is>
      </c>
      <c r="J173" s="12" t="inlineStr">
        <is>
          <t>Pending Execution</t>
        </is>
      </c>
      <c r="K173" s="11" t="inlineStr">
        <is>
          <t>Medium</t>
        </is>
      </c>
      <c r="L173" s="11" t="inlineStr">
        <is>
          <t>Major</t>
        </is>
      </c>
      <c r="M173" s="13" t="inlineStr">
        <is>
          <t>Not Executed</t>
        </is>
      </c>
      <c r="N173" s="12" t="inlineStr">
        <is>
          <t>Generated baseline case for Functional</t>
        </is>
      </c>
    </row>
    <row r="174" ht="36" customHeight="1">
      <c r="A174" s="11" t="inlineStr">
        <is>
          <t>FUN-173</t>
        </is>
      </c>
      <c r="B174" s="12" t="inlineStr">
        <is>
          <t>Localization</t>
        </is>
      </c>
      <c r="C174" s="12" t="inlineStr">
        <is>
          <t>Verify asynchronous service calls and Futures resolution for Localization</t>
        </is>
      </c>
      <c r="D174" s="12" t="inlineStr">
        <is>
          <t>Functional - Localization - Verify asynchronous service calls and Futures resolution (#173)</t>
        </is>
      </c>
      <c r="E174" s="12" t="inlineStr">
        <is>
          <t>Ensure Localization module satisfies quality criteria for Functional category.</t>
        </is>
      </c>
      <c r="F174" s="12" t="inlineStr">
        <is>
          <t>Test environment active, NutriFit app launched on local test setup for Localization.</t>
        </is>
      </c>
      <c r="G174" s="12" t="inlineStr">
        <is>
          <t>1. Open NutriFit app on target setup.
2. Navigate to Localization screen.
3. Execute async service method, await Future completion, parse response model.
4. Validate assertions.</t>
        </is>
      </c>
      <c r="H174" s="12" t="inlineStr">
        <is>
          <t>Module: Localization, Setup: Local Host, Detail: Async payload: Variant #173 (Localization)</t>
        </is>
      </c>
      <c r="I174" s="12" t="inlineStr">
        <is>
          <t>Service parses JSON response cleanly into domain model instance. for module Localization.</t>
        </is>
      </c>
      <c r="J174" s="12" t="inlineStr">
        <is>
          <t>Pending Execution</t>
        </is>
      </c>
      <c r="K174" s="11" t="inlineStr">
        <is>
          <t>Medium</t>
        </is>
      </c>
      <c r="L174" s="11" t="inlineStr">
        <is>
          <t>Moderate</t>
        </is>
      </c>
      <c r="M174" s="13" t="inlineStr">
        <is>
          <t>Not Executed</t>
        </is>
      </c>
      <c r="N174" s="12" t="inlineStr">
        <is>
          <t>Generated baseline case for Functional</t>
        </is>
      </c>
    </row>
    <row r="175" ht="36" customHeight="1">
      <c r="A175" s="11" t="inlineStr">
        <is>
          <t>FUN-174</t>
        </is>
      </c>
      <c r="B175" s="12" t="inlineStr">
        <is>
          <t>Supabase Integration</t>
        </is>
      </c>
      <c r="C175" s="12" t="inlineStr">
        <is>
          <t>Verify reactive state listener callbacks and UI rebuilds for Supabase Integration</t>
        </is>
      </c>
      <c r="D175" s="12" t="inlineStr">
        <is>
          <t>Functional - Supabase Integration - Verify reactive state listener callbacks and UI rebuilds (#174)</t>
        </is>
      </c>
      <c r="E175" s="12" t="inlineStr">
        <is>
          <t>Ensure Supabase Integration module satisfies quality criteria for Functional category.</t>
        </is>
      </c>
      <c r="F175" s="12" t="inlineStr">
        <is>
          <t>Test environment active, NutriFit app launched on local test setup for Supabase Integration.</t>
        </is>
      </c>
      <c r="G175" s="12" t="inlineStr">
        <is>
          <t>1. Open NutriFit app on target setup.
2. Navigate to Supabase Integration screen.
3. Mutate state property in Provider model, count listener callbacks triggered.
4. Validate assertions.</t>
        </is>
      </c>
      <c r="H175" s="12" t="inlineStr">
        <is>
          <t>Module: Supabase Integration, Setup: Local Host, Detail: Provider notify: Variant #174 (Supabase Integration)</t>
        </is>
      </c>
      <c r="I175" s="12" t="inlineStr">
        <is>
          <t>Listeners receive notification and rebuild bound UI components once. for module Supabase Integration.</t>
        </is>
      </c>
      <c r="J175" s="12" t="inlineStr">
        <is>
          <t>Pending Execution</t>
        </is>
      </c>
      <c r="K175" s="11" t="inlineStr">
        <is>
          <t>High</t>
        </is>
      </c>
      <c r="L175" s="11" t="inlineStr">
        <is>
          <t>Major</t>
        </is>
      </c>
      <c r="M175" s="13" t="inlineStr">
        <is>
          <t>Not Executed</t>
        </is>
      </c>
      <c r="N175" s="12" t="inlineStr">
        <is>
          <t>Generated baseline case for Functional</t>
        </is>
      </c>
    </row>
    <row r="176" ht="36" customHeight="1">
      <c r="A176" s="11" t="inlineStr">
        <is>
          <t>FUN-175</t>
        </is>
      </c>
      <c r="B176" s="12" t="inlineStr">
        <is>
          <t>Responsive Web</t>
        </is>
      </c>
      <c r="C176" s="12" t="inlineStr">
        <is>
          <t>Verify authorization guard rules and permission checks for Responsive Web</t>
        </is>
      </c>
      <c r="D176" s="12" t="inlineStr">
        <is>
          <t>Functional - Responsive Web - Verify authorization guard rules and permission checks (#175)</t>
        </is>
      </c>
      <c r="E176" s="12" t="inlineStr">
        <is>
          <t>Ensure Responsive Web module satisfies quality criteria for Functional category.</t>
        </is>
      </c>
      <c r="F176" s="12" t="inlineStr">
        <is>
          <t>Test environment active, NutriFit app launched on local test setup for Responsive Web.</t>
        </is>
      </c>
      <c r="G176" s="12" t="inlineStr">
        <is>
          <t>1. Open NutriFit app on target setup.
2. Navigate to Responsive Web screen.
3. Attempt feature access with restricted user permissions.
4. Validate assertions.</t>
        </is>
      </c>
      <c r="H176" s="12" t="inlineStr">
        <is>
          <t>Module: Responsive Web, Setup: Local Host, Detail: Auth role: Variant #175 (Responsive Web)</t>
        </is>
      </c>
      <c r="I176" s="12" t="inlineStr">
        <is>
          <t>Authorization guard blocks access and redirects to permission error screen. for module Responsive Web.</t>
        </is>
      </c>
      <c r="J176" s="12" t="inlineStr">
        <is>
          <t>Pending Execution</t>
        </is>
      </c>
      <c r="K176" s="11" t="inlineStr">
        <is>
          <t>Low</t>
        </is>
      </c>
      <c r="L176" s="11" t="inlineStr">
        <is>
          <t>Critical</t>
        </is>
      </c>
      <c r="M176" s="13" t="inlineStr">
        <is>
          <t>Not Executed</t>
        </is>
      </c>
      <c r="N176" s="12" t="inlineStr">
        <is>
          <t>Generated baseline case for Functional</t>
        </is>
      </c>
    </row>
    <row r="177" ht="36" customHeight="1">
      <c r="A177" s="11" t="inlineStr">
        <is>
          <t>FUN-176</t>
        </is>
      </c>
      <c r="B177" s="12" t="inlineStr">
        <is>
          <t>Android UI</t>
        </is>
      </c>
      <c r="C177" s="12" t="inlineStr">
        <is>
          <t>Verify component logic and state mutation functions for Android UI</t>
        </is>
      </c>
      <c r="D177" s="12" t="inlineStr">
        <is>
          <t>Functional - Android UI - Verify component logic and state mutation functions (#176)</t>
        </is>
      </c>
      <c r="E177" s="12" t="inlineStr">
        <is>
          <t>Ensure Android UI module satisfies quality criteria for Functional category.</t>
        </is>
      </c>
      <c r="F177" s="12" t="inlineStr">
        <is>
          <t>Test environment active, NutriFit app launched on local test setup for Android UI.</t>
        </is>
      </c>
      <c r="G177" s="12" t="inlineStr">
        <is>
          <t>1. Open NutriFit app on target setup.
2. Navigate to Android UI screen.
3. Invoke component function with test parameters, observe return values and side effects.
4. Validate assertions.</t>
        </is>
      </c>
      <c r="H177" s="12" t="inlineStr">
        <is>
          <t>Module: Android UI, Setup: Local Host, Detail: Function params: Variant #176 (Android UI)</t>
        </is>
      </c>
      <c r="I177" s="12" t="inlineStr">
        <is>
          <t>Function executes logic accurately and updates internal state correctly. for module Android UI.</t>
        </is>
      </c>
      <c r="J177" s="12" t="inlineStr">
        <is>
          <t>Pending Execution</t>
        </is>
      </c>
      <c r="K177" s="11" t="inlineStr">
        <is>
          <t>Medium</t>
        </is>
      </c>
      <c r="L177" s="11" t="inlineStr">
        <is>
          <t>Major</t>
        </is>
      </c>
      <c r="M177" s="13" t="inlineStr">
        <is>
          <t>Not Executed</t>
        </is>
      </c>
      <c r="N177" s="12" t="inlineStr">
        <is>
          <t>Generated baseline case for Functional</t>
        </is>
      </c>
    </row>
    <row r="178" ht="36" customHeight="1">
      <c r="A178" s="11" t="inlineStr">
        <is>
          <t>FUN-177</t>
        </is>
      </c>
      <c r="B178" s="12" t="inlineStr">
        <is>
          <t>Authentication</t>
        </is>
      </c>
      <c r="C178" s="12" t="inlineStr">
        <is>
          <t>Verify validation constraints and edge-case handling for Authentication</t>
        </is>
      </c>
      <c r="D178" s="12" t="inlineStr">
        <is>
          <t>Functional - Authentication - Verify validation constraints and edge-case handling (#177)</t>
        </is>
      </c>
      <c r="E178" s="12" t="inlineStr">
        <is>
          <t>Ensure Authentication module satisfies quality criteria for Functional category.</t>
        </is>
      </c>
      <c r="F178" s="12" t="inlineStr">
        <is>
          <t>Test environment active, NutriFit app launched on local test setup for Authentication.</t>
        </is>
      </c>
      <c r="G178" s="12" t="inlineStr">
        <is>
          <t>1. Open NutriFit app on target setup.
2. Navigate to Authentication screen.
3. Pass boundary, empty, and out-of-bounds inputs to validation handler.
4. Validate assertions.</t>
        </is>
      </c>
      <c r="H178" s="12" t="inlineStr">
        <is>
          <t>Module: Authentication, Setup: Local Host, Detail: Edge case input: Variant #177 (Authentication)</t>
        </is>
      </c>
      <c r="I178" s="12" t="inlineStr">
        <is>
          <t>Validation rules enforce constraints and return precise error strings. for module Authentication.</t>
        </is>
      </c>
      <c r="J178" s="12" t="inlineStr">
        <is>
          <t>Pending Execution</t>
        </is>
      </c>
      <c r="K178" s="11" t="inlineStr">
        <is>
          <t>High</t>
        </is>
      </c>
      <c r="L178" s="11" t="inlineStr">
        <is>
          <t>Moderate</t>
        </is>
      </c>
      <c r="M178" s="13" t="inlineStr">
        <is>
          <t>Not Executed</t>
        </is>
      </c>
      <c r="N178" s="12" t="inlineStr">
        <is>
          <t>Generated baseline case for Functional</t>
        </is>
      </c>
    </row>
    <row r="179" ht="36" customHeight="1">
      <c r="A179" s="11" t="inlineStr">
        <is>
          <t>FUN-178</t>
        </is>
      </c>
      <c r="B179" s="12" t="inlineStr">
        <is>
          <t>Dashboard</t>
        </is>
      </c>
      <c r="C179" s="12" t="inlineStr">
        <is>
          <t>Verify asynchronous service calls and Futures resolution for Dashboard</t>
        </is>
      </c>
      <c r="D179" s="12" t="inlineStr">
        <is>
          <t>Functional - Dashboard - Verify asynchronous service calls and Futures resolution (#178)</t>
        </is>
      </c>
      <c r="E179" s="12" t="inlineStr">
        <is>
          <t>Ensure Dashboard module satisfies quality criteria for Functional category.</t>
        </is>
      </c>
      <c r="F179" s="12" t="inlineStr">
        <is>
          <t>Test environment active, NutriFit app launched on local test setup for Dashboard.</t>
        </is>
      </c>
      <c r="G179" s="12" t="inlineStr">
        <is>
          <t>1. Open NutriFit app on target setup.
2. Navigate to Dashboard screen.
3. Execute async service method, await Future completion, parse response model.
4. Validate assertions.</t>
        </is>
      </c>
      <c r="H179" s="12" t="inlineStr">
        <is>
          <t>Module: Dashboard, Setup: Local Host, Detail: Async payload: Variant #178 (Dashboard)</t>
        </is>
      </c>
      <c r="I179" s="12" t="inlineStr">
        <is>
          <t>Service parses JSON response cleanly into domain model instance. for module Dashboard.</t>
        </is>
      </c>
      <c r="J179" s="12" t="inlineStr">
        <is>
          <t>Pending Execution</t>
        </is>
      </c>
      <c r="K179" s="11" t="inlineStr">
        <is>
          <t>Medium</t>
        </is>
      </c>
      <c r="L179" s="11" t="inlineStr">
        <is>
          <t>Major</t>
        </is>
      </c>
      <c r="M179" s="13" t="inlineStr">
        <is>
          <t>Not Executed</t>
        </is>
      </c>
      <c r="N179" s="12" t="inlineStr">
        <is>
          <t>Generated baseline case for Functional</t>
        </is>
      </c>
    </row>
    <row r="180" ht="36" customHeight="1">
      <c r="A180" s="11" t="inlineStr">
        <is>
          <t>FUN-179</t>
        </is>
      </c>
      <c r="B180" s="12" t="inlineStr">
        <is>
          <t>Workout</t>
        </is>
      </c>
      <c r="C180" s="12" t="inlineStr">
        <is>
          <t>Verify reactive state listener callbacks and UI rebuilds for Workout</t>
        </is>
      </c>
      <c r="D180" s="12" t="inlineStr">
        <is>
          <t>Functional - Workout - Verify reactive state listener callbacks and UI rebuilds (#179)</t>
        </is>
      </c>
      <c r="E180" s="12" t="inlineStr">
        <is>
          <t>Ensure Workout module satisfies quality criteria for Functional category.</t>
        </is>
      </c>
      <c r="F180" s="12" t="inlineStr">
        <is>
          <t>Test environment active, NutriFit app launched on local test setup for Workout.</t>
        </is>
      </c>
      <c r="G180" s="12" t="inlineStr">
        <is>
          <t>1. Open NutriFit app on target setup.
2. Navigate to Workout screen.
3. Mutate state property in Provider model, count listener callbacks triggered.
4. Validate assertions.</t>
        </is>
      </c>
      <c r="H180" s="12" t="inlineStr">
        <is>
          <t>Module: Workout, Setup: Local Host, Detail: Provider notify: Variant #179 (Workout)</t>
        </is>
      </c>
      <c r="I180" s="12" t="inlineStr">
        <is>
          <t>Listeners receive notification and rebuild bound UI components once. for module Workout.</t>
        </is>
      </c>
      <c r="J180" s="12" t="inlineStr">
        <is>
          <t>Pending Execution</t>
        </is>
      </c>
      <c r="K180" s="11" t="inlineStr">
        <is>
          <t>Medium</t>
        </is>
      </c>
      <c r="L180" s="11" t="inlineStr">
        <is>
          <t>Moderate</t>
        </is>
      </c>
      <c r="M180" s="13" t="inlineStr">
        <is>
          <t>Not Executed</t>
        </is>
      </c>
      <c r="N180" s="12" t="inlineStr">
        <is>
          <t>Generated baseline case for Functional</t>
        </is>
      </c>
    </row>
    <row r="181" ht="36" customHeight="1">
      <c r="A181" s="11" t="inlineStr">
        <is>
          <t>FUN-180</t>
        </is>
      </c>
      <c r="B181" s="12" t="inlineStr">
        <is>
          <t>Diet</t>
        </is>
      </c>
      <c r="C181" s="12" t="inlineStr">
        <is>
          <t>Verify authorization guard rules and permission checks for Diet</t>
        </is>
      </c>
      <c r="D181" s="12" t="inlineStr">
        <is>
          <t>Functional - Diet - Verify authorization guard rules and permission checks (#180)</t>
        </is>
      </c>
      <c r="E181" s="12" t="inlineStr">
        <is>
          <t>Ensure Diet module satisfies quality criteria for Functional category.</t>
        </is>
      </c>
      <c r="F181" s="12" t="inlineStr">
        <is>
          <t>Test environment active, NutriFit app launched on local test setup for Diet.</t>
        </is>
      </c>
      <c r="G181" s="12" t="inlineStr">
        <is>
          <t>1. Open NutriFit app on target setup.
2. Navigate to Diet screen.
3. Attempt feature access with restricted user permissions.
4. Validate assertions.</t>
        </is>
      </c>
      <c r="H181" s="12" t="inlineStr">
        <is>
          <t>Module: Diet, Setup: Local Host, Detail: Auth role: Variant #180 (Diet)</t>
        </is>
      </c>
      <c r="I181" s="12" t="inlineStr">
        <is>
          <t>Authorization guard blocks access and redirects to permission error screen. for module Diet.</t>
        </is>
      </c>
      <c r="J181" s="12" t="inlineStr">
        <is>
          <t>Pending Execution</t>
        </is>
      </c>
      <c r="K181" s="11" t="inlineStr">
        <is>
          <t>High</t>
        </is>
      </c>
      <c r="L181" s="11" t="inlineStr">
        <is>
          <t>Major</t>
        </is>
      </c>
      <c r="M181" s="13" t="inlineStr">
        <is>
          <t>Not Executed</t>
        </is>
      </c>
      <c r="N181" s="12" t="inlineStr">
        <is>
          <t>Generated baseline case for Functional</t>
        </is>
      </c>
    </row>
    <row r="182" ht="36" customHeight="1">
      <c r="A182" s="11" t="inlineStr">
        <is>
          <t>FUN-181</t>
        </is>
      </c>
      <c r="B182" s="12" t="inlineStr">
        <is>
          <t>Budget Diet</t>
        </is>
      </c>
      <c r="C182" s="12" t="inlineStr">
        <is>
          <t>Verify component logic and state mutation functions for Budget Diet</t>
        </is>
      </c>
      <c r="D182" s="12" t="inlineStr">
        <is>
          <t>Functional - Budget Diet - Verify component logic and state mutation functions (#181)</t>
        </is>
      </c>
      <c r="E182" s="12" t="inlineStr">
        <is>
          <t>Ensure Budget Diet module satisfies quality criteria for Functional category.</t>
        </is>
      </c>
      <c r="F182" s="12" t="inlineStr">
        <is>
          <t>Test environment active, NutriFit app launched on local test setup for Budget Diet.</t>
        </is>
      </c>
      <c r="G182" s="12" t="inlineStr">
        <is>
          <t>1. Open NutriFit app on target setup.
2. Navigate to Budget Diet screen.
3. Invoke component function with test parameters, observe return values and side effects.
4. Validate assertions.</t>
        </is>
      </c>
      <c r="H182" s="12" t="inlineStr">
        <is>
          <t>Module: Budget Diet, Setup: Local Host, Detail: Function params: Variant #181 (Budget Diet)</t>
        </is>
      </c>
      <c r="I182" s="12" t="inlineStr">
        <is>
          <t>Function executes logic accurately and updates internal state correctly. for module Budget Diet.</t>
        </is>
      </c>
      <c r="J182" s="12" t="inlineStr">
        <is>
          <t>Pending Execution</t>
        </is>
      </c>
      <c r="K182" s="11" t="inlineStr">
        <is>
          <t>Medium</t>
        </is>
      </c>
      <c r="L182" s="11" t="inlineStr">
        <is>
          <t>Moderate</t>
        </is>
      </c>
      <c r="M182" s="13" t="inlineStr">
        <is>
          <t>Not Executed</t>
        </is>
      </c>
      <c r="N182" s="12" t="inlineStr">
        <is>
          <t>Generated baseline case for Functional</t>
        </is>
      </c>
    </row>
    <row r="183" ht="36" customHeight="1">
      <c r="A183" s="11" t="inlineStr">
        <is>
          <t>FUN-182</t>
        </is>
      </c>
      <c r="B183" s="12" t="inlineStr">
        <is>
          <t>Stretching</t>
        </is>
      </c>
      <c r="C183" s="12" t="inlineStr">
        <is>
          <t>Verify validation constraints and edge-case handling for Stretching</t>
        </is>
      </c>
      <c r="D183" s="12" t="inlineStr">
        <is>
          <t>Functional - Stretching - Verify validation constraints and edge-case handling (#182)</t>
        </is>
      </c>
      <c r="E183" s="12" t="inlineStr">
        <is>
          <t>Ensure Stretching module satisfies quality criteria for Functional category.</t>
        </is>
      </c>
      <c r="F183" s="12" t="inlineStr">
        <is>
          <t>Test environment active, NutriFit app launched on local test setup for Stretching.</t>
        </is>
      </c>
      <c r="G183" s="12" t="inlineStr">
        <is>
          <t>1. Open NutriFit app on target setup.
2. Navigate to Stretching screen.
3. Pass boundary, empty, and out-of-bounds inputs to validation handler.
4. Validate assertions.</t>
        </is>
      </c>
      <c r="H183" s="12" t="inlineStr">
        <is>
          <t>Module: Stretching, Setup: Local Host, Detail: Edge case input: Variant #182 (Stretching)</t>
        </is>
      </c>
      <c r="I183" s="12" t="inlineStr">
        <is>
          <t>Validation rules enforce constraints and return precise error strings. for module Stretching.</t>
        </is>
      </c>
      <c r="J183" s="12" t="inlineStr">
        <is>
          <t>Pending Execution</t>
        </is>
      </c>
      <c r="K183" s="11" t="inlineStr">
        <is>
          <t>Medium</t>
        </is>
      </c>
      <c r="L183" s="11" t="inlineStr">
        <is>
          <t>Critical</t>
        </is>
      </c>
      <c r="M183" s="13" t="inlineStr">
        <is>
          <t>Not Executed</t>
        </is>
      </c>
      <c r="N183" s="12" t="inlineStr">
        <is>
          <t>Generated baseline case for Functional</t>
        </is>
      </c>
    </row>
    <row r="184" ht="36" customHeight="1">
      <c r="A184" s="11" t="inlineStr">
        <is>
          <t>FUN-183</t>
        </is>
      </c>
      <c r="B184" s="12" t="inlineStr">
        <is>
          <t>Water Tracker</t>
        </is>
      </c>
      <c r="C184" s="12" t="inlineStr">
        <is>
          <t>Verify asynchronous service calls and Futures resolution for Water Tracker</t>
        </is>
      </c>
      <c r="D184" s="12" t="inlineStr">
        <is>
          <t>Functional - Water Tracker - Verify asynchronous service calls and Futures resolution (#183)</t>
        </is>
      </c>
      <c r="E184" s="12" t="inlineStr">
        <is>
          <t>Ensure Water Tracker module satisfies quality criteria for Functional category.</t>
        </is>
      </c>
      <c r="F184" s="12" t="inlineStr">
        <is>
          <t>Test environment active, NutriFit app launched on local test setup for Water Tracker.</t>
        </is>
      </c>
      <c r="G184" s="12" t="inlineStr">
        <is>
          <t>1. Open NutriFit app on target setup.
2. Navigate to Water Tracker screen.
3. Execute async service method, await Future completion, parse response model.
4. Validate assertions.</t>
        </is>
      </c>
      <c r="H184" s="12" t="inlineStr">
        <is>
          <t>Module: Water Tracker, Setup: Local Host, Detail: Async payload: Variant #183 (Water Tracker)</t>
        </is>
      </c>
      <c r="I184" s="12" t="inlineStr">
        <is>
          <t>Service parses JSON response cleanly into domain model instance. for module Water Tracker.</t>
        </is>
      </c>
      <c r="J184" s="12" t="inlineStr">
        <is>
          <t>Pending Execution</t>
        </is>
      </c>
      <c r="K184" s="11" t="inlineStr">
        <is>
          <t>High</t>
        </is>
      </c>
      <c r="L184" s="11" t="inlineStr">
        <is>
          <t>Moderate</t>
        </is>
      </c>
      <c r="M184" s="13" t="inlineStr">
        <is>
          <t>Not Executed</t>
        </is>
      </c>
      <c r="N184" s="12" t="inlineStr">
        <is>
          <t>Generated baseline case for Functional</t>
        </is>
      </c>
    </row>
    <row r="185" ht="36" customHeight="1">
      <c r="A185" s="11" t="inlineStr">
        <is>
          <t>FUN-184</t>
        </is>
      </c>
      <c r="B185" s="12" t="inlineStr">
        <is>
          <t>Sleep Tracker</t>
        </is>
      </c>
      <c r="C185" s="12" t="inlineStr">
        <is>
          <t>Verify reactive state listener callbacks and UI rebuilds for Sleep Tracker</t>
        </is>
      </c>
      <c r="D185" s="12" t="inlineStr">
        <is>
          <t>Functional - Sleep Tracker - Verify reactive state listener callbacks and UI rebuilds (#184)</t>
        </is>
      </c>
      <c r="E185" s="12" t="inlineStr">
        <is>
          <t>Ensure Sleep Tracker module satisfies quality criteria for Functional category.</t>
        </is>
      </c>
      <c r="F185" s="12" t="inlineStr">
        <is>
          <t>Test environment active, NutriFit app launched on local test setup for Sleep Tracker.</t>
        </is>
      </c>
      <c r="G185" s="12" t="inlineStr">
        <is>
          <t>1. Open NutriFit app on target setup.
2. Navigate to Sleep Tracker screen.
3. Mutate state property in Provider model, count listener callbacks triggered.
4. Validate assertions.</t>
        </is>
      </c>
      <c r="H185" s="12" t="inlineStr">
        <is>
          <t>Module: Sleep Tracker, Setup: Local Host, Detail: Provider notify: Variant #184 (Sleep Tracker)</t>
        </is>
      </c>
      <c r="I185" s="12" t="inlineStr">
        <is>
          <t>Listeners receive notification and rebuild bound UI components once. for module Sleep Tracker.</t>
        </is>
      </c>
      <c r="J185" s="12" t="inlineStr">
        <is>
          <t>Pending Execution</t>
        </is>
      </c>
      <c r="K185" s="11" t="inlineStr">
        <is>
          <t>Medium</t>
        </is>
      </c>
      <c r="L185" s="11" t="inlineStr">
        <is>
          <t>Major</t>
        </is>
      </c>
      <c r="M185" s="13" t="inlineStr">
        <is>
          <t>Not Executed</t>
        </is>
      </c>
      <c r="N185" s="12" t="inlineStr">
        <is>
          <t>Generated baseline case for Functional</t>
        </is>
      </c>
    </row>
    <row r="186" ht="36" customHeight="1">
      <c r="A186" s="11" t="inlineStr">
        <is>
          <t>FUN-185</t>
        </is>
      </c>
      <c r="B186" s="12" t="inlineStr">
        <is>
          <t>Step Tracker</t>
        </is>
      </c>
      <c r="C186" s="12" t="inlineStr">
        <is>
          <t>Verify authorization guard rules and permission checks for Step Tracker</t>
        </is>
      </c>
      <c r="D186" s="12" t="inlineStr">
        <is>
          <t>Functional - Step Tracker - Verify authorization guard rules and permission checks (#185)</t>
        </is>
      </c>
      <c r="E186" s="12" t="inlineStr">
        <is>
          <t>Ensure Step Tracker module satisfies quality criteria for Functional category.</t>
        </is>
      </c>
      <c r="F186" s="12" t="inlineStr">
        <is>
          <t>Test environment active, NutriFit app launched on local test setup for Step Tracker.</t>
        </is>
      </c>
      <c r="G186" s="12" t="inlineStr">
        <is>
          <t>1. Open NutriFit app on target setup.
2. Navigate to Step Tracker screen.
3. Attempt feature access with restricted user permissions.
4. Validate assertions.</t>
        </is>
      </c>
      <c r="H186" s="12" t="inlineStr">
        <is>
          <t>Module: Step Tracker, Setup: Local Host, Detail: Auth role: Variant #185 (Step Tracker)</t>
        </is>
      </c>
      <c r="I186" s="12" t="inlineStr">
        <is>
          <t>Authorization guard blocks access and redirects to permission error screen. for module Step Tracker.</t>
        </is>
      </c>
      <c r="J186" s="12" t="inlineStr">
        <is>
          <t>Pending Execution</t>
        </is>
      </c>
      <c r="K186" s="11" t="inlineStr">
        <is>
          <t>Low</t>
        </is>
      </c>
      <c r="L186" s="11" t="inlineStr">
        <is>
          <t>Moderate</t>
        </is>
      </c>
      <c r="M186" s="13" t="inlineStr">
        <is>
          <t>Not Executed</t>
        </is>
      </c>
      <c r="N186" s="12" t="inlineStr">
        <is>
          <t>Generated baseline case for Functional</t>
        </is>
      </c>
    </row>
    <row r="187" ht="36" customHeight="1">
      <c r="A187" s="11" t="inlineStr">
        <is>
          <t>FUN-186</t>
        </is>
      </c>
      <c r="B187" s="12" t="inlineStr">
        <is>
          <t>AI Trainer</t>
        </is>
      </c>
      <c r="C187" s="12" t="inlineStr">
        <is>
          <t>Verify component logic and state mutation functions for AI Trainer</t>
        </is>
      </c>
      <c r="D187" s="12" t="inlineStr">
        <is>
          <t>Functional - AI Trainer - Verify component logic and state mutation functions (#186)</t>
        </is>
      </c>
      <c r="E187" s="12" t="inlineStr">
        <is>
          <t>Ensure AI Trainer module satisfies quality criteria for Functional category.</t>
        </is>
      </c>
      <c r="F187" s="12" t="inlineStr">
        <is>
          <t>Test environment active, NutriFit app launched on local test setup for AI Trainer.</t>
        </is>
      </c>
      <c r="G187" s="12" t="inlineStr">
        <is>
          <t>1. Open NutriFit app on target setup.
2. Navigate to AI Trainer screen.
3. Invoke component function with test parameters, observe return values and side effects.
4. Validate assertions.</t>
        </is>
      </c>
      <c r="H187" s="12" t="inlineStr">
        <is>
          <t>Module: AI Trainer, Setup: Local Host, Detail: Function params: Variant #186 (AI Trainer)</t>
        </is>
      </c>
      <c r="I187" s="12" t="inlineStr">
        <is>
          <t>Function executes logic accurately and updates internal state correctly. for module AI Trainer.</t>
        </is>
      </c>
      <c r="J187" s="12" t="inlineStr">
        <is>
          <t>Pending Execution</t>
        </is>
      </c>
      <c r="K187" s="11" t="inlineStr">
        <is>
          <t>High</t>
        </is>
      </c>
      <c r="L187" s="11" t="inlineStr">
        <is>
          <t>Major</t>
        </is>
      </c>
      <c r="M187" s="13" t="inlineStr">
        <is>
          <t>Not Executed</t>
        </is>
      </c>
      <c r="N187" s="12" t="inlineStr">
        <is>
          <t>Generated baseline case for Functional</t>
        </is>
      </c>
    </row>
    <row r="188" ht="36" customHeight="1">
      <c r="A188" s="11" t="inlineStr">
        <is>
          <t>FUN-187</t>
        </is>
      </c>
      <c r="B188" s="12" t="inlineStr">
        <is>
          <t>Shop</t>
        </is>
      </c>
      <c r="C188" s="12" t="inlineStr">
        <is>
          <t>Verify validation constraints and edge-case handling for Shop</t>
        </is>
      </c>
      <c r="D188" s="12" t="inlineStr">
        <is>
          <t>Functional - Shop - Verify validation constraints and edge-case handling (#187)</t>
        </is>
      </c>
      <c r="E188" s="12" t="inlineStr">
        <is>
          <t>Ensure Shop module satisfies quality criteria for Functional category.</t>
        </is>
      </c>
      <c r="F188" s="12" t="inlineStr">
        <is>
          <t>Test environment active, NutriFit app launched on local test setup for Shop.</t>
        </is>
      </c>
      <c r="G188" s="12" t="inlineStr">
        <is>
          <t>1. Open NutriFit app on target setup.
2. Navigate to Shop screen.
3. Pass boundary, empty, and out-of-bounds inputs to validation handler.
4. Validate assertions.</t>
        </is>
      </c>
      <c r="H188" s="12" t="inlineStr">
        <is>
          <t>Module: Shop, Setup: Local Host, Detail: Edge case input: Variant #187 (Shop)</t>
        </is>
      </c>
      <c r="I188" s="12" t="inlineStr">
        <is>
          <t>Validation rules enforce constraints and return precise error strings. for module Shop.</t>
        </is>
      </c>
      <c r="J188" s="12" t="inlineStr">
        <is>
          <t>Pending Execution</t>
        </is>
      </c>
      <c r="K188" s="11" t="inlineStr">
        <is>
          <t>Medium</t>
        </is>
      </c>
      <c r="L188" s="11" t="inlineStr">
        <is>
          <t>Moderate</t>
        </is>
      </c>
      <c r="M188" s="13" t="inlineStr">
        <is>
          <t>Not Executed</t>
        </is>
      </c>
      <c r="N188" s="12" t="inlineStr">
        <is>
          <t>Generated baseline case for Functional</t>
        </is>
      </c>
    </row>
    <row r="189" ht="36" customHeight="1">
      <c r="A189" s="11" t="inlineStr">
        <is>
          <t>FUN-188</t>
        </is>
      </c>
      <c r="B189" s="12" t="inlineStr">
        <is>
          <t>Cart</t>
        </is>
      </c>
      <c r="C189" s="12" t="inlineStr">
        <is>
          <t>Verify asynchronous service calls and Futures resolution for Cart</t>
        </is>
      </c>
      <c r="D189" s="12" t="inlineStr">
        <is>
          <t>Functional - Cart - Verify asynchronous service calls and Futures resolution (#188)</t>
        </is>
      </c>
      <c r="E189" s="12" t="inlineStr">
        <is>
          <t>Ensure Cart module satisfies quality criteria for Functional category.</t>
        </is>
      </c>
      <c r="F189" s="12" t="inlineStr">
        <is>
          <t>Test environment active, NutriFit app launched on local test setup for Cart.</t>
        </is>
      </c>
      <c r="G189" s="12" t="inlineStr">
        <is>
          <t>1. Open NutriFit app on target setup.
2. Navigate to Cart screen.
3. Execute async service method, await Future completion, parse response model.
4. Validate assertions.</t>
        </is>
      </c>
      <c r="H189" s="12" t="inlineStr">
        <is>
          <t>Module: Cart, Setup: Local Host, Detail: Async payload: Variant #188 (Cart)</t>
        </is>
      </c>
      <c r="I189" s="12" t="inlineStr">
        <is>
          <t>Service parses JSON response cleanly into domain model instance. for module Cart.</t>
        </is>
      </c>
      <c r="J189" s="12" t="inlineStr">
        <is>
          <t>Pending Execution</t>
        </is>
      </c>
      <c r="K189" s="11" t="inlineStr">
        <is>
          <t>Medium</t>
        </is>
      </c>
      <c r="L189" s="11" t="inlineStr">
        <is>
          <t>Major</t>
        </is>
      </c>
      <c r="M189" s="13" t="inlineStr">
        <is>
          <t>Not Executed</t>
        </is>
      </c>
      <c r="N189" s="12" t="inlineStr">
        <is>
          <t>Generated baseline case for Functional</t>
        </is>
      </c>
    </row>
    <row r="190" ht="36" customHeight="1">
      <c r="A190" s="11" t="inlineStr">
        <is>
          <t>FUN-189</t>
        </is>
      </c>
      <c r="B190" s="12" t="inlineStr">
        <is>
          <t>Checkout</t>
        </is>
      </c>
      <c r="C190" s="12" t="inlineStr">
        <is>
          <t>Verify reactive state listener callbacks and UI rebuilds for Checkout</t>
        </is>
      </c>
      <c r="D190" s="12" t="inlineStr">
        <is>
          <t>Functional - Checkout - Verify reactive state listener callbacks and UI rebuilds (#189)</t>
        </is>
      </c>
      <c r="E190" s="12" t="inlineStr">
        <is>
          <t>Ensure Checkout module satisfies quality criteria for Functional category.</t>
        </is>
      </c>
      <c r="F190" s="12" t="inlineStr">
        <is>
          <t>Test environment active, NutriFit app launched on local test setup for Checkout.</t>
        </is>
      </c>
      <c r="G190" s="12" t="inlineStr">
        <is>
          <t>1. Open NutriFit app on target setup.
2. Navigate to Checkout screen.
3. Mutate state property in Provider model, count listener callbacks triggered.
4. Validate assertions.</t>
        </is>
      </c>
      <c r="H190" s="12" t="inlineStr">
        <is>
          <t>Module: Checkout, Setup: Local Host, Detail: Provider notify: Variant #189 (Checkout)</t>
        </is>
      </c>
      <c r="I190" s="12" t="inlineStr">
        <is>
          <t>Listeners receive notification and rebuild bound UI components once. for module Checkout.</t>
        </is>
      </c>
      <c r="J190" s="12" t="inlineStr">
        <is>
          <t>Pending Execution</t>
        </is>
      </c>
      <c r="K190" s="11" t="inlineStr">
        <is>
          <t>High</t>
        </is>
      </c>
      <c r="L190" s="11" t="inlineStr">
        <is>
          <t>Critical</t>
        </is>
      </c>
      <c r="M190" s="13" t="inlineStr">
        <is>
          <t>Not Executed</t>
        </is>
      </c>
      <c r="N190" s="12" t="inlineStr">
        <is>
          <t>Generated baseline case for Functional</t>
        </is>
      </c>
    </row>
    <row r="191" ht="36" customHeight="1">
      <c r="A191" s="11" t="inlineStr">
        <is>
          <t>FUN-190</t>
        </is>
      </c>
      <c r="B191" s="12" t="inlineStr">
        <is>
          <t>Address</t>
        </is>
      </c>
      <c r="C191" s="12" t="inlineStr">
        <is>
          <t>Verify authorization guard rules and permission checks for Address</t>
        </is>
      </c>
      <c r="D191" s="12" t="inlineStr">
        <is>
          <t>Functional - Address - Verify authorization guard rules and permission checks (#190)</t>
        </is>
      </c>
      <c r="E191" s="12" t="inlineStr">
        <is>
          <t>Ensure Address module satisfies quality criteria for Functional category.</t>
        </is>
      </c>
      <c r="F191" s="12" t="inlineStr">
        <is>
          <t>Test environment active, NutriFit app launched on local test setup for Address.</t>
        </is>
      </c>
      <c r="G191" s="12" t="inlineStr">
        <is>
          <t>1. Open NutriFit app on target setup.
2. Navigate to Address screen.
3. Attempt feature access with restricted user permissions.
4. Validate assertions.</t>
        </is>
      </c>
      <c r="H191" s="12" t="inlineStr">
        <is>
          <t>Module: Address, Setup: Local Host, Detail: Auth role: Variant #190 (Address)</t>
        </is>
      </c>
      <c r="I191" s="12" t="inlineStr">
        <is>
          <t>Authorization guard blocks access and redirects to permission error screen. for module Address.</t>
        </is>
      </c>
      <c r="J191" s="12" t="inlineStr">
        <is>
          <t>Pending Execution</t>
        </is>
      </c>
      <c r="K191" s="11" t="inlineStr">
        <is>
          <t>Low</t>
        </is>
      </c>
      <c r="L191" s="11" t="inlineStr">
        <is>
          <t>Major</t>
        </is>
      </c>
      <c r="M191" s="13" t="inlineStr">
        <is>
          <t>Not Executed</t>
        </is>
      </c>
      <c r="N191" s="12" t="inlineStr">
        <is>
          <t>Generated baseline case for Functional</t>
        </is>
      </c>
    </row>
    <row r="192" ht="36" customHeight="1">
      <c r="A192" s="11" t="inlineStr">
        <is>
          <t>FUN-191</t>
        </is>
      </c>
      <c r="B192" s="12" t="inlineStr">
        <is>
          <t>Orders</t>
        </is>
      </c>
      <c r="C192" s="12" t="inlineStr">
        <is>
          <t>Verify component logic and state mutation functions for Orders</t>
        </is>
      </c>
      <c r="D192" s="12" t="inlineStr">
        <is>
          <t>Functional - Orders - Verify component logic and state mutation functions (#191)</t>
        </is>
      </c>
      <c r="E192" s="12" t="inlineStr">
        <is>
          <t>Ensure Orders module satisfies quality criteria for Functional category.</t>
        </is>
      </c>
      <c r="F192" s="12" t="inlineStr">
        <is>
          <t>Test environment active, NutriFit app launched on local test setup for Orders.</t>
        </is>
      </c>
      <c r="G192" s="12" t="inlineStr">
        <is>
          <t>1. Open NutriFit app on target setup.
2. Navigate to Orders screen.
3. Invoke component function with test parameters, observe return values and side effects.
4. Validate assertions.</t>
        </is>
      </c>
      <c r="H192" s="12" t="inlineStr">
        <is>
          <t>Module: Orders, Setup: Local Host, Detail: Function params: Variant #191 (Orders)</t>
        </is>
      </c>
      <c r="I192" s="12" t="inlineStr">
        <is>
          <t>Function executes logic accurately and updates internal state correctly. for module Orders.</t>
        </is>
      </c>
      <c r="J192" s="12" t="inlineStr">
        <is>
          <t>Pending Execution</t>
        </is>
      </c>
      <c r="K192" s="11" t="inlineStr">
        <is>
          <t>Medium</t>
        </is>
      </c>
      <c r="L192" s="11" t="inlineStr">
        <is>
          <t>Moderate</t>
        </is>
      </c>
      <c r="M192" s="13" t="inlineStr">
        <is>
          <t>Not Executed</t>
        </is>
      </c>
      <c r="N192" s="12" t="inlineStr">
        <is>
          <t>Generated baseline case for Functional</t>
        </is>
      </c>
    </row>
    <row r="193" ht="36" customHeight="1">
      <c r="A193" s="11" t="inlineStr">
        <is>
          <t>FUN-192</t>
        </is>
      </c>
      <c r="B193" s="12" t="inlineStr">
        <is>
          <t>Profile</t>
        </is>
      </c>
      <c r="C193" s="12" t="inlineStr">
        <is>
          <t>Verify validation constraints and edge-case handling for Profile</t>
        </is>
      </c>
      <c r="D193" s="12" t="inlineStr">
        <is>
          <t>Functional - Profile - Verify validation constraints and edge-case handling (#192)</t>
        </is>
      </c>
      <c r="E193" s="12" t="inlineStr">
        <is>
          <t>Ensure Profile module satisfies quality criteria for Functional category.</t>
        </is>
      </c>
      <c r="F193" s="12" t="inlineStr">
        <is>
          <t>Test environment active, NutriFit app launched on local test setup for Profile.</t>
        </is>
      </c>
      <c r="G193" s="12" t="inlineStr">
        <is>
          <t>1. Open NutriFit app on target setup.
2. Navigate to Profile screen.
3. Pass boundary, empty, and out-of-bounds inputs to validation handler.
4. Validate assertions.</t>
        </is>
      </c>
      <c r="H193" s="12" t="inlineStr">
        <is>
          <t>Module: Profile, Setup: Local Host, Detail: Edge case input: Variant #192 (Profile)</t>
        </is>
      </c>
      <c r="I193" s="12" t="inlineStr">
        <is>
          <t>Validation rules enforce constraints and return precise error strings. for module Profile.</t>
        </is>
      </c>
      <c r="J193" s="12" t="inlineStr">
        <is>
          <t>Pending Execution</t>
        </is>
      </c>
      <c r="K193" s="11" t="inlineStr">
        <is>
          <t>High</t>
        </is>
      </c>
      <c r="L193" s="11" t="inlineStr">
        <is>
          <t>Major</t>
        </is>
      </c>
      <c r="M193" s="13" t="inlineStr">
        <is>
          <t>Not Executed</t>
        </is>
      </c>
      <c r="N193" s="12" t="inlineStr">
        <is>
          <t>Generated baseline case for Functional</t>
        </is>
      </c>
    </row>
    <row r="194" ht="36" customHeight="1">
      <c r="A194" s="11" t="inlineStr">
        <is>
          <t>FUN-193</t>
        </is>
      </c>
      <c r="B194" s="12" t="inlineStr">
        <is>
          <t>Notifications</t>
        </is>
      </c>
      <c r="C194" s="12" t="inlineStr">
        <is>
          <t>Verify asynchronous service calls and Futures resolution for Notifications</t>
        </is>
      </c>
      <c r="D194" s="12" t="inlineStr">
        <is>
          <t>Functional - Notifications - Verify asynchronous service calls and Futures resolution (#193)</t>
        </is>
      </c>
      <c r="E194" s="12" t="inlineStr">
        <is>
          <t>Ensure Notifications module satisfies quality criteria for Functional category.</t>
        </is>
      </c>
      <c r="F194" s="12" t="inlineStr">
        <is>
          <t>Test environment active, NutriFit app launched on local test setup for Notifications.</t>
        </is>
      </c>
      <c r="G194" s="12" t="inlineStr">
        <is>
          <t>1. Open NutriFit app on target setup.
2. Navigate to Notifications screen.
3. Execute async service method, await Future completion, parse response model.
4. Validate assertions.</t>
        </is>
      </c>
      <c r="H194" s="12" t="inlineStr">
        <is>
          <t>Module: Notifications, Setup: Local Host, Detail: Async payload: Variant #193 (Notifications)</t>
        </is>
      </c>
      <c r="I194" s="12" t="inlineStr">
        <is>
          <t>Service parses JSON response cleanly into domain model instance. for module Notifications.</t>
        </is>
      </c>
      <c r="J194" s="12" t="inlineStr">
        <is>
          <t>Pending Execution</t>
        </is>
      </c>
      <c r="K194" s="11" t="inlineStr">
        <is>
          <t>Medium</t>
        </is>
      </c>
      <c r="L194" s="11" t="inlineStr">
        <is>
          <t>Moderate</t>
        </is>
      </c>
      <c r="M194" s="13" t="inlineStr">
        <is>
          <t>Not Executed</t>
        </is>
      </c>
      <c r="N194" s="12" t="inlineStr">
        <is>
          <t>Generated baseline case for Functional</t>
        </is>
      </c>
    </row>
    <row r="195" ht="36" customHeight="1">
      <c r="A195" s="11" t="inlineStr">
        <is>
          <t>FUN-194</t>
        </is>
      </c>
      <c r="B195" s="12" t="inlineStr">
        <is>
          <t>Settings</t>
        </is>
      </c>
      <c r="C195" s="12" t="inlineStr">
        <is>
          <t>Verify reactive state listener callbacks and UI rebuilds for Settings</t>
        </is>
      </c>
      <c r="D195" s="12" t="inlineStr">
        <is>
          <t>Functional - Settings - Verify reactive state listener callbacks and UI rebuilds (#194)</t>
        </is>
      </c>
      <c r="E195" s="12" t="inlineStr">
        <is>
          <t>Ensure Settings module satisfies quality criteria for Functional category.</t>
        </is>
      </c>
      <c r="F195" s="12" t="inlineStr">
        <is>
          <t>Test environment active, NutriFit app launched on local test setup for Settings.</t>
        </is>
      </c>
      <c r="G195" s="12" t="inlineStr">
        <is>
          <t>1. Open NutriFit app on target setup.
2. Navigate to Settings screen.
3. Mutate state property in Provider model, count listener callbacks triggered.
4. Validate assertions.</t>
        </is>
      </c>
      <c r="H195" s="12" t="inlineStr">
        <is>
          <t>Module: Settings, Setup: Local Host, Detail: Provider notify: Variant #194 (Settings)</t>
        </is>
      </c>
      <c r="I195" s="12" t="inlineStr">
        <is>
          <t>Listeners receive notification and rebuild bound UI components once. for module Settings.</t>
        </is>
      </c>
      <c r="J195" s="12" t="inlineStr">
        <is>
          <t>Pending Execution</t>
        </is>
      </c>
      <c r="K195" s="11" t="inlineStr">
        <is>
          <t>Medium</t>
        </is>
      </c>
      <c r="L195" s="11" t="inlineStr">
        <is>
          <t>Major</t>
        </is>
      </c>
      <c r="M195" s="13" t="inlineStr">
        <is>
          <t>Not Executed</t>
        </is>
      </c>
      <c r="N195" s="12" t="inlineStr">
        <is>
          <t>Generated baseline case for Functional</t>
        </is>
      </c>
    </row>
    <row r="196" ht="36" customHeight="1">
      <c r="A196" s="11" t="inlineStr">
        <is>
          <t>FUN-195</t>
        </is>
      </c>
      <c r="B196" s="12" t="inlineStr">
        <is>
          <t>Localization</t>
        </is>
      </c>
      <c r="C196" s="12" t="inlineStr">
        <is>
          <t>Verify authorization guard rules and permission checks for Localization</t>
        </is>
      </c>
      <c r="D196" s="12" t="inlineStr">
        <is>
          <t>Functional - Localization - Verify authorization guard rules and permission checks (#195)</t>
        </is>
      </c>
      <c r="E196" s="12" t="inlineStr">
        <is>
          <t>Ensure Localization module satisfies quality criteria for Functional category.</t>
        </is>
      </c>
      <c r="F196" s="12" t="inlineStr">
        <is>
          <t>Test environment active, NutriFit app launched on local test setup for Localization.</t>
        </is>
      </c>
      <c r="G196" s="12" t="inlineStr">
        <is>
          <t>1. Open NutriFit app on target setup.
2. Navigate to Localization screen.
3. Attempt feature access with restricted user permissions.
4. Validate assertions.</t>
        </is>
      </c>
      <c r="H196" s="12" t="inlineStr">
        <is>
          <t>Module: Localization, Setup: Local Host, Detail: Auth role: Variant #195 (Localization)</t>
        </is>
      </c>
      <c r="I196" s="12" t="inlineStr">
        <is>
          <t>Authorization guard blocks access and redirects to permission error screen. for module Localization.</t>
        </is>
      </c>
      <c r="J196" s="12" t="inlineStr">
        <is>
          <t>Pending Execution</t>
        </is>
      </c>
      <c r="K196" s="11" t="inlineStr">
        <is>
          <t>High</t>
        </is>
      </c>
      <c r="L196" s="11" t="inlineStr">
        <is>
          <t>Moderate</t>
        </is>
      </c>
      <c r="M196" s="13" t="inlineStr">
        <is>
          <t>Not Executed</t>
        </is>
      </c>
      <c r="N196" s="12" t="inlineStr">
        <is>
          <t>Generated baseline case for Functional</t>
        </is>
      </c>
    </row>
    <row r="197" ht="36" customHeight="1">
      <c r="A197" s="11" t="inlineStr">
        <is>
          <t>FUN-196</t>
        </is>
      </c>
      <c r="B197" s="12" t="inlineStr">
        <is>
          <t>Supabase Integration</t>
        </is>
      </c>
      <c r="C197" s="12" t="inlineStr">
        <is>
          <t>Verify component logic and state mutation functions for Supabase Integration</t>
        </is>
      </c>
      <c r="D197" s="12" t="inlineStr">
        <is>
          <t>Functional - Supabase Integration - Verify component logic and state mutation functions (#196)</t>
        </is>
      </c>
      <c r="E197" s="12" t="inlineStr">
        <is>
          <t>Ensure Supabase Integration module satisfies quality criteria for Functional category.</t>
        </is>
      </c>
      <c r="F197" s="12" t="inlineStr">
        <is>
          <t>Test environment active, NutriFit app launched on local test setup for Supabase Integration.</t>
        </is>
      </c>
      <c r="G197" s="12" t="inlineStr">
        <is>
          <t>1. Open NutriFit app on target setup.
2. Navigate to Supabase Integration screen.
3. Invoke component function with test parameters, observe return values and side effects.
4. Validate assertions.</t>
        </is>
      </c>
      <c r="H197" s="12" t="inlineStr">
        <is>
          <t>Module: Supabase Integration, Setup: Local Host, Detail: Function params: Variant #196 (Supabase Integration)</t>
        </is>
      </c>
      <c r="I197" s="12" t="inlineStr">
        <is>
          <t>Function executes logic accurately and updates internal state correctly. for module Supabase Integration.</t>
        </is>
      </c>
      <c r="J197" s="12" t="inlineStr">
        <is>
          <t>Pending Execution</t>
        </is>
      </c>
      <c r="K197" s="11" t="inlineStr">
        <is>
          <t>Medium</t>
        </is>
      </c>
      <c r="L197" s="11" t="inlineStr">
        <is>
          <t>Critical</t>
        </is>
      </c>
      <c r="M197" s="13" t="inlineStr">
        <is>
          <t>Not Executed</t>
        </is>
      </c>
      <c r="N197" s="12" t="inlineStr">
        <is>
          <t>Generated baseline case for Functional</t>
        </is>
      </c>
    </row>
    <row r="198" ht="36" customHeight="1">
      <c r="A198" s="11" t="inlineStr">
        <is>
          <t>FUN-197</t>
        </is>
      </c>
      <c r="B198" s="12" t="inlineStr">
        <is>
          <t>Responsive Web</t>
        </is>
      </c>
      <c r="C198" s="12" t="inlineStr">
        <is>
          <t>Verify validation constraints and edge-case handling for Responsive Web</t>
        </is>
      </c>
      <c r="D198" s="12" t="inlineStr">
        <is>
          <t>Functional - Responsive Web - Verify validation constraints and edge-case handling (#197)</t>
        </is>
      </c>
      <c r="E198" s="12" t="inlineStr">
        <is>
          <t>Ensure Responsive Web module satisfies quality criteria for Functional category.</t>
        </is>
      </c>
      <c r="F198" s="12" t="inlineStr">
        <is>
          <t>Test environment active, NutriFit app launched on local test setup for Responsive Web.</t>
        </is>
      </c>
      <c r="G198" s="12" t="inlineStr">
        <is>
          <t>1. Open NutriFit app on target setup.
2. Navigate to Responsive Web screen.
3. Pass boundary, empty, and out-of-bounds inputs to validation handler.
4. Validate assertions.</t>
        </is>
      </c>
      <c r="H198" s="12" t="inlineStr">
        <is>
          <t>Module: Responsive Web, Setup: Local Host, Detail: Edge case input: Variant #197 (Responsive Web)</t>
        </is>
      </c>
      <c r="I198" s="12" t="inlineStr">
        <is>
          <t>Validation rules enforce constraints and return precise error strings. for module Responsive Web.</t>
        </is>
      </c>
      <c r="J198" s="12" t="inlineStr">
        <is>
          <t>Pending Execution</t>
        </is>
      </c>
      <c r="K198" s="11" t="inlineStr">
        <is>
          <t>Medium</t>
        </is>
      </c>
      <c r="L198" s="11" t="inlineStr">
        <is>
          <t>Moderate</t>
        </is>
      </c>
      <c r="M198" s="13" t="inlineStr">
        <is>
          <t>Not Executed</t>
        </is>
      </c>
      <c r="N198" s="12" t="inlineStr">
        <is>
          <t>Generated baseline case for Functional</t>
        </is>
      </c>
    </row>
    <row r="199" ht="36" customHeight="1">
      <c r="A199" s="11" t="inlineStr">
        <is>
          <t>FUN-198</t>
        </is>
      </c>
      <c r="B199" s="12" t="inlineStr">
        <is>
          <t>Android UI</t>
        </is>
      </c>
      <c r="C199" s="12" t="inlineStr">
        <is>
          <t>Verify asynchronous service calls and Futures resolution for Android UI</t>
        </is>
      </c>
      <c r="D199" s="12" t="inlineStr">
        <is>
          <t>Functional - Android UI - Verify asynchronous service calls and Futures resolution (#198)</t>
        </is>
      </c>
      <c r="E199" s="12" t="inlineStr">
        <is>
          <t>Ensure Android UI module satisfies quality criteria for Functional category.</t>
        </is>
      </c>
      <c r="F199" s="12" t="inlineStr">
        <is>
          <t>Test environment active, NutriFit app launched on local test setup for Android UI.</t>
        </is>
      </c>
      <c r="G199" s="12" t="inlineStr">
        <is>
          <t>1. Open NutriFit app on target setup.
2. Navigate to Android UI screen.
3. Execute async service method, await Future completion, parse response model.
4. Validate assertions.</t>
        </is>
      </c>
      <c r="H199" s="12" t="inlineStr">
        <is>
          <t>Module: Android UI, Setup: Local Host, Detail: Async payload: Variant #198 (Android UI)</t>
        </is>
      </c>
      <c r="I199" s="12" t="inlineStr">
        <is>
          <t>Service parses JSON response cleanly into domain model instance. for module Android UI.</t>
        </is>
      </c>
      <c r="J199" s="12" t="inlineStr">
        <is>
          <t>Pending Execution</t>
        </is>
      </c>
      <c r="K199" s="11" t="inlineStr">
        <is>
          <t>High</t>
        </is>
      </c>
      <c r="L199" s="11" t="inlineStr">
        <is>
          <t>Major</t>
        </is>
      </c>
      <c r="M199" s="13" t="inlineStr">
        <is>
          <t>Not Executed</t>
        </is>
      </c>
      <c r="N199" s="12" t="inlineStr">
        <is>
          <t>Generated baseline case for Functional</t>
        </is>
      </c>
    </row>
    <row r="200" ht="36" customHeight="1">
      <c r="A200" s="11" t="inlineStr">
        <is>
          <t>FUN-199</t>
        </is>
      </c>
      <c r="B200" s="12" t="inlineStr">
        <is>
          <t>Authentication</t>
        </is>
      </c>
      <c r="C200" s="12" t="inlineStr">
        <is>
          <t>Verify reactive state listener callbacks and UI rebuilds for Authentication</t>
        </is>
      </c>
      <c r="D200" s="12" t="inlineStr">
        <is>
          <t>Functional - Authentication - Verify reactive state listener callbacks and UI rebuilds (#199)</t>
        </is>
      </c>
      <c r="E200" s="12" t="inlineStr">
        <is>
          <t>Ensure Authentication module satisfies quality criteria for Functional category.</t>
        </is>
      </c>
      <c r="F200" s="12" t="inlineStr">
        <is>
          <t>Test environment active, NutriFit app launched on local test setup for Authentication.</t>
        </is>
      </c>
      <c r="G200" s="12" t="inlineStr">
        <is>
          <t>1. Open NutriFit app on target setup.
2. Navigate to Authentication screen.
3. Mutate state property in Provider model, count listener callbacks triggered.
4. Validate assertions.</t>
        </is>
      </c>
      <c r="H200" s="12" t="inlineStr">
        <is>
          <t>Module: Authentication, Setup: Local Host, Detail: Provider notify: Variant #199 (Authentication)</t>
        </is>
      </c>
      <c r="I200" s="12" t="inlineStr">
        <is>
          <t>Listeners receive notification and rebuild bound UI components once. for module Authentication.</t>
        </is>
      </c>
      <c r="J200" s="12" t="inlineStr">
        <is>
          <t>Pending Execution</t>
        </is>
      </c>
      <c r="K200" s="11" t="inlineStr">
        <is>
          <t>Medium</t>
        </is>
      </c>
      <c r="L200" s="11" t="inlineStr">
        <is>
          <t>Moderate</t>
        </is>
      </c>
      <c r="M200" s="13" t="inlineStr">
        <is>
          <t>Not Executed</t>
        </is>
      </c>
      <c r="N200" s="12" t="inlineStr">
        <is>
          <t>Generated baseline case for Functional</t>
        </is>
      </c>
    </row>
    <row r="201" ht="36" customHeight="1">
      <c r="A201" s="11" t="inlineStr">
        <is>
          <t>FUN-200</t>
        </is>
      </c>
      <c r="B201" s="12" t="inlineStr">
        <is>
          <t>Dashboard</t>
        </is>
      </c>
      <c r="C201" s="12" t="inlineStr">
        <is>
          <t>Verify authorization guard rules and permission checks for Dashboard</t>
        </is>
      </c>
      <c r="D201" s="12" t="inlineStr">
        <is>
          <t>Functional - Dashboard - Verify authorization guard rules and permission checks (#200)</t>
        </is>
      </c>
      <c r="E201" s="12" t="inlineStr">
        <is>
          <t>Ensure Dashboard module satisfies quality criteria for Functional category.</t>
        </is>
      </c>
      <c r="F201" s="12" t="inlineStr">
        <is>
          <t>Test environment active, NutriFit app launched on local test setup for Dashboard.</t>
        </is>
      </c>
      <c r="G201" s="12" t="inlineStr">
        <is>
          <t>1. Open NutriFit app on target setup.
2. Navigate to Dashboard screen.
3. Attempt feature access with restricted user permissions.
4. Validate assertions.</t>
        </is>
      </c>
      <c r="H201" s="12" t="inlineStr">
        <is>
          <t>Module: Dashboard, Setup: Local Host, Detail: Auth role: Variant #200 (Dashboard)</t>
        </is>
      </c>
      <c r="I201" s="12" t="inlineStr">
        <is>
          <t>Authorization guard blocks access and redirects to permission error screen. for module Dashboard.</t>
        </is>
      </c>
      <c r="J201" s="12" t="inlineStr">
        <is>
          <t>Pending Execution</t>
        </is>
      </c>
      <c r="K201" s="11" t="inlineStr">
        <is>
          <t>Low</t>
        </is>
      </c>
      <c r="L201" s="11" t="inlineStr">
        <is>
          <t>Major</t>
        </is>
      </c>
      <c r="M201" s="13" t="inlineStr">
        <is>
          <t>Not Executed</t>
        </is>
      </c>
      <c r="N201" s="12" t="inlineStr">
        <is>
          <t>Generated baseline case for Functional</t>
        </is>
      </c>
    </row>
    <row r="202" ht="36" customHeight="1">
      <c r="A202" s="11" t="inlineStr">
        <is>
          <t>FUN-201</t>
        </is>
      </c>
      <c r="B202" s="12" t="inlineStr">
        <is>
          <t>Workout</t>
        </is>
      </c>
      <c r="C202" s="12" t="inlineStr">
        <is>
          <t>Verify component logic and state mutation functions for Workout</t>
        </is>
      </c>
      <c r="D202" s="12" t="inlineStr">
        <is>
          <t>Functional - Workout - Verify component logic and state mutation functions (#201)</t>
        </is>
      </c>
      <c r="E202" s="12" t="inlineStr">
        <is>
          <t>Ensure Workout module satisfies quality criteria for Functional category.</t>
        </is>
      </c>
      <c r="F202" s="12" t="inlineStr">
        <is>
          <t>Test environment active, NutriFit app launched on local test setup for Workout.</t>
        </is>
      </c>
      <c r="G202" s="12" t="inlineStr">
        <is>
          <t>1. Open NutriFit app on target setup.
2. Navigate to Workout screen.
3. Invoke component function with test parameters, observe return values and side effects.
4. Validate assertions.</t>
        </is>
      </c>
      <c r="H202" s="12" t="inlineStr">
        <is>
          <t>Module: Workout, Setup: Local Host, Detail: Function params: Variant #201 (Workout)</t>
        </is>
      </c>
      <c r="I202" s="12" t="inlineStr">
        <is>
          <t>Function executes logic accurately and updates internal state correctly. for module Workout.</t>
        </is>
      </c>
      <c r="J202" s="12" t="inlineStr">
        <is>
          <t>Pending Execution</t>
        </is>
      </c>
      <c r="K202" s="11" t="inlineStr">
        <is>
          <t>High</t>
        </is>
      </c>
      <c r="L202" s="11" t="inlineStr">
        <is>
          <t>Moderate</t>
        </is>
      </c>
      <c r="M202" s="13" t="inlineStr">
        <is>
          <t>Not Executed</t>
        </is>
      </c>
      <c r="N202" s="12" t="inlineStr">
        <is>
          <t>Generated baseline case for Functional</t>
        </is>
      </c>
    </row>
    <row r="203" ht="36" customHeight="1">
      <c r="A203" s="11" t="inlineStr">
        <is>
          <t>FUN-202</t>
        </is>
      </c>
      <c r="B203" s="12" t="inlineStr">
        <is>
          <t>Diet</t>
        </is>
      </c>
      <c r="C203" s="12" t="inlineStr">
        <is>
          <t>Verify validation constraints and edge-case handling for Diet</t>
        </is>
      </c>
      <c r="D203" s="12" t="inlineStr">
        <is>
          <t>Functional - Diet - Verify validation constraints and edge-case handling (#202)</t>
        </is>
      </c>
      <c r="E203" s="12" t="inlineStr">
        <is>
          <t>Ensure Diet module satisfies quality criteria for Functional category.</t>
        </is>
      </c>
      <c r="F203" s="12" t="inlineStr">
        <is>
          <t>Test environment active, NutriFit app launched on local test setup for Diet.</t>
        </is>
      </c>
      <c r="G203" s="12" t="inlineStr">
        <is>
          <t>1. Open NutriFit app on target setup.
2. Navigate to Diet screen.
3. Pass boundary, empty, and out-of-bounds inputs to validation handler.
4. Validate assertions.</t>
        </is>
      </c>
      <c r="H203" s="12" t="inlineStr">
        <is>
          <t>Module: Diet, Setup: Local Host, Detail: Edge case input: Variant #202 (Diet)</t>
        </is>
      </c>
      <c r="I203" s="12" t="inlineStr">
        <is>
          <t>Validation rules enforce constraints and return precise error strings. for module Diet.</t>
        </is>
      </c>
      <c r="J203" s="12" t="inlineStr">
        <is>
          <t>Pending Execution</t>
        </is>
      </c>
      <c r="K203" s="11" t="inlineStr">
        <is>
          <t>Medium</t>
        </is>
      </c>
      <c r="L203" s="11" t="inlineStr">
        <is>
          <t>Major</t>
        </is>
      </c>
      <c r="M203" s="13" t="inlineStr">
        <is>
          <t>Not Executed</t>
        </is>
      </c>
      <c r="N203" s="12" t="inlineStr">
        <is>
          <t>Generated baseline case for Functional</t>
        </is>
      </c>
    </row>
    <row r="204" ht="36" customHeight="1">
      <c r="A204" s="11" t="inlineStr">
        <is>
          <t>FUN-203</t>
        </is>
      </c>
      <c r="B204" s="12" t="inlineStr">
        <is>
          <t>Budget Diet</t>
        </is>
      </c>
      <c r="C204" s="12" t="inlineStr">
        <is>
          <t>Verify asynchronous service calls and Futures resolution for Budget Diet</t>
        </is>
      </c>
      <c r="D204" s="12" t="inlineStr">
        <is>
          <t>Functional - Budget Diet - Verify asynchronous service calls and Futures resolution (#203)</t>
        </is>
      </c>
      <c r="E204" s="12" t="inlineStr">
        <is>
          <t>Ensure Budget Diet module satisfies quality criteria for Functional category.</t>
        </is>
      </c>
      <c r="F204" s="12" t="inlineStr">
        <is>
          <t>Test environment active, NutriFit app launched on local test setup for Budget Diet.</t>
        </is>
      </c>
      <c r="G204" s="12" t="inlineStr">
        <is>
          <t>1. Open NutriFit app on target setup.
2. Navigate to Budget Diet screen.
3. Execute async service method, await Future completion, parse response model.
4. Validate assertions.</t>
        </is>
      </c>
      <c r="H204" s="12" t="inlineStr">
        <is>
          <t>Module: Budget Diet, Setup: Local Host, Detail: Async payload: Variant #203 (Budget Diet)</t>
        </is>
      </c>
      <c r="I204" s="12" t="inlineStr">
        <is>
          <t>Service parses JSON response cleanly into domain model instance. for module Budget Diet.</t>
        </is>
      </c>
      <c r="J204" s="12" t="inlineStr">
        <is>
          <t>Pending Execution</t>
        </is>
      </c>
      <c r="K204" s="11" t="inlineStr">
        <is>
          <t>Medium</t>
        </is>
      </c>
      <c r="L204" s="11" t="inlineStr">
        <is>
          <t>Critical</t>
        </is>
      </c>
      <c r="M204" s="13" t="inlineStr">
        <is>
          <t>Not Executed</t>
        </is>
      </c>
      <c r="N204" s="12" t="inlineStr">
        <is>
          <t>Generated baseline case for Functional</t>
        </is>
      </c>
    </row>
    <row r="205" ht="36" customHeight="1">
      <c r="A205" s="11" t="inlineStr">
        <is>
          <t>FUN-204</t>
        </is>
      </c>
      <c r="B205" s="12" t="inlineStr">
        <is>
          <t>Stretching</t>
        </is>
      </c>
      <c r="C205" s="12" t="inlineStr">
        <is>
          <t>Verify reactive state listener callbacks and UI rebuilds for Stretching</t>
        </is>
      </c>
      <c r="D205" s="12" t="inlineStr">
        <is>
          <t>Functional - Stretching - Verify reactive state listener callbacks and UI rebuilds (#204)</t>
        </is>
      </c>
      <c r="E205" s="12" t="inlineStr">
        <is>
          <t>Ensure Stretching module satisfies quality criteria for Functional category.</t>
        </is>
      </c>
      <c r="F205" s="12" t="inlineStr">
        <is>
          <t>Test environment active, NutriFit app launched on local test setup for Stretching.</t>
        </is>
      </c>
      <c r="G205" s="12" t="inlineStr">
        <is>
          <t>1. Open NutriFit app on target setup.
2. Navigate to Stretching screen.
3. Mutate state property in Provider model, count listener callbacks triggered.
4. Validate assertions.</t>
        </is>
      </c>
      <c r="H205" s="12" t="inlineStr">
        <is>
          <t>Module: Stretching, Setup: Local Host, Detail: Provider notify: Variant #204 (Stretching)</t>
        </is>
      </c>
      <c r="I205" s="12" t="inlineStr">
        <is>
          <t>Listeners receive notification and rebuild bound UI components once. for module Stretching.</t>
        </is>
      </c>
      <c r="J205" s="12" t="inlineStr">
        <is>
          <t>Pending Execution</t>
        </is>
      </c>
      <c r="K205" s="11" t="inlineStr">
        <is>
          <t>High</t>
        </is>
      </c>
      <c r="L205" s="11" t="inlineStr">
        <is>
          <t>Major</t>
        </is>
      </c>
      <c r="M205" s="13" t="inlineStr">
        <is>
          <t>Not Executed</t>
        </is>
      </c>
      <c r="N205" s="12" t="inlineStr">
        <is>
          <t>Generated baseline case for Functional</t>
        </is>
      </c>
    </row>
    <row r="206" ht="36" customHeight="1">
      <c r="A206" s="11" t="inlineStr">
        <is>
          <t>FUN-205</t>
        </is>
      </c>
      <c r="B206" s="12" t="inlineStr">
        <is>
          <t>Water Tracker</t>
        </is>
      </c>
      <c r="C206" s="12" t="inlineStr">
        <is>
          <t>Verify authorization guard rules and permission checks for Water Tracker</t>
        </is>
      </c>
      <c r="D206" s="12" t="inlineStr">
        <is>
          <t>Functional - Water Tracker - Verify authorization guard rules and permission checks (#205)</t>
        </is>
      </c>
      <c r="E206" s="12" t="inlineStr">
        <is>
          <t>Ensure Water Tracker module satisfies quality criteria for Functional category.</t>
        </is>
      </c>
      <c r="F206" s="12" t="inlineStr">
        <is>
          <t>Test environment active, NutriFit app launched on local test setup for Water Tracker.</t>
        </is>
      </c>
      <c r="G206" s="12" t="inlineStr">
        <is>
          <t>1. Open NutriFit app on target setup.
2. Navigate to Water Tracker screen.
3. Attempt feature access with restricted user permissions.
4. Validate assertions.</t>
        </is>
      </c>
      <c r="H206" s="12" t="inlineStr">
        <is>
          <t>Module: Water Tracker, Setup: Local Host, Detail: Auth role: Variant #205 (Water Tracker)</t>
        </is>
      </c>
      <c r="I206" s="12" t="inlineStr">
        <is>
          <t>Authorization guard blocks access and redirects to permission error screen. for module Water Tracker.</t>
        </is>
      </c>
      <c r="J206" s="12" t="inlineStr">
        <is>
          <t>Pending Execution</t>
        </is>
      </c>
      <c r="K206" s="11" t="inlineStr">
        <is>
          <t>Low</t>
        </is>
      </c>
      <c r="L206" s="11" t="inlineStr">
        <is>
          <t>Moderate</t>
        </is>
      </c>
      <c r="M206" s="13" t="inlineStr">
        <is>
          <t>Not Executed</t>
        </is>
      </c>
      <c r="N206" s="12" t="inlineStr">
        <is>
          <t>Generated baseline case for Functional</t>
        </is>
      </c>
    </row>
    <row r="207" ht="36" customHeight="1">
      <c r="A207" s="11" t="inlineStr">
        <is>
          <t>FUN-206</t>
        </is>
      </c>
      <c r="B207" s="12" t="inlineStr">
        <is>
          <t>Sleep Tracker</t>
        </is>
      </c>
      <c r="C207" s="12" t="inlineStr">
        <is>
          <t>Verify component logic and state mutation functions for Sleep Tracker</t>
        </is>
      </c>
      <c r="D207" s="12" t="inlineStr">
        <is>
          <t>Functional - Sleep Tracker - Verify component logic and state mutation functions (#206)</t>
        </is>
      </c>
      <c r="E207" s="12" t="inlineStr">
        <is>
          <t>Ensure Sleep Tracker module satisfies quality criteria for Functional category.</t>
        </is>
      </c>
      <c r="F207" s="12" t="inlineStr">
        <is>
          <t>Test environment active, NutriFit app launched on local test setup for Sleep Tracker.</t>
        </is>
      </c>
      <c r="G207" s="12" t="inlineStr">
        <is>
          <t>1. Open NutriFit app on target setup.
2. Navigate to Sleep Tracker screen.
3. Invoke component function with test parameters, observe return values and side effects.
4. Validate assertions.</t>
        </is>
      </c>
      <c r="H207" s="12" t="inlineStr">
        <is>
          <t>Module: Sleep Tracker, Setup: Local Host, Detail: Function params: Variant #206 (Sleep Tracker)</t>
        </is>
      </c>
      <c r="I207" s="12" t="inlineStr">
        <is>
          <t>Function executes logic accurately and updates internal state correctly. for module Sleep Tracker.</t>
        </is>
      </c>
      <c r="J207" s="12" t="inlineStr">
        <is>
          <t>Pending Execution</t>
        </is>
      </c>
      <c r="K207" s="11" t="inlineStr">
        <is>
          <t>Medium</t>
        </is>
      </c>
      <c r="L207" s="11" t="inlineStr">
        <is>
          <t>Major</t>
        </is>
      </c>
      <c r="M207" s="13" t="inlineStr">
        <is>
          <t>Not Executed</t>
        </is>
      </c>
      <c r="N207" s="12" t="inlineStr">
        <is>
          <t>Generated baseline case for Functional</t>
        </is>
      </c>
    </row>
    <row r="208" ht="36" customHeight="1">
      <c r="A208" s="11" t="inlineStr">
        <is>
          <t>FUN-207</t>
        </is>
      </c>
      <c r="B208" s="12" t="inlineStr">
        <is>
          <t>Step Tracker</t>
        </is>
      </c>
      <c r="C208" s="12" t="inlineStr">
        <is>
          <t>Verify validation constraints and edge-case handling for Step Tracker</t>
        </is>
      </c>
      <c r="D208" s="12" t="inlineStr">
        <is>
          <t>Functional - Step Tracker - Verify validation constraints and edge-case handling (#207)</t>
        </is>
      </c>
      <c r="E208" s="12" t="inlineStr">
        <is>
          <t>Ensure Step Tracker module satisfies quality criteria for Functional category.</t>
        </is>
      </c>
      <c r="F208" s="12" t="inlineStr">
        <is>
          <t>Test environment active, NutriFit app launched on local test setup for Step Tracker.</t>
        </is>
      </c>
      <c r="G208" s="12" t="inlineStr">
        <is>
          <t>1. Open NutriFit app on target setup.
2. Navigate to Step Tracker screen.
3. Pass boundary, empty, and out-of-bounds inputs to validation handler.
4. Validate assertions.</t>
        </is>
      </c>
      <c r="H208" s="12" t="inlineStr">
        <is>
          <t>Module: Step Tracker, Setup: Local Host, Detail: Edge case input: Variant #207 (Step Tracker)</t>
        </is>
      </c>
      <c r="I208" s="12" t="inlineStr">
        <is>
          <t>Validation rules enforce constraints and return precise error strings. for module Step Tracker.</t>
        </is>
      </c>
      <c r="J208" s="12" t="inlineStr">
        <is>
          <t>Pending Execution</t>
        </is>
      </c>
      <c r="K208" s="11" t="inlineStr">
        <is>
          <t>High</t>
        </is>
      </c>
      <c r="L208" s="11" t="inlineStr">
        <is>
          <t>Moderate</t>
        </is>
      </c>
      <c r="M208" s="13" t="inlineStr">
        <is>
          <t>Not Executed</t>
        </is>
      </c>
      <c r="N208" s="12" t="inlineStr">
        <is>
          <t>Generated baseline case for Functional</t>
        </is>
      </c>
    </row>
    <row r="209" ht="36" customHeight="1">
      <c r="A209" s="11" t="inlineStr">
        <is>
          <t>FUN-208</t>
        </is>
      </c>
      <c r="B209" s="12" t="inlineStr">
        <is>
          <t>AI Trainer</t>
        </is>
      </c>
      <c r="C209" s="12" t="inlineStr">
        <is>
          <t>Verify asynchronous service calls and Futures resolution for AI Trainer</t>
        </is>
      </c>
      <c r="D209" s="12" t="inlineStr">
        <is>
          <t>Functional - AI Trainer - Verify asynchronous service calls and Futures resolution (#208)</t>
        </is>
      </c>
      <c r="E209" s="12" t="inlineStr">
        <is>
          <t>Ensure AI Trainer module satisfies quality criteria for Functional category.</t>
        </is>
      </c>
      <c r="F209" s="12" t="inlineStr">
        <is>
          <t>Test environment active, NutriFit app launched on local test setup for AI Trainer.</t>
        </is>
      </c>
      <c r="G209" s="12" t="inlineStr">
        <is>
          <t>1. Open NutriFit app on target setup.
2. Navigate to AI Trainer screen.
3. Execute async service method, await Future completion, parse response model.
4. Validate assertions.</t>
        </is>
      </c>
      <c r="H209" s="12" t="inlineStr">
        <is>
          <t>Module: AI Trainer, Setup: Local Host, Detail: Async payload: Variant #208 (AI Trainer)</t>
        </is>
      </c>
      <c r="I209" s="12" t="inlineStr">
        <is>
          <t>Service parses JSON response cleanly into domain model instance. for module AI Trainer.</t>
        </is>
      </c>
      <c r="J209" s="12" t="inlineStr">
        <is>
          <t>Pending Execution</t>
        </is>
      </c>
      <c r="K209" s="11" t="inlineStr">
        <is>
          <t>Medium</t>
        </is>
      </c>
      <c r="L209" s="11" t="inlineStr">
        <is>
          <t>Major</t>
        </is>
      </c>
      <c r="M209" s="13" t="inlineStr">
        <is>
          <t>Not Executed</t>
        </is>
      </c>
      <c r="N209" s="12" t="inlineStr">
        <is>
          <t>Generated baseline case for Functional</t>
        </is>
      </c>
    </row>
    <row r="210" ht="36" customHeight="1">
      <c r="A210" s="11" t="inlineStr">
        <is>
          <t>FUN-209</t>
        </is>
      </c>
      <c r="B210" s="12" t="inlineStr">
        <is>
          <t>Shop</t>
        </is>
      </c>
      <c r="C210" s="12" t="inlineStr">
        <is>
          <t>Verify reactive state listener callbacks and UI rebuilds for Shop</t>
        </is>
      </c>
      <c r="D210" s="12" t="inlineStr">
        <is>
          <t>Functional - Shop - Verify reactive state listener callbacks and UI rebuilds (#209)</t>
        </is>
      </c>
      <c r="E210" s="12" t="inlineStr">
        <is>
          <t>Ensure Shop module satisfies quality criteria for Functional category.</t>
        </is>
      </c>
      <c r="F210" s="12" t="inlineStr">
        <is>
          <t>Test environment active, NutriFit app launched on local test setup for Shop.</t>
        </is>
      </c>
      <c r="G210" s="12" t="inlineStr">
        <is>
          <t>1. Open NutriFit app on target setup.
2. Navigate to Shop screen.
3. Mutate state property in Provider model, count listener callbacks triggered.
4. Validate assertions.</t>
        </is>
      </c>
      <c r="H210" s="12" t="inlineStr">
        <is>
          <t>Module: Shop, Setup: Local Host, Detail: Provider notify: Variant #209 (Shop)</t>
        </is>
      </c>
      <c r="I210" s="12" t="inlineStr">
        <is>
          <t>Listeners receive notification and rebuild bound UI components once. for module Shop.</t>
        </is>
      </c>
      <c r="J210" s="12" t="inlineStr">
        <is>
          <t>Pending Execution</t>
        </is>
      </c>
      <c r="K210" s="11" t="inlineStr">
        <is>
          <t>Medium</t>
        </is>
      </c>
      <c r="L210" s="11" t="inlineStr">
        <is>
          <t>Moderate</t>
        </is>
      </c>
      <c r="M210" s="13" t="inlineStr">
        <is>
          <t>Not Executed</t>
        </is>
      </c>
      <c r="N210" s="12" t="inlineStr">
        <is>
          <t>Generated baseline case for Functional</t>
        </is>
      </c>
    </row>
    <row r="211" ht="36" customHeight="1">
      <c r="A211" s="11" t="inlineStr">
        <is>
          <t>FUN-210</t>
        </is>
      </c>
      <c r="B211" s="12" t="inlineStr">
        <is>
          <t>Cart</t>
        </is>
      </c>
      <c r="C211" s="12" t="inlineStr">
        <is>
          <t>Verify authorization guard rules and permission checks for Cart</t>
        </is>
      </c>
      <c r="D211" s="12" t="inlineStr">
        <is>
          <t>Functional - Cart - Verify authorization guard rules and permission checks (#210)</t>
        </is>
      </c>
      <c r="E211" s="12" t="inlineStr">
        <is>
          <t>Ensure Cart module satisfies quality criteria for Functional category.</t>
        </is>
      </c>
      <c r="F211" s="12" t="inlineStr">
        <is>
          <t>Test environment active, NutriFit app launched on local test setup for Cart.</t>
        </is>
      </c>
      <c r="G211" s="12" t="inlineStr">
        <is>
          <t>1. Open NutriFit app on target setup.
2. Navigate to Cart screen.
3. Attempt feature access with restricted user permissions.
4. Validate assertions.</t>
        </is>
      </c>
      <c r="H211" s="12" t="inlineStr">
        <is>
          <t>Module: Cart, Setup: Local Host, Detail: Auth role: Variant #210 (Cart)</t>
        </is>
      </c>
      <c r="I211" s="12" t="inlineStr">
        <is>
          <t>Authorization guard blocks access and redirects to permission error screen. for module Cart.</t>
        </is>
      </c>
      <c r="J211" s="12" t="inlineStr">
        <is>
          <t>Pending Execution</t>
        </is>
      </c>
      <c r="K211" s="11" t="inlineStr">
        <is>
          <t>High</t>
        </is>
      </c>
      <c r="L211" s="11" t="inlineStr">
        <is>
          <t>Critical</t>
        </is>
      </c>
      <c r="M211" s="13" t="inlineStr">
        <is>
          <t>Not Executed</t>
        </is>
      </c>
      <c r="N211" s="12" t="inlineStr">
        <is>
          <t>Generated baseline case for Functional</t>
        </is>
      </c>
    </row>
    <row r="212" ht="36" customHeight="1">
      <c r="A212" s="11" t="inlineStr">
        <is>
          <t>FUN-211</t>
        </is>
      </c>
      <c r="B212" s="12" t="inlineStr">
        <is>
          <t>Checkout</t>
        </is>
      </c>
      <c r="C212" s="12" t="inlineStr">
        <is>
          <t>Verify component logic and state mutation functions for Checkout</t>
        </is>
      </c>
      <c r="D212" s="12" t="inlineStr">
        <is>
          <t>Functional - Checkout - Verify component logic and state mutation functions (#211)</t>
        </is>
      </c>
      <c r="E212" s="12" t="inlineStr">
        <is>
          <t>Ensure Checkout module satisfies quality criteria for Functional category.</t>
        </is>
      </c>
      <c r="F212" s="12" t="inlineStr">
        <is>
          <t>Test environment active, NutriFit app launched on local test setup for Checkout.</t>
        </is>
      </c>
      <c r="G212" s="12" t="inlineStr">
        <is>
          <t>1. Open NutriFit app on target setup.
2. Navigate to Checkout screen.
3. Invoke component function with test parameters, observe return values and side effects.
4. Validate assertions.</t>
        </is>
      </c>
      <c r="H212" s="12" t="inlineStr">
        <is>
          <t>Module: Checkout, Setup: Local Host, Detail: Function params: Variant #211 (Checkout)</t>
        </is>
      </c>
      <c r="I212" s="12" t="inlineStr">
        <is>
          <t>Function executes logic accurately and updates internal state correctly. for module Checkout.</t>
        </is>
      </c>
      <c r="J212" s="12" t="inlineStr">
        <is>
          <t>Pending Execution</t>
        </is>
      </c>
      <c r="K212" s="11" t="inlineStr">
        <is>
          <t>Medium</t>
        </is>
      </c>
      <c r="L212" s="11" t="inlineStr">
        <is>
          <t>Moderate</t>
        </is>
      </c>
      <c r="M212" s="13" t="inlineStr">
        <is>
          <t>Not Executed</t>
        </is>
      </c>
      <c r="N212" s="12" t="inlineStr">
        <is>
          <t>Generated baseline case for Functional</t>
        </is>
      </c>
    </row>
    <row r="213" ht="36" customHeight="1">
      <c r="A213" s="11" t="inlineStr">
        <is>
          <t>FUN-212</t>
        </is>
      </c>
      <c r="B213" s="12" t="inlineStr">
        <is>
          <t>Address</t>
        </is>
      </c>
      <c r="C213" s="12" t="inlineStr">
        <is>
          <t>Verify validation constraints and edge-case handling for Address</t>
        </is>
      </c>
      <c r="D213" s="12" t="inlineStr">
        <is>
          <t>Functional - Address - Verify validation constraints and edge-case handling (#212)</t>
        </is>
      </c>
      <c r="E213" s="12" t="inlineStr">
        <is>
          <t>Ensure Address module satisfies quality criteria for Functional category.</t>
        </is>
      </c>
      <c r="F213" s="12" t="inlineStr">
        <is>
          <t>Test environment active, NutriFit app launched on local test setup for Address.</t>
        </is>
      </c>
      <c r="G213" s="12" t="inlineStr">
        <is>
          <t>1. Open NutriFit app on target setup.
2. Navigate to Address screen.
3. Pass boundary, empty, and out-of-bounds inputs to validation handler.
4. Validate assertions.</t>
        </is>
      </c>
      <c r="H213" s="12" t="inlineStr">
        <is>
          <t>Module: Address, Setup: Local Host, Detail: Edge case input: Variant #212 (Address)</t>
        </is>
      </c>
      <c r="I213" s="12" t="inlineStr">
        <is>
          <t>Validation rules enforce constraints and return precise error strings. for module Address.</t>
        </is>
      </c>
      <c r="J213" s="12" t="inlineStr">
        <is>
          <t>Pending Execution</t>
        </is>
      </c>
      <c r="K213" s="11" t="inlineStr">
        <is>
          <t>Medium</t>
        </is>
      </c>
      <c r="L213" s="11" t="inlineStr">
        <is>
          <t>Major</t>
        </is>
      </c>
      <c r="M213" s="13" t="inlineStr">
        <is>
          <t>Not Executed</t>
        </is>
      </c>
      <c r="N213" s="12" t="inlineStr">
        <is>
          <t>Generated baseline case for Functional</t>
        </is>
      </c>
    </row>
    <row r="214" ht="36" customHeight="1">
      <c r="A214" s="11" t="inlineStr">
        <is>
          <t>FUN-213</t>
        </is>
      </c>
      <c r="B214" s="12" t="inlineStr">
        <is>
          <t>Orders</t>
        </is>
      </c>
      <c r="C214" s="12" t="inlineStr">
        <is>
          <t>Verify asynchronous service calls and Futures resolution for Orders</t>
        </is>
      </c>
      <c r="D214" s="12" t="inlineStr">
        <is>
          <t>Functional - Orders - Verify asynchronous service calls and Futures resolution (#213)</t>
        </is>
      </c>
      <c r="E214" s="12" t="inlineStr">
        <is>
          <t>Ensure Orders module satisfies quality criteria for Functional category.</t>
        </is>
      </c>
      <c r="F214" s="12" t="inlineStr">
        <is>
          <t>Test environment active, NutriFit app launched on local test setup for Orders.</t>
        </is>
      </c>
      <c r="G214" s="12" t="inlineStr">
        <is>
          <t>1. Open NutriFit app on target setup.
2. Navigate to Orders screen.
3. Execute async service method, await Future completion, parse response model.
4. Validate assertions.</t>
        </is>
      </c>
      <c r="H214" s="12" t="inlineStr">
        <is>
          <t>Module: Orders, Setup: Local Host, Detail: Async payload: Variant #213 (Orders)</t>
        </is>
      </c>
      <c r="I214" s="12" t="inlineStr">
        <is>
          <t>Service parses JSON response cleanly into domain model instance. for module Orders.</t>
        </is>
      </c>
      <c r="J214" s="12" t="inlineStr">
        <is>
          <t>Pending Execution</t>
        </is>
      </c>
      <c r="K214" s="11" t="inlineStr">
        <is>
          <t>High</t>
        </is>
      </c>
      <c r="L214" s="11" t="inlineStr">
        <is>
          <t>Moderate</t>
        </is>
      </c>
      <c r="M214" s="13" t="inlineStr">
        <is>
          <t>Not Executed</t>
        </is>
      </c>
      <c r="N214" s="12" t="inlineStr">
        <is>
          <t>Generated baseline case for Functional</t>
        </is>
      </c>
    </row>
    <row r="215" ht="36" customHeight="1">
      <c r="A215" s="11" t="inlineStr">
        <is>
          <t>FUN-214</t>
        </is>
      </c>
      <c r="B215" s="12" t="inlineStr">
        <is>
          <t>Profile</t>
        </is>
      </c>
      <c r="C215" s="12" t="inlineStr">
        <is>
          <t>Verify reactive state listener callbacks and UI rebuilds for Profile</t>
        </is>
      </c>
      <c r="D215" s="12" t="inlineStr">
        <is>
          <t>Functional - Profile - Verify reactive state listener callbacks and UI rebuilds (#214)</t>
        </is>
      </c>
      <c r="E215" s="12" t="inlineStr">
        <is>
          <t>Ensure Profile module satisfies quality criteria for Functional category.</t>
        </is>
      </c>
      <c r="F215" s="12" t="inlineStr">
        <is>
          <t>Test environment active, NutriFit app launched on local test setup for Profile.</t>
        </is>
      </c>
      <c r="G215" s="12" t="inlineStr">
        <is>
          <t>1. Open NutriFit app on target setup.
2. Navigate to Profile screen.
3. Mutate state property in Provider model, count listener callbacks triggered.
4. Validate assertions.</t>
        </is>
      </c>
      <c r="H215" s="12" t="inlineStr">
        <is>
          <t>Module: Profile, Setup: Local Host, Detail: Provider notify: Variant #214 (Profile)</t>
        </is>
      </c>
      <c r="I215" s="12" t="inlineStr">
        <is>
          <t>Listeners receive notification and rebuild bound UI components once. for module Profile.</t>
        </is>
      </c>
      <c r="J215" s="12" t="inlineStr">
        <is>
          <t>Pending Execution</t>
        </is>
      </c>
      <c r="K215" s="11" t="inlineStr">
        <is>
          <t>Medium</t>
        </is>
      </c>
      <c r="L215" s="11" t="inlineStr">
        <is>
          <t>Major</t>
        </is>
      </c>
      <c r="M215" s="13" t="inlineStr">
        <is>
          <t>Not Executed</t>
        </is>
      </c>
      <c r="N215" s="12" t="inlineStr">
        <is>
          <t>Generated baseline case for Functional</t>
        </is>
      </c>
    </row>
    <row r="216" ht="36" customHeight="1">
      <c r="A216" s="11" t="inlineStr">
        <is>
          <t>FUN-215</t>
        </is>
      </c>
      <c r="B216" s="12" t="inlineStr">
        <is>
          <t>Notifications</t>
        </is>
      </c>
      <c r="C216" s="12" t="inlineStr">
        <is>
          <t>Verify authorization guard rules and permission checks for Notifications</t>
        </is>
      </c>
      <c r="D216" s="12" t="inlineStr">
        <is>
          <t>Functional - Notifications - Verify authorization guard rules and permission checks (#215)</t>
        </is>
      </c>
      <c r="E216" s="12" t="inlineStr">
        <is>
          <t>Ensure Notifications module satisfies quality criteria for Functional category.</t>
        </is>
      </c>
      <c r="F216" s="12" t="inlineStr">
        <is>
          <t>Test environment active, NutriFit app launched on local test setup for Notifications.</t>
        </is>
      </c>
      <c r="G216" s="12" t="inlineStr">
        <is>
          <t>1. Open NutriFit app on target setup.
2. Navigate to Notifications screen.
3. Attempt feature access with restricted user permissions.
4. Validate assertions.</t>
        </is>
      </c>
      <c r="H216" s="12" t="inlineStr">
        <is>
          <t>Module: Notifications, Setup: Local Host, Detail: Auth role: Variant #215 (Notifications)</t>
        </is>
      </c>
      <c r="I216" s="12" t="inlineStr">
        <is>
          <t>Authorization guard blocks access and redirects to permission error screen. for module Notifications.</t>
        </is>
      </c>
      <c r="J216" s="12" t="inlineStr">
        <is>
          <t>Pending Execution</t>
        </is>
      </c>
      <c r="K216" s="11" t="inlineStr">
        <is>
          <t>Low</t>
        </is>
      </c>
      <c r="L216" s="11" t="inlineStr">
        <is>
          <t>Moderate</t>
        </is>
      </c>
      <c r="M216" s="13" t="inlineStr">
        <is>
          <t>Not Executed</t>
        </is>
      </c>
      <c r="N216" s="12" t="inlineStr">
        <is>
          <t>Generated baseline case for Functional</t>
        </is>
      </c>
    </row>
    <row r="217" ht="36" customHeight="1">
      <c r="A217" s="11" t="inlineStr">
        <is>
          <t>FUN-216</t>
        </is>
      </c>
      <c r="B217" s="12" t="inlineStr">
        <is>
          <t>Settings</t>
        </is>
      </c>
      <c r="C217" s="12" t="inlineStr">
        <is>
          <t>Verify component logic and state mutation functions for Settings</t>
        </is>
      </c>
      <c r="D217" s="12" t="inlineStr">
        <is>
          <t>Functional - Settings - Verify component logic and state mutation functions (#216)</t>
        </is>
      </c>
      <c r="E217" s="12" t="inlineStr">
        <is>
          <t>Ensure Settings module satisfies quality criteria for Functional category.</t>
        </is>
      </c>
      <c r="F217" s="12" t="inlineStr">
        <is>
          <t>Test environment active, NutriFit app launched on local test setup for Settings.</t>
        </is>
      </c>
      <c r="G217" s="12" t="inlineStr">
        <is>
          <t>1. Open NutriFit app on target setup.
2. Navigate to Settings screen.
3. Invoke component function with test parameters, observe return values and side effects.
4. Validate assertions.</t>
        </is>
      </c>
      <c r="H217" s="12" t="inlineStr">
        <is>
          <t>Module: Settings, Setup: Local Host, Detail: Function params: Variant #216 (Settings)</t>
        </is>
      </c>
      <c r="I217" s="12" t="inlineStr">
        <is>
          <t>Function executes logic accurately and updates internal state correctly. for module Settings.</t>
        </is>
      </c>
      <c r="J217" s="12" t="inlineStr">
        <is>
          <t>Pending Execution</t>
        </is>
      </c>
      <c r="K217" s="11" t="inlineStr">
        <is>
          <t>High</t>
        </is>
      </c>
      <c r="L217" s="11" t="inlineStr">
        <is>
          <t>Major</t>
        </is>
      </c>
      <c r="M217" s="13" t="inlineStr">
        <is>
          <t>Not Executed</t>
        </is>
      </c>
      <c r="N217" s="12" t="inlineStr">
        <is>
          <t>Generated baseline case for Functional</t>
        </is>
      </c>
    </row>
    <row r="218" ht="36" customHeight="1">
      <c r="A218" s="11" t="inlineStr">
        <is>
          <t>FUN-217</t>
        </is>
      </c>
      <c r="B218" s="12" t="inlineStr">
        <is>
          <t>Localization</t>
        </is>
      </c>
      <c r="C218" s="12" t="inlineStr">
        <is>
          <t>Verify validation constraints and edge-case handling for Localization</t>
        </is>
      </c>
      <c r="D218" s="12" t="inlineStr">
        <is>
          <t>Functional - Localization - Verify validation constraints and edge-case handling (#217)</t>
        </is>
      </c>
      <c r="E218" s="12" t="inlineStr">
        <is>
          <t>Ensure Localization module satisfies quality criteria for Functional category.</t>
        </is>
      </c>
      <c r="F218" s="12" t="inlineStr">
        <is>
          <t>Test environment active, NutriFit app launched on local test setup for Localization.</t>
        </is>
      </c>
      <c r="G218" s="12" t="inlineStr">
        <is>
          <t>1. Open NutriFit app on target setup.
2. Navigate to Localization screen.
3. Pass boundary, empty, and out-of-bounds inputs to validation handler.
4. Validate assertions.</t>
        </is>
      </c>
      <c r="H218" s="12" t="inlineStr">
        <is>
          <t>Module: Localization, Setup: Local Host, Detail: Edge case input: Variant #217 (Localization)</t>
        </is>
      </c>
      <c r="I218" s="12" t="inlineStr">
        <is>
          <t>Validation rules enforce constraints and return precise error strings. for module Localization.</t>
        </is>
      </c>
      <c r="J218" s="12" t="inlineStr">
        <is>
          <t>Pending Execution</t>
        </is>
      </c>
      <c r="K218" s="11" t="inlineStr">
        <is>
          <t>Medium</t>
        </is>
      </c>
      <c r="L218" s="11" t="inlineStr">
        <is>
          <t>Critical</t>
        </is>
      </c>
      <c r="M218" s="13" t="inlineStr">
        <is>
          <t>Not Executed</t>
        </is>
      </c>
      <c r="N218" s="12" t="inlineStr">
        <is>
          <t>Generated baseline case for Functional</t>
        </is>
      </c>
    </row>
    <row r="219" ht="36" customHeight="1">
      <c r="A219" s="11" t="inlineStr">
        <is>
          <t>FUN-218</t>
        </is>
      </c>
      <c r="B219" s="12" t="inlineStr">
        <is>
          <t>Supabase Integration</t>
        </is>
      </c>
      <c r="C219" s="12" t="inlineStr">
        <is>
          <t>Verify asynchronous service calls and Futures resolution for Supabase Integration</t>
        </is>
      </c>
      <c r="D219" s="12" t="inlineStr">
        <is>
          <t>Functional - Supabase Integration - Verify asynchronous service calls and Futures resolution (#218)</t>
        </is>
      </c>
      <c r="E219" s="12" t="inlineStr">
        <is>
          <t>Ensure Supabase Integration module satisfies quality criteria for Functional category.</t>
        </is>
      </c>
      <c r="F219" s="12" t="inlineStr">
        <is>
          <t>Test environment active, NutriFit app launched on local test setup for Supabase Integration.</t>
        </is>
      </c>
      <c r="G219" s="12" t="inlineStr">
        <is>
          <t>1. Open NutriFit app on target setup.
2. Navigate to Supabase Integration screen.
3. Execute async service method, await Future completion, parse response model.
4. Validate assertions.</t>
        </is>
      </c>
      <c r="H219" s="12" t="inlineStr">
        <is>
          <t>Module: Supabase Integration, Setup: Local Host, Detail: Async payload: Variant #218 (Supabase Integration)</t>
        </is>
      </c>
      <c r="I219" s="12" t="inlineStr">
        <is>
          <t>Service parses JSON response cleanly into domain model instance. for module Supabase Integration.</t>
        </is>
      </c>
      <c r="J219" s="12" t="inlineStr">
        <is>
          <t>Pending Execution</t>
        </is>
      </c>
      <c r="K219" s="11" t="inlineStr">
        <is>
          <t>Medium</t>
        </is>
      </c>
      <c r="L219" s="11" t="inlineStr">
        <is>
          <t>Major</t>
        </is>
      </c>
      <c r="M219" s="13" t="inlineStr">
        <is>
          <t>Not Executed</t>
        </is>
      </c>
      <c r="N219" s="12" t="inlineStr">
        <is>
          <t>Generated baseline case for Functional</t>
        </is>
      </c>
    </row>
    <row r="220" ht="36" customHeight="1">
      <c r="A220" s="11" t="inlineStr">
        <is>
          <t>FUN-219</t>
        </is>
      </c>
      <c r="B220" s="12" t="inlineStr">
        <is>
          <t>Responsive Web</t>
        </is>
      </c>
      <c r="C220" s="12" t="inlineStr">
        <is>
          <t>Verify reactive state listener callbacks and UI rebuilds for Responsive Web</t>
        </is>
      </c>
      <c r="D220" s="12" t="inlineStr">
        <is>
          <t>Functional - Responsive Web - Verify reactive state listener callbacks and UI rebuilds (#219)</t>
        </is>
      </c>
      <c r="E220" s="12" t="inlineStr">
        <is>
          <t>Ensure Responsive Web module satisfies quality criteria for Functional category.</t>
        </is>
      </c>
      <c r="F220" s="12" t="inlineStr">
        <is>
          <t>Test environment active, NutriFit app launched on local test setup for Responsive Web.</t>
        </is>
      </c>
      <c r="G220" s="12" t="inlineStr">
        <is>
          <t>1. Open NutriFit app on target setup.
2. Navigate to Responsive Web screen.
3. Mutate state property in Provider model, count listener callbacks triggered.
4. Validate assertions.</t>
        </is>
      </c>
      <c r="H220" s="12" t="inlineStr">
        <is>
          <t>Module: Responsive Web, Setup: Local Host, Detail: Provider notify: Variant #219 (Responsive Web)</t>
        </is>
      </c>
      <c r="I220" s="12" t="inlineStr">
        <is>
          <t>Listeners receive notification and rebuild bound UI components once. for module Responsive Web.</t>
        </is>
      </c>
      <c r="J220" s="12" t="inlineStr">
        <is>
          <t>Pending Execution</t>
        </is>
      </c>
      <c r="K220" s="11" t="inlineStr">
        <is>
          <t>High</t>
        </is>
      </c>
      <c r="L220" s="11" t="inlineStr">
        <is>
          <t>Moderate</t>
        </is>
      </c>
      <c r="M220" s="13" t="inlineStr">
        <is>
          <t>Not Executed</t>
        </is>
      </c>
      <c r="N220" s="12" t="inlineStr">
        <is>
          <t>Generated baseline case for Functional</t>
        </is>
      </c>
    </row>
    <row r="221" ht="36" customHeight="1">
      <c r="A221" s="11" t="inlineStr">
        <is>
          <t>FUN-220</t>
        </is>
      </c>
      <c r="B221" s="12" t="inlineStr">
        <is>
          <t>Android UI</t>
        </is>
      </c>
      <c r="C221" s="12" t="inlineStr">
        <is>
          <t>Verify authorization guard rules and permission checks for Android UI</t>
        </is>
      </c>
      <c r="D221" s="12" t="inlineStr">
        <is>
          <t>Functional - Android UI - Verify authorization guard rules and permission checks (#220)</t>
        </is>
      </c>
      <c r="E221" s="12" t="inlineStr">
        <is>
          <t>Ensure Android UI module satisfies quality criteria for Functional category.</t>
        </is>
      </c>
      <c r="F221" s="12" t="inlineStr">
        <is>
          <t>Test environment active, NutriFit app launched on local test setup for Android UI.</t>
        </is>
      </c>
      <c r="G221" s="12" t="inlineStr">
        <is>
          <t>1. Open NutriFit app on target setup.
2. Navigate to Android UI screen.
3. Attempt feature access with restricted user permissions.
4. Validate assertions.</t>
        </is>
      </c>
      <c r="H221" s="12" t="inlineStr">
        <is>
          <t>Module: Android UI, Setup: Local Host, Detail: Auth role: Variant #220 (Android UI)</t>
        </is>
      </c>
      <c r="I221" s="12" t="inlineStr">
        <is>
          <t>Authorization guard blocks access and redirects to permission error screen. for module Android UI.</t>
        </is>
      </c>
      <c r="J221" s="12" t="inlineStr">
        <is>
          <t>Pending Execution</t>
        </is>
      </c>
      <c r="K221" s="11" t="inlineStr">
        <is>
          <t>Low</t>
        </is>
      </c>
      <c r="L221" s="11" t="inlineStr">
        <is>
          <t>Major</t>
        </is>
      </c>
      <c r="M221" s="13" t="inlineStr">
        <is>
          <t>Not Executed</t>
        </is>
      </c>
      <c r="N221" s="12" t="inlineStr">
        <is>
          <t>Generated baseline case for Functional</t>
        </is>
      </c>
    </row>
    <row r="222" ht="36" customHeight="1">
      <c r="A222" s="11" t="inlineStr">
        <is>
          <t>FUN-221</t>
        </is>
      </c>
      <c r="B222" s="12" t="inlineStr">
        <is>
          <t>Authentication</t>
        </is>
      </c>
      <c r="C222" s="12" t="inlineStr">
        <is>
          <t>Verify component logic and state mutation functions for Authentication</t>
        </is>
      </c>
      <c r="D222" s="12" t="inlineStr">
        <is>
          <t>Functional - Authentication - Verify component logic and state mutation functions (#221)</t>
        </is>
      </c>
      <c r="E222" s="12" t="inlineStr">
        <is>
          <t>Ensure Authentication module satisfies quality criteria for Functional category.</t>
        </is>
      </c>
      <c r="F222" s="12" t="inlineStr">
        <is>
          <t>Test environment active, NutriFit app launched on local test setup for Authentication.</t>
        </is>
      </c>
      <c r="G222" s="12" t="inlineStr">
        <is>
          <t>1. Open NutriFit app on target setup.
2. Navigate to Authentication screen.
3. Invoke component function with test parameters, observe return values and side effects.
4. Validate assertions.</t>
        </is>
      </c>
      <c r="H222" s="12" t="inlineStr">
        <is>
          <t>Module: Authentication, Setup: Local Host, Detail: Function params: Variant #221 (Authentication)</t>
        </is>
      </c>
      <c r="I222" s="12" t="inlineStr">
        <is>
          <t>Function executes logic accurately and updates internal state correctly. for module Authentication.</t>
        </is>
      </c>
      <c r="J222" s="12" t="inlineStr">
        <is>
          <t>Pending Execution</t>
        </is>
      </c>
      <c r="K222" s="11" t="inlineStr">
        <is>
          <t>Medium</t>
        </is>
      </c>
      <c r="L222" s="11" t="inlineStr">
        <is>
          <t>Moderate</t>
        </is>
      </c>
      <c r="M222" s="13" t="inlineStr">
        <is>
          <t>Not Executed</t>
        </is>
      </c>
      <c r="N222" s="12" t="inlineStr">
        <is>
          <t>Generated baseline case for Functional</t>
        </is>
      </c>
    </row>
    <row r="223" ht="36" customHeight="1">
      <c r="A223" s="11" t="inlineStr">
        <is>
          <t>FUN-222</t>
        </is>
      </c>
      <c r="B223" s="12" t="inlineStr">
        <is>
          <t>Dashboard</t>
        </is>
      </c>
      <c r="C223" s="12" t="inlineStr">
        <is>
          <t>Verify validation constraints and edge-case handling for Dashboard</t>
        </is>
      </c>
      <c r="D223" s="12" t="inlineStr">
        <is>
          <t>Functional - Dashboard - Verify validation constraints and edge-case handling (#222)</t>
        </is>
      </c>
      <c r="E223" s="12" t="inlineStr">
        <is>
          <t>Ensure Dashboard module satisfies quality criteria for Functional category.</t>
        </is>
      </c>
      <c r="F223" s="12" t="inlineStr">
        <is>
          <t>Test environment active, NutriFit app launched on local test setup for Dashboard.</t>
        </is>
      </c>
      <c r="G223" s="12" t="inlineStr">
        <is>
          <t>1. Open NutriFit app on target setup.
2. Navigate to Dashboard screen.
3. Pass boundary, empty, and out-of-bounds inputs to validation handler.
4. Validate assertions.</t>
        </is>
      </c>
      <c r="H223" s="12" t="inlineStr">
        <is>
          <t>Module: Dashboard, Setup: Local Host, Detail: Edge case input: Variant #222 (Dashboard)</t>
        </is>
      </c>
      <c r="I223" s="12" t="inlineStr">
        <is>
          <t>Validation rules enforce constraints and return precise error strings. for module Dashboard.</t>
        </is>
      </c>
      <c r="J223" s="12" t="inlineStr">
        <is>
          <t>Pending Execution</t>
        </is>
      </c>
      <c r="K223" s="11" t="inlineStr">
        <is>
          <t>High</t>
        </is>
      </c>
      <c r="L223" s="11" t="inlineStr">
        <is>
          <t>Major</t>
        </is>
      </c>
      <c r="M223" s="13" t="inlineStr">
        <is>
          <t>Not Executed</t>
        </is>
      </c>
      <c r="N223" s="12" t="inlineStr">
        <is>
          <t>Generated baseline case for Functional</t>
        </is>
      </c>
    </row>
    <row r="224" ht="36" customHeight="1">
      <c r="A224" s="11" t="inlineStr">
        <is>
          <t>FUN-223</t>
        </is>
      </c>
      <c r="B224" s="12" t="inlineStr">
        <is>
          <t>Workout</t>
        </is>
      </c>
      <c r="C224" s="12" t="inlineStr">
        <is>
          <t>Verify asynchronous service calls and Futures resolution for Workout</t>
        </is>
      </c>
      <c r="D224" s="12" t="inlineStr">
        <is>
          <t>Functional - Workout - Verify asynchronous service calls and Futures resolution (#223)</t>
        </is>
      </c>
      <c r="E224" s="12" t="inlineStr">
        <is>
          <t>Ensure Workout module satisfies quality criteria for Functional category.</t>
        </is>
      </c>
      <c r="F224" s="12" t="inlineStr">
        <is>
          <t>Test environment active, NutriFit app launched on local test setup for Workout.</t>
        </is>
      </c>
      <c r="G224" s="12" t="inlineStr">
        <is>
          <t>1. Open NutriFit app on target setup.
2. Navigate to Workout screen.
3. Execute async service method, await Future completion, parse response model.
4. Validate assertions.</t>
        </is>
      </c>
      <c r="H224" s="12" t="inlineStr">
        <is>
          <t>Module: Workout, Setup: Local Host, Detail: Async payload: Variant #223 (Workout)</t>
        </is>
      </c>
      <c r="I224" s="12" t="inlineStr">
        <is>
          <t>Service parses JSON response cleanly into domain model instance. for module Workout.</t>
        </is>
      </c>
      <c r="J224" s="12" t="inlineStr">
        <is>
          <t>Pending Execution</t>
        </is>
      </c>
      <c r="K224" s="11" t="inlineStr">
        <is>
          <t>Medium</t>
        </is>
      </c>
      <c r="L224" s="11" t="inlineStr">
        <is>
          <t>Moderate</t>
        </is>
      </c>
      <c r="M224" s="13" t="inlineStr">
        <is>
          <t>Not Executed</t>
        </is>
      </c>
      <c r="N224" s="12" t="inlineStr">
        <is>
          <t>Generated baseline case for Functional</t>
        </is>
      </c>
    </row>
    <row r="225" ht="36" customHeight="1">
      <c r="A225" s="11" t="inlineStr">
        <is>
          <t>FUN-224</t>
        </is>
      </c>
      <c r="B225" s="12" t="inlineStr">
        <is>
          <t>Diet</t>
        </is>
      </c>
      <c r="C225" s="12" t="inlineStr">
        <is>
          <t>Verify reactive state listener callbacks and UI rebuilds for Diet</t>
        </is>
      </c>
      <c r="D225" s="12" t="inlineStr">
        <is>
          <t>Functional - Diet - Verify reactive state listener callbacks and UI rebuilds (#224)</t>
        </is>
      </c>
      <c r="E225" s="12" t="inlineStr">
        <is>
          <t>Ensure Diet module satisfies quality criteria for Functional category.</t>
        </is>
      </c>
      <c r="F225" s="12" t="inlineStr">
        <is>
          <t>Test environment active, NutriFit app launched on local test setup for Diet.</t>
        </is>
      </c>
      <c r="G225" s="12" t="inlineStr">
        <is>
          <t>1. Open NutriFit app on target setup.
2. Navigate to Diet screen.
3. Mutate state property in Provider model, count listener callbacks triggered.
4. Validate assertions.</t>
        </is>
      </c>
      <c r="H225" s="12" t="inlineStr">
        <is>
          <t>Module: Diet, Setup: Local Host, Detail: Provider notify: Variant #224 (Diet)</t>
        </is>
      </c>
      <c r="I225" s="12" t="inlineStr">
        <is>
          <t>Listeners receive notification and rebuild bound UI components once. for module Diet.</t>
        </is>
      </c>
      <c r="J225" s="12" t="inlineStr">
        <is>
          <t>Pending Execution</t>
        </is>
      </c>
      <c r="K225" s="11" t="inlineStr">
        <is>
          <t>Medium</t>
        </is>
      </c>
      <c r="L225" s="11" t="inlineStr">
        <is>
          <t>Critical</t>
        </is>
      </c>
      <c r="M225" s="13" t="inlineStr">
        <is>
          <t>Not Executed</t>
        </is>
      </c>
      <c r="N225" s="12" t="inlineStr">
        <is>
          <t>Generated baseline case for Functional</t>
        </is>
      </c>
    </row>
    <row r="226" ht="36" customHeight="1">
      <c r="A226" s="11" t="inlineStr">
        <is>
          <t>FUN-225</t>
        </is>
      </c>
      <c r="B226" s="12" t="inlineStr">
        <is>
          <t>Budget Diet</t>
        </is>
      </c>
      <c r="C226" s="12" t="inlineStr">
        <is>
          <t>Verify authorization guard rules and permission checks for Budget Diet</t>
        </is>
      </c>
      <c r="D226" s="12" t="inlineStr">
        <is>
          <t>Functional - Budget Diet - Verify authorization guard rules and permission checks (#225)</t>
        </is>
      </c>
      <c r="E226" s="12" t="inlineStr">
        <is>
          <t>Ensure Budget Diet module satisfies quality criteria for Functional category.</t>
        </is>
      </c>
      <c r="F226" s="12" t="inlineStr">
        <is>
          <t>Test environment active, NutriFit app launched on local test setup for Budget Diet.</t>
        </is>
      </c>
      <c r="G226" s="12" t="inlineStr">
        <is>
          <t>1. Open NutriFit app on target setup.
2. Navigate to Budget Diet screen.
3. Attempt feature access with restricted user permissions.
4. Validate assertions.</t>
        </is>
      </c>
      <c r="H226" s="12" t="inlineStr">
        <is>
          <t>Module: Budget Diet, Setup: Local Host, Detail: Auth role: Variant #225 (Budget Diet)</t>
        </is>
      </c>
      <c r="I226" s="12" t="inlineStr">
        <is>
          <t>Authorization guard blocks access and redirects to permission error screen. for module Budget Diet.</t>
        </is>
      </c>
      <c r="J226" s="12" t="inlineStr">
        <is>
          <t>Pending Execution</t>
        </is>
      </c>
      <c r="K226" s="11" t="inlineStr">
        <is>
          <t>High</t>
        </is>
      </c>
      <c r="L226" s="11" t="inlineStr">
        <is>
          <t>Moderate</t>
        </is>
      </c>
      <c r="M226" s="13" t="inlineStr">
        <is>
          <t>Not Executed</t>
        </is>
      </c>
      <c r="N226" s="12" t="inlineStr">
        <is>
          <t>Generated baseline case for Functional</t>
        </is>
      </c>
    </row>
    <row r="227" ht="36" customHeight="1">
      <c r="A227" s="11" t="inlineStr">
        <is>
          <t>FUN-226</t>
        </is>
      </c>
      <c r="B227" s="12" t="inlineStr">
        <is>
          <t>Stretching</t>
        </is>
      </c>
      <c r="C227" s="12" t="inlineStr">
        <is>
          <t>Verify component logic and state mutation functions for Stretching</t>
        </is>
      </c>
      <c r="D227" s="12" t="inlineStr">
        <is>
          <t>Functional - Stretching - Verify component logic and state mutation functions (#226)</t>
        </is>
      </c>
      <c r="E227" s="12" t="inlineStr">
        <is>
          <t>Ensure Stretching module satisfies quality criteria for Functional category.</t>
        </is>
      </c>
      <c r="F227" s="12" t="inlineStr">
        <is>
          <t>Test environment active, NutriFit app launched on local test setup for Stretching.</t>
        </is>
      </c>
      <c r="G227" s="12" t="inlineStr">
        <is>
          <t>1. Open NutriFit app on target setup.
2. Navigate to Stretching screen.
3. Invoke component function with test parameters, observe return values and side effects.
4. Validate assertions.</t>
        </is>
      </c>
      <c r="H227" s="12" t="inlineStr">
        <is>
          <t>Module: Stretching, Setup: Local Host, Detail: Function params: Variant #226 (Stretching)</t>
        </is>
      </c>
      <c r="I227" s="12" t="inlineStr">
        <is>
          <t>Function executes logic accurately and updates internal state correctly. for module Stretching.</t>
        </is>
      </c>
      <c r="J227" s="12" t="inlineStr">
        <is>
          <t>Pending Execution</t>
        </is>
      </c>
      <c r="K227" s="11" t="inlineStr">
        <is>
          <t>Medium</t>
        </is>
      </c>
      <c r="L227" s="11" t="inlineStr">
        <is>
          <t>Major</t>
        </is>
      </c>
      <c r="M227" s="13" t="inlineStr">
        <is>
          <t>Not Executed</t>
        </is>
      </c>
      <c r="N227" s="12" t="inlineStr">
        <is>
          <t>Generated baseline case for Functional</t>
        </is>
      </c>
    </row>
    <row r="228" ht="36" customHeight="1">
      <c r="A228" s="11" t="inlineStr">
        <is>
          <t>FUN-227</t>
        </is>
      </c>
      <c r="B228" s="12" t="inlineStr">
        <is>
          <t>Water Tracker</t>
        </is>
      </c>
      <c r="C228" s="12" t="inlineStr">
        <is>
          <t>Verify validation constraints and edge-case handling for Water Tracker</t>
        </is>
      </c>
      <c r="D228" s="12" t="inlineStr">
        <is>
          <t>Functional - Water Tracker - Verify validation constraints and edge-case handling (#227)</t>
        </is>
      </c>
      <c r="E228" s="12" t="inlineStr">
        <is>
          <t>Ensure Water Tracker module satisfies quality criteria for Functional category.</t>
        </is>
      </c>
      <c r="F228" s="12" t="inlineStr">
        <is>
          <t>Test environment active, NutriFit app launched on local test setup for Water Tracker.</t>
        </is>
      </c>
      <c r="G228" s="12" t="inlineStr">
        <is>
          <t>1. Open NutriFit app on target setup.
2. Navigate to Water Tracker screen.
3. Pass boundary, empty, and out-of-bounds inputs to validation handler.
4. Validate assertions.</t>
        </is>
      </c>
      <c r="H228" s="12" t="inlineStr">
        <is>
          <t>Module: Water Tracker, Setup: Local Host, Detail: Edge case input: Variant #227 (Water Tracker)</t>
        </is>
      </c>
      <c r="I228" s="12" t="inlineStr">
        <is>
          <t>Validation rules enforce constraints and return precise error strings. for module Water Tracker.</t>
        </is>
      </c>
      <c r="J228" s="12" t="inlineStr">
        <is>
          <t>Pending Execution</t>
        </is>
      </c>
      <c r="K228" s="11" t="inlineStr">
        <is>
          <t>Medium</t>
        </is>
      </c>
      <c r="L228" s="11" t="inlineStr">
        <is>
          <t>Moderate</t>
        </is>
      </c>
      <c r="M228" s="13" t="inlineStr">
        <is>
          <t>Not Executed</t>
        </is>
      </c>
      <c r="N228" s="12" t="inlineStr">
        <is>
          <t>Generated baseline case for Functional</t>
        </is>
      </c>
    </row>
    <row r="229" ht="36" customHeight="1">
      <c r="A229" s="11" t="inlineStr">
        <is>
          <t>FUN-228</t>
        </is>
      </c>
      <c r="B229" s="12" t="inlineStr">
        <is>
          <t>Sleep Tracker</t>
        </is>
      </c>
      <c r="C229" s="12" t="inlineStr">
        <is>
          <t>Verify asynchronous service calls and Futures resolution for Sleep Tracker</t>
        </is>
      </c>
      <c r="D229" s="12" t="inlineStr">
        <is>
          <t>Functional - Sleep Tracker - Verify asynchronous service calls and Futures resolution (#228)</t>
        </is>
      </c>
      <c r="E229" s="12" t="inlineStr">
        <is>
          <t>Ensure Sleep Tracker module satisfies quality criteria for Functional category.</t>
        </is>
      </c>
      <c r="F229" s="12" t="inlineStr">
        <is>
          <t>Test environment active, NutriFit app launched on local test setup for Sleep Tracker.</t>
        </is>
      </c>
      <c r="G229" s="12" t="inlineStr">
        <is>
          <t>1. Open NutriFit app on target setup.
2. Navigate to Sleep Tracker screen.
3. Execute async service method, await Future completion, parse response model.
4. Validate assertions.</t>
        </is>
      </c>
      <c r="H229" s="12" t="inlineStr">
        <is>
          <t>Module: Sleep Tracker, Setup: Local Host, Detail: Async payload: Variant #228 (Sleep Tracker)</t>
        </is>
      </c>
      <c r="I229" s="12" t="inlineStr">
        <is>
          <t>Service parses JSON response cleanly into domain model instance. for module Sleep Tracker.</t>
        </is>
      </c>
      <c r="J229" s="12" t="inlineStr">
        <is>
          <t>Pending Execution</t>
        </is>
      </c>
      <c r="K229" s="11" t="inlineStr">
        <is>
          <t>High</t>
        </is>
      </c>
      <c r="L229" s="11" t="inlineStr">
        <is>
          <t>Major</t>
        </is>
      </c>
      <c r="M229" s="13" t="inlineStr">
        <is>
          <t>Not Executed</t>
        </is>
      </c>
      <c r="N229" s="12" t="inlineStr">
        <is>
          <t>Generated baseline case for Functional</t>
        </is>
      </c>
    </row>
    <row r="230" ht="36" customHeight="1">
      <c r="A230" s="11" t="inlineStr">
        <is>
          <t>FUN-229</t>
        </is>
      </c>
      <c r="B230" s="12" t="inlineStr">
        <is>
          <t>Step Tracker</t>
        </is>
      </c>
      <c r="C230" s="12" t="inlineStr">
        <is>
          <t>Verify reactive state listener callbacks and UI rebuilds for Step Tracker</t>
        </is>
      </c>
      <c r="D230" s="12" t="inlineStr">
        <is>
          <t>Functional - Step Tracker - Verify reactive state listener callbacks and UI rebuilds (#229)</t>
        </is>
      </c>
      <c r="E230" s="12" t="inlineStr">
        <is>
          <t>Ensure Step Tracker module satisfies quality criteria for Functional category.</t>
        </is>
      </c>
      <c r="F230" s="12" t="inlineStr">
        <is>
          <t>Test environment active, NutriFit app launched on local test setup for Step Tracker.</t>
        </is>
      </c>
      <c r="G230" s="12" t="inlineStr">
        <is>
          <t>1. Open NutriFit app on target setup.
2. Navigate to Step Tracker screen.
3. Mutate state property in Provider model, count listener callbacks triggered.
4. Validate assertions.</t>
        </is>
      </c>
      <c r="H230" s="12" t="inlineStr">
        <is>
          <t>Module: Step Tracker, Setup: Local Host, Detail: Provider notify: Variant #229 (Step Tracker)</t>
        </is>
      </c>
      <c r="I230" s="12" t="inlineStr">
        <is>
          <t>Listeners receive notification and rebuild bound UI components once. for module Step Tracker.</t>
        </is>
      </c>
      <c r="J230" s="12" t="inlineStr">
        <is>
          <t>Pending Execution</t>
        </is>
      </c>
      <c r="K230" s="11" t="inlineStr">
        <is>
          <t>Medium</t>
        </is>
      </c>
      <c r="L230" s="11" t="inlineStr">
        <is>
          <t>Moderate</t>
        </is>
      </c>
      <c r="M230" s="13" t="inlineStr">
        <is>
          <t>Not Executed</t>
        </is>
      </c>
      <c r="N230" s="12" t="inlineStr">
        <is>
          <t>Generated baseline case for Functional</t>
        </is>
      </c>
    </row>
    <row r="231" ht="36" customHeight="1">
      <c r="A231" s="11" t="inlineStr">
        <is>
          <t>FUN-230</t>
        </is>
      </c>
      <c r="B231" s="12" t="inlineStr">
        <is>
          <t>AI Trainer</t>
        </is>
      </c>
      <c r="C231" s="12" t="inlineStr">
        <is>
          <t>Verify authorization guard rules and permission checks for AI Trainer</t>
        </is>
      </c>
      <c r="D231" s="12" t="inlineStr">
        <is>
          <t>Functional - AI Trainer - Verify authorization guard rules and permission checks (#230)</t>
        </is>
      </c>
      <c r="E231" s="12" t="inlineStr">
        <is>
          <t>Ensure AI Trainer module satisfies quality criteria for Functional category.</t>
        </is>
      </c>
      <c r="F231" s="12" t="inlineStr">
        <is>
          <t>Test environment active, NutriFit app launched on local test setup for AI Trainer.</t>
        </is>
      </c>
      <c r="G231" s="12" t="inlineStr">
        <is>
          <t>1. Open NutriFit app on target setup.
2. Navigate to AI Trainer screen.
3. Attempt feature access with restricted user permissions.
4. Validate assertions.</t>
        </is>
      </c>
      <c r="H231" s="12" t="inlineStr">
        <is>
          <t>Module: AI Trainer, Setup: Local Host, Detail: Auth role: Variant #230 (AI Trainer)</t>
        </is>
      </c>
      <c r="I231" s="12" t="inlineStr">
        <is>
          <t>Authorization guard blocks access and redirects to permission error screen. for module AI Trainer.</t>
        </is>
      </c>
      <c r="J231" s="12" t="inlineStr">
        <is>
          <t>Pending Execution</t>
        </is>
      </c>
      <c r="K231" s="11" t="inlineStr">
        <is>
          <t>Low</t>
        </is>
      </c>
      <c r="L231" s="11" t="inlineStr">
        <is>
          <t>Major</t>
        </is>
      </c>
      <c r="M231" s="13" t="inlineStr">
        <is>
          <t>Not Executed</t>
        </is>
      </c>
      <c r="N231" s="12" t="inlineStr">
        <is>
          <t>Generated baseline case for Functional</t>
        </is>
      </c>
    </row>
    <row r="232" ht="36" customHeight="1">
      <c r="A232" s="11" t="inlineStr">
        <is>
          <t>FUN-231</t>
        </is>
      </c>
      <c r="B232" s="12" t="inlineStr">
        <is>
          <t>Shop</t>
        </is>
      </c>
      <c r="C232" s="12" t="inlineStr">
        <is>
          <t>Verify component logic and state mutation functions for Shop</t>
        </is>
      </c>
      <c r="D232" s="12" t="inlineStr">
        <is>
          <t>Functional - Shop - Verify component logic and state mutation functions (#231)</t>
        </is>
      </c>
      <c r="E232" s="12" t="inlineStr">
        <is>
          <t>Ensure Shop module satisfies quality criteria for Functional category.</t>
        </is>
      </c>
      <c r="F232" s="12" t="inlineStr">
        <is>
          <t>Test environment active, NutriFit app launched on local test setup for Shop.</t>
        </is>
      </c>
      <c r="G232" s="12" t="inlineStr">
        <is>
          <t>1. Open NutriFit app on target setup.
2. Navigate to Shop screen.
3. Invoke component function with test parameters, observe return values and side effects.
4. Validate assertions.</t>
        </is>
      </c>
      <c r="H232" s="12" t="inlineStr">
        <is>
          <t>Module: Shop, Setup: Local Host, Detail: Function params: Variant #231 (Shop)</t>
        </is>
      </c>
      <c r="I232" s="12" t="inlineStr">
        <is>
          <t>Function executes logic accurately and updates internal state correctly. for module Shop.</t>
        </is>
      </c>
      <c r="J232" s="12" t="inlineStr">
        <is>
          <t>Pending Execution</t>
        </is>
      </c>
      <c r="K232" s="11" t="inlineStr">
        <is>
          <t>High</t>
        </is>
      </c>
      <c r="L232" s="11" t="inlineStr">
        <is>
          <t>Critical</t>
        </is>
      </c>
      <c r="M232" s="13" t="inlineStr">
        <is>
          <t>Not Executed</t>
        </is>
      </c>
      <c r="N232" s="12" t="inlineStr">
        <is>
          <t>Generated baseline case for Functional</t>
        </is>
      </c>
    </row>
    <row r="233" ht="36" customHeight="1">
      <c r="A233" s="11" t="inlineStr">
        <is>
          <t>FUN-232</t>
        </is>
      </c>
      <c r="B233" s="12" t="inlineStr">
        <is>
          <t>Cart</t>
        </is>
      </c>
      <c r="C233" s="12" t="inlineStr">
        <is>
          <t>Verify validation constraints and edge-case handling for Cart</t>
        </is>
      </c>
      <c r="D233" s="12" t="inlineStr">
        <is>
          <t>Functional - Cart - Verify validation constraints and edge-case handling (#232)</t>
        </is>
      </c>
      <c r="E233" s="12" t="inlineStr">
        <is>
          <t>Ensure Cart module satisfies quality criteria for Functional category.</t>
        </is>
      </c>
      <c r="F233" s="12" t="inlineStr">
        <is>
          <t>Test environment active, NutriFit app launched on local test setup for Cart.</t>
        </is>
      </c>
      <c r="G233" s="12" t="inlineStr">
        <is>
          <t>1. Open NutriFit app on target setup.
2. Navigate to Cart screen.
3. Pass boundary, empty, and out-of-bounds inputs to validation handler.
4. Validate assertions.</t>
        </is>
      </c>
      <c r="H233" s="12" t="inlineStr">
        <is>
          <t>Module: Cart, Setup: Local Host, Detail: Edge case input: Variant #232 (Cart)</t>
        </is>
      </c>
      <c r="I233" s="12" t="inlineStr">
        <is>
          <t>Validation rules enforce constraints and return precise error strings. for module Cart.</t>
        </is>
      </c>
      <c r="J233" s="12" t="inlineStr">
        <is>
          <t>Pending Execution</t>
        </is>
      </c>
      <c r="K233" s="11" t="inlineStr">
        <is>
          <t>Medium</t>
        </is>
      </c>
      <c r="L233" s="11" t="inlineStr">
        <is>
          <t>Major</t>
        </is>
      </c>
      <c r="M233" s="13" t="inlineStr">
        <is>
          <t>Not Executed</t>
        </is>
      </c>
      <c r="N233" s="12" t="inlineStr">
        <is>
          <t>Generated baseline case for Functional</t>
        </is>
      </c>
    </row>
    <row r="234" ht="36" customHeight="1">
      <c r="A234" s="11" t="inlineStr">
        <is>
          <t>FUN-233</t>
        </is>
      </c>
      <c r="B234" s="12" t="inlineStr">
        <is>
          <t>Checkout</t>
        </is>
      </c>
      <c r="C234" s="12" t="inlineStr">
        <is>
          <t>Verify asynchronous service calls and Futures resolution for Checkout</t>
        </is>
      </c>
      <c r="D234" s="12" t="inlineStr">
        <is>
          <t>Functional - Checkout - Verify asynchronous service calls and Futures resolution (#233)</t>
        </is>
      </c>
      <c r="E234" s="12" t="inlineStr">
        <is>
          <t>Ensure Checkout module satisfies quality criteria for Functional category.</t>
        </is>
      </c>
      <c r="F234" s="12" t="inlineStr">
        <is>
          <t>Test environment active, NutriFit app launched on local test setup for Checkout.</t>
        </is>
      </c>
      <c r="G234" s="12" t="inlineStr">
        <is>
          <t>1. Open NutriFit app on target setup.
2. Navigate to Checkout screen.
3. Execute async service method, await Future completion, parse response model.
4. Validate assertions.</t>
        </is>
      </c>
      <c r="H234" s="12" t="inlineStr">
        <is>
          <t>Module: Checkout, Setup: Local Host, Detail: Async payload: Variant #233 (Checkout)</t>
        </is>
      </c>
      <c r="I234" s="12" t="inlineStr">
        <is>
          <t>Service parses JSON response cleanly into domain model instance. for module Checkout.</t>
        </is>
      </c>
      <c r="J234" s="12" t="inlineStr">
        <is>
          <t>Pending Execution</t>
        </is>
      </c>
      <c r="K234" s="11" t="inlineStr">
        <is>
          <t>Medium</t>
        </is>
      </c>
      <c r="L234" s="11" t="inlineStr">
        <is>
          <t>Moderate</t>
        </is>
      </c>
      <c r="M234" s="13" t="inlineStr">
        <is>
          <t>Not Executed</t>
        </is>
      </c>
      <c r="N234" s="12" t="inlineStr">
        <is>
          <t>Generated baseline case for Functional</t>
        </is>
      </c>
    </row>
    <row r="235" ht="36" customHeight="1">
      <c r="A235" s="11" t="inlineStr">
        <is>
          <t>FUN-234</t>
        </is>
      </c>
      <c r="B235" s="12" t="inlineStr">
        <is>
          <t>Address</t>
        </is>
      </c>
      <c r="C235" s="12" t="inlineStr">
        <is>
          <t>Verify reactive state listener callbacks and UI rebuilds for Address</t>
        </is>
      </c>
      <c r="D235" s="12" t="inlineStr">
        <is>
          <t>Functional - Address - Verify reactive state listener callbacks and UI rebuilds (#234)</t>
        </is>
      </c>
      <c r="E235" s="12" t="inlineStr">
        <is>
          <t>Ensure Address module satisfies quality criteria for Functional category.</t>
        </is>
      </c>
      <c r="F235" s="12" t="inlineStr">
        <is>
          <t>Test environment active, NutriFit app launched on local test setup for Address.</t>
        </is>
      </c>
      <c r="G235" s="12" t="inlineStr">
        <is>
          <t>1. Open NutriFit app on target setup.
2. Navigate to Address screen.
3. Mutate state property in Provider model, count listener callbacks triggered.
4. Validate assertions.</t>
        </is>
      </c>
      <c r="H235" s="12" t="inlineStr">
        <is>
          <t>Module: Address, Setup: Local Host, Detail: Provider notify: Variant #234 (Address)</t>
        </is>
      </c>
      <c r="I235" s="12" t="inlineStr">
        <is>
          <t>Listeners receive notification and rebuild bound UI components once. for module Address.</t>
        </is>
      </c>
      <c r="J235" s="12" t="inlineStr">
        <is>
          <t>Pending Execution</t>
        </is>
      </c>
      <c r="K235" s="11" t="inlineStr">
        <is>
          <t>High</t>
        </is>
      </c>
      <c r="L235" s="11" t="inlineStr">
        <is>
          <t>Major</t>
        </is>
      </c>
      <c r="M235" s="13" t="inlineStr">
        <is>
          <t>Not Executed</t>
        </is>
      </c>
      <c r="N235" s="12" t="inlineStr">
        <is>
          <t>Generated baseline case for Functional</t>
        </is>
      </c>
    </row>
    <row r="236" ht="36" customHeight="1">
      <c r="A236" s="11" t="inlineStr">
        <is>
          <t>FUN-235</t>
        </is>
      </c>
      <c r="B236" s="12" t="inlineStr">
        <is>
          <t>Orders</t>
        </is>
      </c>
      <c r="C236" s="12" t="inlineStr">
        <is>
          <t>Verify authorization guard rules and permission checks for Orders</t>
        </is>
      </c>
      <c r="D236" s="12" t="inlineStr">
        <is>
          <t>Functional - Orders - Verify authorization guard rules and permission checks (#235)</t>
        </is>
      </c>
      <c r="E236" s="12" t="inlineStr">
        <is>
          <t>Ensure Orders module satisfies quality criteria for Functional category.</t>
        </is>
      </c>
      <c r="F236" s="12" t="inlineStr">
        <is>
          <t>Test environment active, NutriFit app launched on local test setup for Orders.</t>
        </is>
      </c>
      <c r="G236" s="12" t="inlineStr">
        <is>
          <t>1. Open NutriFit app on target setup.
2. Navigate to Orders screen.
3. Attempt feature access with restricted user permissions.
4. Validate assertions.</t>
        </is>
      </c>
      <c r="H236" s="12" t="inlineStr">
        <is>
          <t>Module: Orders, Setup: Local Host, Detail: Auth role: Variant #235 (Orders)</t>
        </is>
      </c>
      <c r="I236" s="12" t="inlineStr">
        <is>
          <t>Authorization guard blocks access and redirects to permission error screen. for module Orders.</t>
        </is>
      </c>
      <c r="J236" s="12" t="inlineStr">
        <is>
          <t>Pending Execution</t>
        </is>
      </c>
      <c r="K236" s="11" t="inlineStr">
        <is>
          <t>Low</t>
        </is>
      </c>
      <c r="L236" s="11" t="inlineStr">
        <is>
          <t>Moderate</t>
        </is>
      </c>
      <c r="M236" s="13" t="inlineStr">
        <is>
          <t>Not Executed</t>
        </is>
      </c>
      <c r="N236" s="12" t="inlineStr">
        <is>
          <t>Generated baseline case for Functional</t>
        </is>
      </c>
    </row>
    <row r="237" ht="36" customHeight="1">
      <c r="A237" s="11" t="inlineStr">
        <is>
          <t>FUN-236</t>
        </is>
      </c>
      <c r="B237" s="12" t="inlineStr">
        <is>
          <t>Profile</t>
        </is>
      </c>
      <c r="C237" s="12" t="inlineStr">
        <is>
          <t>Verify component logic and state mutation functions for Profile</t>
        </is>
      </c>
      <c r="D237" s="12" t="inlineStr">
        <is>
          <t>Functional - Profile - Verify component logic and state mutation functions (#236)</t>
        </is>
      </c>
      <c r="E237" s="12" t="inlineStr">
        <is>
          <t>Ensure Profile module satisfies quality criteria for Functional category.</t>
        </is>
      </c>
      <c r="F237" s="12" t="inlineStr">
        <is>
          <t>Test environment active, NutriFit app launched on local test setup for Profile.</t>
        </is>
      </c>
      <c r="G237" s="12" t="inlineStr">
        <is>
          <t>1. Open NutriFit app on target setup.
2. Navigate to Profile screen.
3. Invoke component function with test parameters, observe return values and side effects.
4. Validate assertions.</t>
        </is>
      </c>
      <c r="H237" s="12" t="inlineStr">
        <is>
          <t>Module: Profile, Setup: Local Host, Detail: Function params: Variant #236 (Profile)</t>
        </is>
      </c>
      <c r="I237" s="12" t="inlineStr">
        <is>
          <t>Function executes logic accurately and updates internal state correctly. for module Profile.</t>
        </is>
      </c>
      <c r="J237" s="12" t="inlineStr">
        <is>
          <t>Pending Execution</t>
        </is>
      </c>
      <c r="K237" s="11" t="inlineStr">
        <is>
          <t>Medium</t>
        </is>
      </c>
      <c r="L237" s="11" t="inlineStr">
        <is>
          <t>Major</t>
        </is>
      </c>
      <c r="M237" s="13" t="inlineStr">
        <is>
          <t>Not Executed</t>
        </is>
      </c>
      <c r="N237" s="12" t="inlineStr">
        <is>
          <t>Generated baseline case for Functional</t>
        </is>
      </c>
    </row>
    <row r="238" ht="36" customHeight="1">
      <c r="A238" s="11" t="inlineStr">
        <is>
          <t>FUN-237</t>
        </is>
      </c>
      <c r="B238" s="12" t="inlineStr">
        <is>
          <t>Notifications</t>
        </is>
      </c>
      <c r="C238" s="12" t="inlineStr">
        <is>
          <t>Verify validation constraints and edge-case handling for Notifications</t>
        </is>
      </c>
      <c r="D238" s="12" t="inlineStr">
        <is>
          <t>Functional - Notifications - Verify validation constraints and edge-case handling (#237)</t>
        </is>
      </c>
      <c r="E238" s="12" t="inlineStr">
        <is>
          <t>Ensure Notifications module satisfies quality criteria for Functional category.</t>
        </is>
      </c>
      <c r="F238" s="12" t="inlineStr">
        <is>
          <t>Test environment active, NutriFit app launched on local test setup for Notifications.</t>
        </is>
      </c>
      <c r="G238" s="12" t="inlineStr">
        <is>
          <t>1. Open NutriFit app on target setup.
2. Navigate to Notifications screen.
3. Pass boundary, empty, and out-of-bounds inputs to validation handler.
4. Validate assertions.</t>
        </is>
      </c>
      <c r="H238" s="12" t="inlineStr">
        <is>
          <t>Module: Notifications, Setup: Local Host, Detail: Edge case input: Variant #237 (Notifications)</t>
        </is>
      </c>
      <c r="I238" s="12" t="inlineStr">
        <is>
          <t>Validation rules enforce constraints and return precise error strings. for module Notifications.</t>
        </is>
      </c>
      <c r="J238" s="12" t="inlineStr">
        <is>
          <t>Pending Execution</t>
        </is>
      </c>
      <c r="K238" s="11" t="inlineStr">
        <is>
          <t>High</t>
        </is>
      </c>
      <c r="L238" s="11" t="inlineStr">
        <is>
          <t>Moderate</t>
        </is>
      </c>
      <c r="M238" s="13" t="inlineStr">
        <is>
          <t>Not Executed</t>
        </is>
      </c>
      <c r="N238" s="12" t="inlineStr">
        <is>
          <t>Generated baseline case for Functional</t>
        </is>
      </c>
    </row>
    <row r="239" ht="36" customHeight="1">
      <c r="A239" s="11" t="inlineStr">
        <is>
          <t>FUN-238</t>
        </is>
      </c>
      <c r="B239" s="12" t="inlineStr">
        <is>
          <t>Settings</t>
        </is>
      </c>
      <c r="C239" s="12" t="inlineStr">
        <is>
          <t>Verify asynchronous service calls and Futures resolution for Settings</t>
        </is>
      </c>
      <c r="D239" s="12" t="inlineStr">
        <is>
          <t>Functional - Settings - Verify asynchronous service calls and Futures resolution (#238)</t>
        </is>
      </c>
      <c r="E239" s="12" t="inlineStr">
        <is>
          <t>Ensure Settings module satisfies quality criteria for Functional category.</t>
        </is>
      </c>
      <c r="F239" s="12" t="inlineStr">
        <is>
          <t>Test environment active, NutriFit app launched on local test setup for Settings.</t>
        </is>
      </c>
      <c r="G239" s="12" t="inlineStr">
        <is>
          <t>1. Open NutriFit app on target setup.
2. Navigate to Settings screen.
3. Execute async service method, await Future completion, parse response model.
4. Validate assertions.</t>
        </is>
      </c>
      <c r="H239" s="12" t="inlineStr">
        <is>
          <t>Module: Settings, Setup: Local Host, Detail: Async payload: Variant #238 (Settings)</t>
        </is>
      </c>
      <c r="I239" s="12" t="inlineStr">
        <is>
          <t>Service parses JSON response cleanly into domain model instance. for module Settings.</t>
        </is>
      </c>
      <c r="J239" s="12" t="inlineStr">
        <is>
          <t>Pending Execution</t>
        </is>
      </c>
      <c r="K239" s="11" t="inlineStr">
        <is>
          <t>Medium</t>
        </is>
      </c>
      <c r="L239" s="11" t="inlineStr">
        <is>
          <t>Critical</t>
        </is>
      </c>
      <c r="M239" s="13" t="inlineStr">
        <is>
          <t>Not Executed</t>
        </is>
      </c>
      <c r="N239" s="12" t="inlineStr">
        <is>
          <t>Generated baseline case for Functional</t>
        </is>
      </c>
    </row>
    <row r="240" ht="36" customHeight="1">
      <c r="A240" s="11" t="inlineStr">
        <is>
          <t>FUN-239</t>
        </is>
      </c>
      <c r="B240" s="12" t="inlineStr">
        <is>
          <t>Localization</t>
        </is>
      </c>
      <c r="C240" s="12" t="inlineStr">
        <is>
          <t>Verify reactive state listener callbacks and UI rebuilds for Localization</t>
        </is>
      </c>
      <c r="D240" s="12" t="inlineStr">
        <is>
          <t>Functional - Localization - Verify reactive state listener callbacks and UI rebuilds (#239)</t>
        </is>
      </c>
      <c r="E240" s="12" t="inlineStr">
        <is>
          <t>Ensure Localization module satisfies quality criteria for Functional category.</t>
        </is>
      </c>
      <c r="F240" s="12" t="inlineStr">
        <is>
          <t>Test environment active, NutriFit app launched on local test setup for Localization.</t>
        </is>
      </c>
      <c r="G240" s="12" t="inlineStr">
        <is>
          <t>1. Open NutriFit app on target setup.
2. Navigate to Localization screen.
3. Mutate state property in Provider model, count listener callbacks triggered.
4. Validate assertions.</t>
        </is>
      </c>
      <c r="H240" s="12" t="inlineStr">
        <is>
          <t>Module: Localization, Setup: Local Host, Detail: Provider notify: Variant #239 (Localization)</t>
        </is>
      </c>
      <c r="I240" s="12" t="inlineStr">
        <is>
          <t>Listeners receive notification and rebuild bound UI components once. for module Localization.</t>
        </is>
      </c>
      <c r="J240" s="12" t="inlineStr">
        <is>
          <t>Pending Execution</t>
        </is>
      </c>
      <c r="K240" s="11" t="inlineStr">
        <is>
          <t>Medium</t>
        </is>
      </c>
      <c r="L240" s="11" t="inlineStr">
        <is>
          <t>Moderate</t>
        </is>
      </c>
      <c r="M240" s="13" t="inlineStr">
        <is>
          <t>Not Executed</t>
        </is>
      </c>
      <c r="N240" s="12" t="inlineStr">
        <is>
          <t>Generated baseline case for Functional</t>
        </is>
      </c>
    </row>
    <row r="241" ht="36" customHeight="1">
      <c r="A241" s="11" t="inlineStr">
        <is>
          <t>FUN-240</t>
        </is>
      </c>
      <c r="B241" s="12" t="inlineStr">
        <is>
          <t>Supabase Integration</t>
        </is>
      </c>
      <c r="C241" s="12" t="inlineStr">
        <is>
          <t>Verify authorization guard rules and permission checks for Supabase Integration</t>
        </is>
      </c>
      <c r="D241" s="12" t="inlineStr">
        <is>
          <t>Functional - Supabase Integration - Verify authorization guard rules and permission checks (#240)</t>
        </is>
      </c>
      <c r="E241" s="12" t="inlineStr">
        <is>
          <t>Ensure Supabase Integration module satisfies quality criteria for Functional category.</t>
        </is>
      </c>
      <c r="F241" s="12" t="inlineStr">
        <is>
          <t>Test environment active, NutriFit app launched on local test setup for Supabase Integration.</t>
        </is>
      </c>
      <c r="G241" s="12" t="inlineStr">
        <is>
          <t>1. Open NutriFit app on target setup.
2. Navigate to Supabase Integration screen.
3. Attempt feature access with restricted user permissions.
4. Validate assertions.</t>
        </is>
      </c>
      <c r="H241" s="12" t="inlineStr">
        <is>
          <t>Module: Supabase Integration, Setup: Local Host, Detail: Auth role: Variant #240 (Supabase Integration)</t>
        </is>
      </c>
      <c r="I241" s="12" t="inlineStr">
        <is>
          <t>Authorization guard blocks access and redirects to permission error screen. for module Supabase Integration.</t>
        </is>
      </c>
      <c r="J241" s="12" t="inlineStr">
        <is>
          <t>Pending Execution</t>
        </is>
      </c>
      <c r="K241" s="11" t="inlineStr">
        <is>
          <t>High</t>
        </is>
      </c>
      <c r="L241" s="11" t="inlineStr">
        <is>
          <t>Major</t>
        </is>
      </c>
      <c r="M241" s="13" t="inlineStr">
        <is>
          <t>Not Executed</t>
        </is>
      </c>
      <c r="N241" s="12" t="inlineStr">
        <is>
          <t>Generated baseline case for Functional</t>
        </is>
      </c>
    </row>
    <row r="242" ht="36" customHeight="1">
      <c r="A242" s="11" t="inlineStr">
        <is>
          <t>FUN-241</t>
        </is>
      </c>
      <c r="B242" s="12" t="inlineStr">
        <is>
          <t>Responsive Web</t>
        </is>
      </c>
      <c r="C242" s="12" t="inlineStr">
        <is>
          <t>Verify component logic and state mutation functions for Responsive Web</t>
        </is>
      </c>
      <c r="D242" s="12" t="inlineStr">
        <is>
          <t>Functional - Responsive Web - Verify component logic and state mutation functions (#241)</t>
        </is>
      </c>
      <c r="E242" s="12" t="inlineStr">
        <is>
          <t>Ensure Responsive Web module satisfies quality criteria for Functional category.</t>
        </is>
      </c>
      <c r="F242" s="12" t="inlineStr">
        <is>
          <t>Test environment active, NutriFit app launched on local test setup for Responsive Web.</t>
        </is>
      </c>
      <c r="G242" s="12" t="inlineStr">
        <is>
          <t>1. Open NutriFit app on target setup.
2. Navigate to Responsive Web screen.
3. Invoke component function with test parameters, observe return values and side effects.
4. Validate assertions.</t>
        </is>
      </c>
      <c r="H242" s="12" t="inlineStr">
        <is>
          <t>Module: Responsive Web, Setup: Local Host, Detail: Function params: Variant #241 (Responsive Web)</t>
        </is>
      </c>
      <c r="I242" s="12" t="inlineStr">
        <is>
          <t>Function executes logic accurately and updates internal state correctly. for module Responsive Web.</t>
        </is>
      </c>
      <c r="J242" s="12" t="inlineStr">
        <is>
          <t>Pending Execution</t>
        </is>
      </c>
      <c r="K242" s="11" t="inlineStr">
        <is>
          <t>Medium</t>
        </is>
      </c>
      <c r="L242" s="11" t="inlineStr">
        <is>
          <t>Moderate</t>
        </is>
      </c>
      <c r="M242" s="13" t="inlineStr">
        <is>
          <t>Not Executed</t>
        </is>
      </c>
      <c r="N242" s="12" t="inlineStr">
        <is>
          <t>Generated baseline case for Functional</t>
        </is>
      </c>
    </row>
    <row r="243" ht="36" customHeight="1">
      <c r="A243" s="11" t="inlineStr">
        <is>
          <t>FUN-242</t>
        </is>
      </c>
      <c r="B243" s="12" t="inlineStr">
        <is>
          <t>Android UI</t>
        </is>
      </c>
      <c r="C243" s="12" t="inlineStr">
        <is>
          <t>Verify validation constraints and edge-case handling for Android UI</t>
        </is>
      </c>
      <c r="D243" s="12" t="inlineStr">
        <is>
          <t>Functional - Android UI - Verify validation constraints and edge-case handling (#242)</t>
        </is>
      </c>
      <c r="E243" s="12" t="inlineStr">
        <is>
          <t>Ensure Android UI module satisfies quality criteria for Functional category.</t>
        </is>
      </c>
      <c r="F243" s="12" t="inlineStr">
        <is>
          <t>Test environment active, NutriFit app launched on local test setup for Android UI.</t>
        </is>
      </c>
      <c r="G243" s="12" t="inlineStr">
        <is>
          <t>1. Open NutriFit app on target setup.
2. Navigate to Android UI screen.
3. Pass boundary, empty, and out-of-bounds inputs to validation handler.
4. Validate assertions.</t>
        </is>
      </c>
      <c r="H243" s="12" t="inlineStr">
        <is>
          <t>Module: Android UI, Setup: Local Host, Detail: Edge case input: Variant #242 (Android UI)</t>
        </is>
      </c>
      <c r="I243" s="12" t="inlineStr">
        <is>
          <t>Validation rules enforce constraints and return precise error strings. for module Android UI.</t>
        </is>
      </c>
      <c r="J243" s="12" t="inlineStr">
        <is>
          <t>Pending Execution</t>
        </is>
      </c>
      <c r="K243" s="11" t="inlineStr">
        <is>
          <t>Medium</t>
        </is>
      </c>
      <c r="L243" s="11" t="inlineStr">
        <is>
          <t>Major</t>
        </is>
      </c>
      <c r="M243" s="13" t="inlineStr">
        <is>
          <t>Not Executed</t>
        </is>
      </c>
      <c r="N243" s="12" t="inlineStr">
        <is>
          <t>Generated baseline case for Functional</t>
        </is>
      </c>
    </row>
    <row r="244" ht="36" customHeight="1">
      <c r="A244" s="11" t="inlineStr">
        <is>
          <t>FUN-243</t>
        </is>
      </c>
      <c r="B244" s="12" t="inlineStr">
        <is>
          <t>Authentication</t>
        </is>
      </c>
      <c r="C244" s="12" t="inlineStr">
        <is>
          <t>Verify asynchronous service calls and Futures resolution for Authentication</t>
        </is>
      </c>
      <c r="D244" s="12" t="inlineStr">
        <is>
          <t>Functional - Authentication - Verify asynchronous service calls and Futures resolution (#243)</t>
        </is>
      </c>
      <c r="E244" s="12" t="inlineStr">
        <is>
          <t>Ensure Authentication module satisfies quality criteria for Functional category.</t>
        </is>
      </c>
      <c r="F244" s="12" t="inlineStr">
        <is>
          <t>Test environment active, NutriFit app launched on local test setup for Authentication.</t>
        </is>
      </c>
      <c r="G244" s="12" t="inlineStr">
        <is>
          <t>1. Open NutriFit app on target setup.
2. Navigate to Authentication screen.
3. Execute async service method, await Future completion, parse response model.
4. Validate assertions.</t>
        </is>
      </c>
      <c r="H244" s="12" t="inlineStr">
        <is>
          <t>Module: Authentication, Setup: Local Host, Detail: Async payload: Variant #243 (Authentication)</t>
        </is>
      </c>
      <c r="I244" s="12" t="inlineStr">
        <is>
          <t>Service parses JSON response cleanly into domain model instance. for module Authentication.</t>
        </is>
      </c>
      <c r="J244" s="12" t="inlineStr">
        <is>
          <t>Pending Execution</t>
        </is>
      </c>
      <c r="K244" s="11" t="inlineStr">
        <is>
          <t>High</t>
        </is>
      </c>
      <c r="L244" s="11" t="inlineStr">
        <is>
          <t>Moderate</t>
        </is>
      </c>
      <c r="M244" s="13" t="inlineStr">
        <is>
          <t>Not Executed</t>
        </is>
      </c>
      <c r="N244" s="12" t="inlineStr">
        <is>
          <t>Generated baseline case for Functional</t>
        </is>
      </c>
    </row>
    <row r="245" ht="36" customHeight="1">
      <c r="A245" s="11" t="inlineStr">
        <is>
          <t>FUN-244</t>
        </is>
      </c>
      <c r="B245" s="12" t="inlineStr">
        <is>
          <t>Dashboard</t>
        </is>
      </c>
      <c r="C245" s="12" t="inlineStr">
        <is>
          <t>Verify reactive state listener callbacks and UI rebuilds for Dashboard</t>
        </is>
      </c>
      <c r="D245" s="12" t="inlineStr">
        <is>
          <t>Functional - Dashboard - Verify reactive state listener callbacks and UI rebuilds (#244)</t>
        </is>
      </c>
      <c r="E245" s="12" t="inlineStr">
        <is>
          <t>Ensure Dashboard module satisfies quality criteria for Functional category.</t>
        </is>
      </c>
      <c r="F245" s="12" t="inlineStr">
        <is>
          <t>Test environment active, NutriFit app launched on local test setup for Dashboard.</t>
        </is>
      </c>
      <c r="G245" s="12" t="inlineStr">
        <is>
          <t>1. Open NutriFit app on target setup.
2. Navigate to Dashboard screen.
3. Mutate state property in Provider model, count listener callbacks triggered.
4. Validate assertions.</t>
        </is>
      </c>
      <c r="H245" s="12" t="inlineStr">
        <is>
          <t>Module: Dashboard, Setup: Local Host, Detail: Provider notify: Variant #244 (Dashboard)</t>
        </is>
      </c>
      <c r="I245" s="12" t="inlineStr">
        <is>
          <t>Listeners receive notification and rebuild bound UI components once. for module Dashboard.</t>
        </is>
      </c>
      <c r="J245" s="12" t="inlineStr">
        <is>
          <t>Pending Execution</t>
        </is>
      </c>
      <c r="K245" s="11" t="inlineStr">
        <is>
          <t>Medium</t>
        </is>
      </c>
      <c r="L245" s="11" t="inlineStr">
        <is>
          <t>Major</t>
        </is>
      </c>
      <c r="M245" s="13" t="inlineStr">
        <is>
          <t>Not Executed</t>
        </is>
      </c>
      <c r="N245" s="12" t="inlineStr">
        <is>
          <t>Generated baseline case for Functional</t>
        </is>
      </c>
    </row>
    <row r="246" ht="36" customHeight="1">
      <c r="A246" s="11" t="inlineStr">
        <is>
          <t>FUN-245</t>
        </is>
      </c>
      <c r="B246" s="12" t="inlineStr">
        <is>
          <t>Workout</t>
        </is>
      </c>
      <c r="C246" s="12" t="inlineStr">
        <is>
          <t>Verify authorization guard rules and permission checks for Workout</t>
        </is>
      </c>
      <c r="D246" s="12" t="inlineStr">
        <is>
          <t>Functional - Workout - Verify authorization guard rules and permission checks (#245)</t>
        </is>
      </c>
      <c r="E246" s="12" t="inlineStr">
        <is>
          <t>Ensure Workout module satisfies quality criteria for Functional category.</t>
        </is>
      </c>
      <c r="F246" s="12" t="inlineStr">
        <is>
          <t>Test environment active, NutriFit app launched on local test setup for Workout.</t>
        </is>
      </c>
      <c r="G246" s="12" t="inlineStr">
        <is>
          <t>1. Open NutriFit app on target setup.
2. Navigate to Workout screen.
3. Attempt feature access with restricted user permissions.
4. Validate assertions.</t>
        </is>
      </c>
      <c r="H246" s="12" t="inlineStr">
        <is>
          <t>Module: Workout, Setup: Local Host, Detail: Auth role: Variant #245 (Workout)</t>
        </is>
      </c>
      <c r="I246" s="12" t="inlineStr">
        <is>
          <t>Authorization guard blocks access and redirects to permission error screen. for module Workout.</t>
        </is>
      </c>
      <c r="J246" s="12" t="inlineStr">
        <is>
          <t>Pending Execution</t>
        </is>
      </c>
      <c r="K246" s="11" t="inlineStr">
        <is>
          <t>Low</t>
        </is>
      </c>
      <c r="L246" s="11" t="inlineStr">
        <is>
          <t>Critical</t>
        </is>
      </c>
      <c r="M246" s="13" t="inlineStr">
        <is>
          <t>Not Executed</t>
        </is>
      </c>
      <c r="N246" s="12" t="inlineStr">
        <is>
          <t>Generated baseline case for Functional</t>
        </is>
      </c>
    </row>
    <row r="247" ht="36" customHeight="1">
      <c r="A247" s="11" t="inlineStr">
        <is>
          <t>FUN-246</t>
        </is>
      </c>
      <c r="B247" s="12" t="inlineStr">
        <is>
          <t>Diet</t>
        </is>
      </c>
      <c r="C247" s="12" t="inlineStr">
        <is>
          <t>Verify component logic and state mutation functions for Diet</t>
        </is>
      </c>
      <c r="D247" s="12" t="inlineStr">
        <is>
          <t>Functional - Diet - Verify component logic and state mutation functions (#246)</t>
        </is>
      </c>
      <c r="E247" s="12" t="inlineStr">
        <is>
          <t>Ensure Diet module satisfies quality criteria for Functional category.</t>
        </is>
      </c>
      <c r="F247" s="12" t="inlineStr">
        <is>
          <t>Test environment active, NutriFit app launched on local test setup for Diet.</t>
        </is>
      </c>
      <c r="G247" s="12" t="inlineStr">
        <is>
          <t>1. Open NutriFit app on target setup.
2. Navigate to Diet screen.
3. Invoke component function with test parameters, observe return values and side effects.
4. Validate assertions.</t>
        </is>
      </c>
      <c r="H247" s="12" t="inlineStr">
        <is>
          <t>Module: Diet, Setup: Local Host, Detail: Function params: Variant #246 (Diet)</t>
        </is>
      </c>
      <c r="I247" s="12" t="inlineStr">
        <is>
          <t>Function executes logic accurately and updates internal state correctly. for module Diet.</t>
        </is>
      </c>
      <c r="J247" s="12" t="inlineStr">
        <is>
          <t>Pending Execution</t>
        </is>
      </c>
      <c r="K247" s="11" t="inlineStr">
        <is>
          <t>High</t>
        </is>
      </c>
      <c r="L247" s="11" t="inlineStr">
        <is>
          <t>Major</t>
        </is>
      </c>
      <c r="M247" s="13" t="inlineStr">
        <is>
          <t>Not Executed</t>
        </is>
      </c>
      <c r="N247" s="12" t="inlineStr">
        <is>
          <t>Generated baseline case for Functional</t>
        </is>
      </c>
    </row>
    <row r="248" ht="36" customHeight="1">
      <c r="A248" s="11" t="inlineStr">
        <is>
          <t>FUN-247</t>
        </is>
      </c>
      <c r="B248" s="12" t="inlineStr">
        <is>
          <t>Budget Diet</t>
        </is>
      </c>
      <c r="C248" s="12" t="inlineStr">
        <is>
          <t>Verify validation constraints and edge-case handling for Budget Diet</t>
        </is>
      </c>
      <c r="D248" s="12" t="inlineStr">
        <is>
          <t>Functional - Budget Diet - Verify validation constraints and edge-case handling (#247)</t>
        </is>
      </c>
      <c r="E248" s="12" t="inlineStr">
        <is>
          <t>Ensure Budget Diet module satisfies quality criteria for Functional category.</t>
        </is>
      </c>
      <c r="F248" s="12" t="inlineStr">
        <is>
          <t>Test environment active, NutriFit app launched on local test setup for Budget Diet.</t>
        </is>
      </c>
      <c r="G248" s="12" t="inlineStr">
        <is>
          <t>1. Open NutriFit app on target setup.
2. Navigate to Budget Diet screen.
3. Pass boundary, empty, and out-of-bounds inputs to validation handler.
4. Validate assertions.</t>
        </is>
      </c>
      <c r="H248" s="12" t="inlineStr">
        <is>
          <t>Module: Budget Diet, Setup: Local Host, Detail: Edge case input: Variant #247 (Budget Diet)</t>
        </is>
      </c>
      <c r="I248" s="12" t="inlineStr">
        <is>
          <t>Validation rules enforce constraints and return precise error strings. for module Budget Diet.</t>
        </is>
      </c>
      <c r="J248" s="12" t="inlineStr">
        <is>
          <t>Pending Execution</t>
        </is>
      </c>
      <c r="K248" s="11" t="inlineStr">
        <is>
          <t>Medium</t>
        </is>
      </c>
      <c r="L248" s="11" t="inlineStr">
        <is>
          <t>Moderate</t>
        </is>
      </c>
      <c r="M248" s="13" t="inlineStr">
        <is>
          <t>Not Executed</t>
        </is>
      </c>
      <c r="N248" s="12" t="inlineStr">
        <is>
          <t>Generated baseline case for Functional</t>
        </is>
      </c>
    </row>
    <row r="249" ht="36" customHeight="1">
      <c r="A249" s="11" t="inlineStr">
        <is>
          <t>FUN-248</t>
        </is>
      </c>
      <c r="B249" s="12" t="inlineStr">
        <is>
          <t>Stretching</t>
        </is>
      </c>
      <c r="C249" s="12" t="inlineStr">
        <is>
          <t>Verify asynchronous service calls and Futures resolution for Stretching</t>
        </is>
      </c>
      <c r="D249" s="12" t="inlineStr">
        <is>
          <t>Functional - Stretching - Verify asynchronous service calls and Futures resolution (#248)</t>
        </is>
      </c>
      <c r="E249" s="12" t="inlineStr">
        <is>
          <t>Ensure Stretching module satisfies quality criteria for Functional category.</t>
        </is>
      </c>
      <c r="F249" s="12" t="inlineStr">
        <is>
          <t>Test environment active, NutriFit app launched on local test setup for Stretching.</t>
        </is>
      </c>
      <c r="G249" s="12" t="inlineStr">
        <is>
          <t>1. Open NutriFit app on target setup.
2. Navigate to Stretching screen.
3. Execute async service method, await Future completion, parse response model.
4. Validate assertions.</t>
        </is>
      </c>
      <c r="H249" s="12" t="inlineStr">
        <is>
          <t>Module: Stretching, Setup: Local Host, Detail: Async payload: Variant #248 (Stretching)</t>
        </is>
      </c>
      <c r="I249" s="12" t="inlineStr">
        <is>
          <t>Service parses JSON response cleanly into domain model instance. for module Stretching.</t>
        </is>
      </c>
      <c r="J249" s="12" t="inlineStr">
        <is>
          <t>Pending Execution</t>
        </is>
      </c>
      <c r="K249" s="11" t="inlineStr">
        <is>
          <t>Medium</t>
        </is>
      </c>
      <c r="L249" s="11" t="inlineStr">
        <is>
          <t>Major</t>
        </is>
      </c>
      <c r="M249" s="13" t="inlineStr">
        <is>
          <t>Not Executed</t>
        </is>
      </c>
      <c r="N249" s="12" t="inlineStr">
        <is>
          <t>Generated baseline case for Functional</t>
        </is>
      </c>
    </row>
    <row r="250" ht="36" customHeight="1">
      <c r="A250" s="11" t="inlineStr">
        <is>
          <t>FUN-249</t>
        </is>
      </c>
      <c r="B250" s="12" t="inlineStr">
        <is>
          <t>Water Tracker</t>
        </is>
      </c>
      <c r="C250" s="12" t="inlineStr">
        <is>
          <t>Verify reactive state listener callbacks and UI rebuilds for Water Tracker</t>
        </is>
      </c>
      <c r="D250" s="12" t="inlineStr">
        <is>
          <t>Functional - Water Tracker - Verify reactive state listener callbacks and UI rebuilds (#249)</t>
        </is>
      </c>
      <c r="E250" s="12" t="inlineStr">
        <is>
          <t>Ensure Water Tracker module satisfies quality criteria for Functional category.</t>
        </is>
      </c>
      <c r="F250" s="12" t="inlineStr">
        <is>
          <t>Test environment active, NutriFit app launched on local test setup for Water Tracker.</t>
        </is>
      </c>
      <c r="G250" s="12" t="inlineStr">
        <is>
          <t>1. Open NutriFit app on target setup.
2. Navigate to Water Tracker screen.
3. Mutate state property in Provider model, count listener callbacks triggered.
4. Validate assertions.</t>
        </is>
      </c>
      <c r="H250" s="12" t="inlineStr">
        <is>
          <t>Module: Water Tracker, Setup: Local Host, Detail: Provider notify: Variant #249 (Water Tracker)</t>
        </is>
      </c>
      <c r="I250" s="12" t="inlineStr">
        <is>
          <t>Listeners receive notification and rebuild bound UI components once. for module Water Tracker.</t>
        </is>
      </c>
      <c r="J250" s="12" t="inlineStr">
        <is>
          <t>Pending Execution</t>
        </is>
      </c>
      <c r="K250" s="11" t="inlineStr">
        <is>
          <t>High</t>
        </is>
      </c>
      <c r="L250" s="11" t="inlineStr">
        <is>
          <t>Moderate</t>
        </is>
      </c>
      <c r="M250" s="13" t="inlineStr">
        <is>
          <t>Not Executed</t>
        </is>
      </c>
      <c r="N250" s="12" t="inlineStr">
        <is>
          <t>Generated baseline case for Functional</t>
        </is>
      </c>
    </row>
    <row r="251" ht="36" customHeight="1">
      <c r="A251" s="11" t="inlineStr">
        <is>
          <t>FUN-250</t>
        </is>
      </c>
      <c r="B251" s="12" t="inlineStr">
        <is>
          <t>Sleep Tracker</t>
        </is>
      </c>
      <c r="C251" s="12" t="inlineStr">
        <is>
          <t>Verify authorization guard rules and permission checks for Sleep Tracker</t>
        </is>
      </c>
      <c r="D251" s="12" t="inlineStr">
        <is>
          <t>Functional - Sleep Tracker - Verify authorization guard rules and permission checks (#250)</t>
        </is>
      </c>
      <c r="E251" s="12" t="inlineStr">
        <is>
          <t>Ensure Sleep Tracker module satisfies quality criteria for Functional category.</t>
        </is>
      </c>
      <c r="F251" s="12" t="inlineStr">
        <is>
          <t>Test environment active, NutriFit app launched on local test setup for Sleep Tracker.</t>
        </is>
      </c>
      <c r="G251" s="12" t="inlineStr">
        <is>
          <t>1. Open NutriFit app on target setup.
2. Navigate to Sleep Tracker screen.
3. Attempt feature access with restricted user permissions.
4. Validate assertions.</t>
        </is>
      </c>
      <c r="H251" s="12" t="inlineStr">
        <is>
          <t>Module: Sleep Tracker, Setup: Local Host, Detail: Auth role: Variant #250 (Sleep Tracker)</t>
        </is>
      </c>
      <c r="I251" s="12" t="inlineStr">
        <is>
          <t>Authorization guard blocks access and redirects to permission error screen. for module Sleep Tracker.</t>
        </is>
      </c>
      <c r="J251" s="12" t="inlineStr">
        <is>
          <t>Pending Execution</t>
        </is>
      </c>
      <c r="K251" s="11" t="inlineStr">
        <is>
          <t>Low</t>
        </is>
      </c>
      <c r="L251" s="11" t="inlineStr">
        <is>
          <t>Major</t>
        </is>
      </c>
      <c r="M251" s="13" t="inlineStr">
        <is>
          <t>Not Executed</t>
        </is>
      </c>
      <c r="N251" s="12" t="inlineStr">
        <is>
          <t>Generated baseline case for Functional</t>
        </is>
      </c>
    </row>
    <row r="252" ht="36" customHeight="1">
      <c r="A252" s="11" t="inlineStr">
        <is>
          <t>FUN-251</t>
        </is>
      </c>
      <c r="B252" s="12" t="inlineStr">
        <is>
          <t>Step Tracker</t>
        </is>
      </c>
      <c r="C252" s="12" t="inlineStr">
        <is>
          <t>Verify component logic and state mutation functions for Step Tracker</t>
        </is>
      </c>
      <c r="D252" s="12" t="inlineStr">
        <is>
          <t>Functional - Step Tracker - Verify component logic and state mutation functions (#251)</t>
        </is>
      </c>
      <c r="E252" s="12" t="inlineStr">
        <is>
          <t>Ensure Step Tracker module satisfies quality criteria for Functional category.</t>
        </is>
      </c>
      <c r="F252" s="12" t="inlineStr">
        <is>
          <t>Test environment active, NutriFit app launched on local test setup for Step Tracker.</t>
        </is>
      </c>
      <c r="G252" s="12" t="inlineStr">
        <is>
          <t>1. Open NutriFit app on target setup.
2. Navigate to Step Tracker screen.
3. Invoke component function with test parameters, observe return values and side effects.
4. Validate assertions.</t>
        </is>
      </c>
      <c r="H252" s="12" t="inlineStr">
        <is>
          <t>Module: Step Tracker, Setup: Local Host, Detail: Function params: Variant #251 (Step Tracker)</t>
        </is>
      </c>
      <c r="I252" s="12" t="inlineStr">
        <is>
          <t>Function executes logic accurately and updates internal state correctly. for module Step Tracker.</t>
        </is>
      </c>
      <c r="J252" s="12" t="inlineStr">
        <is>
          <t>Pending Execution</t>
        </is>
      </c>
      <c r="K252" s="11" t="inlineStr">
        <is>
          <t>Medium</t>
        </is>
      </c>
      <c r="L252" s="11" t="inlineStr">
        <is>
          <t>Moderate</t>
        </is>
      </c>
      <c r="M252" s="13" t="inlineStr">
        <is>
          <t>Not Executed</t>
        </is>
      </c>
      <c r="N252" s="12" t="inlineStr">
        <is>
          <t>Generated baseline case for Functional</t>
        </is>
      </c>
    </row>
    <row r="253" ht="36" customHeight="1">
      <c r="A253" s="11" t="inlineStr">
        <is>
          <t>FUN-252</t>
        </is>
      </c>
      <c r="B253" s="12" t="inlineStr">
        <is>
          <t>AI Trainer</t>
        </is>
      </c>
      <c r="C253" s="12" t="inlineStr">
        <is>
          <t>Verify validation constraints and edge-case handling for AI Trainer</t>
        </is>
      </c>
      <c r="D253" s="12" t="inlineStr">
        <is>
          <t>Functional - AI Trainer - Verify validation constraints and edge-case handling (#252)</t>
        </is>
      </c>
      <c r="E253" s="12" t="inlineStr">
        <is>
          <t>Ensure AI Trainer module satisfies quality criteria for Functional category.</t>
        </is>
      </c>
      <c r="F253" s="12" t="inlineStr">
        <is>
          <t>Test environment active, NutriFit app launched on local test setup for AI Trainer.</t>
        </is>
      </c>
      <c r="G253" s="12" t="inlineStr">
        <is>
          <t>1. Open NutriFit app on target setup.
2. Navigate to AI Trainer screen.
3. Pass boundary, empty, and out-of-bounds inputs to validation handler.
4. Validate assertions.</t>
        </is>
      </c>
      <c r="H253" s="12" t="inlineStr">
        <is>
          <t>Module: AI Trainer, Setup: Local Host, Detail: Edge case input: Variant #252 (AI Trainer)</t>
        </is>
      </c>
      <c r="I253" s="12" t="inlineStr">
        <is>
          <t>Validation rules enforce constraints and return precise error strings. for module AI Trainer.</t>
        </is>
      </c>
      <c r="J253" s="12" t="inlineStr">
        <is>
          <t>Pending Execution</t>
        </is>
      </c>
      <c r="K253" s="11" t="inlineStr">
        <is>
          <t>High</t>
        </is>
      </c>
      <c r="L253" s="11" t="inlineStr">
        <is>
          <t>Critical</t>
        </is>
      </c>
      <c r="M253" s="13" t="inlineStr">
        <is>
          <t>Not Executed</t>
        </is>
      </c>
      <c r="N253" s="12" t="inlineStr">
        <is>
          <t>Generated baseline case for Functional</t>
        </is>
      </c>
    </row>
    <row r="254" ht="36" customHeight="1">
      <c r="A254" s="11" t="inlineStr">
        <is>
          <t>FUN-253</t>
        </is>
      </c>
      <c r="B254" s="12" t="inlineStr">
        <is>
          <t>Shop</t>
        </is>
      </c>
      <c r="C254" s="12" t="inlineStr">
        <is>
          <t>Verify asynchronous service calls and Futures resolution for Shop</t>
        </is>
      </c>
      <c r="D254" s="12" t="inlineStr">
        <is>
          <t>Functional - Shop - Verify asynchronous service calls and Futures resolution (#253)</t>
        </is>
      </c>
      <c r="E254" s="12" t="inlineStr">
        <is>
          <t>Ensure Shop module satisfies quality criteria for Functional category.</t>
        </is>
      </c>
      <c r="F254" s="12" t="inlineStr">
        <is>
          <t>Test environment active, NutriFit app launched on local test setup for Shop.</t>
        </is>
      </c>
      <c r="G254" s="12" t="inlineStr">
        <is>
          <t>1. Open NutriFit app on target setup.
2. Navigate to Shop screen.
3. Execute async service method, await Future completion, parse response model.
4. Validate assertions.</t>
        </is>
      </c>
      <c r="H254" s="12" t="inlineStr">
        <is>
          <t>Module: Shop, Setup: Local Host, Detail: Async payload: Variant #253 (Shop)</t>
        </is>
      </c>
      <c r="I254" s="12" t="inlineStr">
        <is>
          <t>Service parses JSON response cleanly into domain model instance. for module Shop.</t>
        </is>
      </c>
      <c r="J254" s="12" t="inlineStr">
        <is>
          <t>Pending Execution</t>
        </is>
      </c>
      <c r="K254" s="11" t="inlineStr">
        <is>
          <t>Medium</t>
        </is>
      </c>
      <c r="L254" s="11" t="inlineStr">
        <is>
          <t>Moderate</t>
        </is>
      </c>
      <c r="M254" s="13" t="inlineStr">
        <is>
          <t>Not Executed</t>
        </is>
      </c>
      <c r="N254" s="12" t="inlineStr">
        <is>
          <t>Generated baseline case for Functional</t>
        </is>
      </c>
    </row>
    <row r="255" ht="36" customHeight="1">
      <c r="A255" s="11" t="inlineStr">
        <is>
          <t>FUN-254</t>
        </is>
      </c>
      <c r="B255" s="12" t="inlineStr">
        <is>
          <t>Cart</t>
        </is>
      </c>
      <c r="C255" s="12" t="inlineStr">
        <is>
          <t>Verify reactive state listener callbacks and UI rebuilds for Cart</t>
        </is>
      </c>
      <c r="D255" s="12" t="inlineStr">
        <is>
          <t>Functional - Cart - Verify reactive state listener callbacks and UI rebuilds (#254)</t>
        </is>
      </c>
      <c r="E255" s="12" t="inlineStr">
        <is>
          <t>Ensure Cart module satisfies quality criteria for Functional category.</t>
        </is>
      </c>
      <c r="F255" s="12" t="inlineStr">
        <is>
          <t>Test environment active, NutriFit app launched on local test setup for Cart.</t>
        </is>
      </c>
      <c r="G255" s="12" t="inlineStr">
        <is>
          <t>1. Open NutriFit app on target setup.
2. Navigate to Cart screen.
3. Mutate state property in Provider model, count listener callbacks triggered.
4. Validate assertions.</t>
        </is>
      </c>
      <c r="H255" s="12" t="inlineStr">
        <is>
          <t>Module: Cart, Setup: Local Host, Detail: Provider notify: Variant #254 (Cart)</t>
        </is>
      </c>
      <c r="I255" s="12" t="inlineStr">
        <is>
          <t>Listeners receive notification and rebuild bound UI components once. for module Cart.</t>
        </is>
      </c>
      <c r="J255" s="12" t="inlineStr">
        <is>
          <t>Pending Execution</t>
        </is>
      </c>
      <c r="K255" s="11" t="inlineStr">
        <is>
          <t>Medium</t>
        </is>
      </c>
      <c r="L255" s="11" t="inlineStr">
        <is>
          <t>Major</t>
        </is>
      </c>
      <c r="M255" s="13" t="inlineStr">
        <is>
          <t>Not Executed</t>
        </is>
      </c>
      <c r="N255" s="12" t="inlineStr">
        <is>
          <t>Generated baseline case for Functional</t>
        </is>
      </c>
    </row>
    <row r="256" ht="36" customHeight="1">
      <c r="A256" s="11" t="inlineStr">
        <is>
          <t>FUN-255</t>
        </is>
      </c>
      <c r="B256" s="12" t="inlineStr">
        <is>
          <t>Checkout</t>
        </is>
      </c>
      <c r="C256" s="12" t="inlineStr">
        <is>
          <t>Verify authorization guard rules and permission checks for Checkout</t>
        </is>
      </c>
      <c r="D256" s="12" t="inlineStr">
        <is>
          <t>Functional - Checkout - Verify authorization guard rules and permission checks (#255)</t>
        </is>
      </c>
      <c r="E256" s="12" t="inlineStr">
        <is>
          <t>Ensure Checkout module satisfies quality criteria for Functional category.</t>
        </is>
      </c>
      <c r="F256" s="12" t="inlineStr">
        <is>
          <t>Test environment active, NutriFit app launched on local test setup for Checkout.</t>
        </is>
      </c>
      <c r="G256" s="12" t="inlineStr">
        <is>
          <t>1. Open NutriFit app on target setup.
2. Navigate to Checkout screen.
3. Attempt feature access with restricted user permissions.
4. Validate assertions.</t>
        </is>
      </c>
      <c r="H256" s="12" t="inlineStr">
        <is>
          <t>Module: Checkout, Setup: Local Host, Detail: Auth role: Variant #255 (Checkout)</t>
        </is>
      </c>
      <c r="I256" s="12" t="inlineStr">
        <is>
          <t>Authorization guard blocks access and redirects to permission error screen. for module Checkout.</t>
        </is>
      </c>
      <c r="J256" s="12" t="inlineStr">
        <is>
          <t>Pending Execution</t>
        </is>
      </c>
      <c r="K256" s="11" t="inlineStr">
        <is>
          <t>High</t>
        </is>
      </c>
      <c r="L256" s="11" t="inlineStr">
        <is>
          <t>Moderate</t>
        </is>
      </c>
      <c r="M256" s="13" t="inlineStr">
        <is>
          <t>Not Executed</t>
        </is>
      </c>
      <c r="N256" s="12" t="inlineStr">
        <is>
          <t>Generated baseline case for Functional</t>
        </is>
      </c>
    </row>
    <row r="257" ht="36" customHeight="1">
      <c r="A257" s="11" t="inlineStr">
        <is>
          <t>FUN-256</t>
        </is>
      </c>
      <c r="B257" s="12" t="inlineStr">
        <is>
          <t>Address</t>
        </is>
      </c>
      <c r="C257" s="12" t="inlineStr">
        <is>
          <t>Verify component logic and state mutation functions for Address</t>
        </is>
      </c>
      <c r="D257" s="12" t="inlineStr">
        <is>
          <t>Functional - Address - Verify component logic and state mutation functions (#256)</t>
        </is>
      </c>
      <c r="E257" s="12" t="inlineStr">
        <is>
          <t>Ensure Address module satisfies quality criteria for Functional category.</t>
        </is>
      </c>
      <c r="F257" s="12" t="inlineStr">
        <is>
          <t>Test environment active, NutriFit app launched on local test setup for Address.</t>
        </is>
      </c>
      <c r="G257" s="12" t="inlineStr">
        <is>
          <t>1. Open NutriFit app on target setup.
2. Navigate to Address screen.
3. Invoke component function with test parameters, observe return values and side effects.
4. Validate assertions.</t>
        </is>
      </c>
      <c r="H257" s="12" t="inlineStr">
        <is>
          <t>Module: Address, Setup: Local Host, Detail: Function params: Variant #256 (Address)</t>
        </is>
      </c>
      <c r="I257" s="12" t="inlineStr">
        <is>
          <t>Function executes logic accurately and updates internal state correctly. for module Address.</t>
        </is>
      </c>
      <c r="J257" s="12" t="inlineStr">
        <is>
          <t>Pending Execution</t>
        </is>
      </c>
      <c r="K257" s="11" t="inlineStr">
        <is>
          <t>Medium</t>
        </is>
      </c>
      <c r="L257" s="11" t="inlineStr">
        <is>
          <t>Major</t>
        </is>
      </c>
      <c r="M257" s="13" t="inlineStr">
        <is>
          <t>Not Executed</t>
        </is>
      </c>
      <c r="N257" s="12" t="inlineStr">
        <is>
          <t>Generated baseline case for Functional</t>
        </is>
      </c>
    </row>
    <row r="258" ht="36" customHeight="1">
      <c r="A258" s="11" t="inlineStr">
        <is>
          <t>FUN-257</t>
        </is>
      </c>
      <c r="B258" s="12" t="inlineStr">
        <is>
          <t>Orders</t>
        </is>
      </c>
      <c r="C258" s="12" t="inlineStr">
        <is>
          <t>Verify validation constraints and edge-case handling for Orders</t>
        </is>
      </c>
      <c r="D258" s="12" t="inlineStr">
        <is>
          <t>Functional - Orders - Verify validation constraints and edge-case handling (#257)</t>
        </is>
      </c>
      <c r="E258" s="12" t="inlineStr">
        <is>
          <t>Ensure Orders module satisfies quality criteria for Functional category.</t>
        </is>
      </c>
      <c r="F258" s="12" t="inlineStr">
        <is>
          <t>Test environment active, NutriFit app launched on local test setup for Orders.</t>
        </is>
      </c>
      <c r="G258" s="12" t="inlineStr">
        <is>
          <t>1. Open NutriFit app on target setup.
2. Navigate to Orders screen.
3. Pass boundary, empty, and out-of-bounds inputs to validation handler.
4. Validate assertions.</t>
        </is>
      </c>
      <c r="H258" s="12" t="inlineStr">
        <is>
          <t>Module: Orders, Setup: Local Host, Detail: Edge case input: Variant #257 (Orders)</t>
        </is>
      </c>
      <c r="I258" s="12" t="inlineStr">
        <is>
          <t>Validation rules enforce constraints and return precise error strings. for module Orders.</t>
        </is>
      </c>
      <c r="J258" s="12" t="inlineStr">
        <is>
          <t>Pending Execution</t>
        </is>
      </c>
      <c r="K258" s="11" t="inlineStr">
        <is>
          <t>Medium</t>
        </is>
      </c>
      <c r="L258" s="11" t="inlineStr">
        <is>
          <t>Moderate</t>
        </is>
      </c>
      <c r="M258" s="13" t="inlineStr">
        <is>
          <t>Not Executed</t>
        </is>
      </c>
      <c r="N258" s="12" t="inlineStr">
        <is>
          <t>Generated baseline case for Functional</t>
        </is>
      </c>
    </row>
    <row r="259" ht="36" customHeight="1">
      <c r="A259" s="11" t="inlineStr">
        <is>
          <t>FUN-258</t>
        </is>
      </c>
      <c r="B259" s="12" t="inlineStr">
        <is>
          <t>Profile</t>
        </is>
      </c>
      <c r="C259" s="12" t="inlineStr">
        <is>
          <t>Verify asynchronous service calls and Futures resolution for Profile</t>
        </is>
      </c>
      <c r="D259" s="12" t="inlineStr">
        <is>
          <t>Functional - Profile - Verify asynchronous service calls and Futures resolution (#258)</t>
        </is>
      </c>
      <c r="E259" s="12" t="inlineStr">
        <is>
          <t>Ensure Profile module satisfies quality criteria for Functional category.</t>
        </is>
      </c>
      <c r="F259" s="12" t="inlineStr">
        <is>
          <t>Test environment active, NutriFit app launched on local test setup for Profile.</t>
        </is>
      </c>
      <c r="G259" s="12" t="inlineStr">
        <is>
          <t>1. Open NutriFit app on target setup.
2. Navigate to Profile screen.
3. Execute async service method, await Future completion, parse response model.
4. Validate assertions.</t>
        </is>
      </c>
      <c r="H259" s="12" t="inlineStr">
        <is>
          <t>Module: Profile, Setup: Local Host, Detail: Async payload: Variant #258 (Profile)</t>
        </is>
      </c>
      <c r="I259" s="12" t="inlineStr">
        <is>
          <t>Service parses JSON response cleanly into domain model instance. for module Profile.</t>
        </is>
      </c>
      <c r="J259" s="12" t="inlineStr">
        <is>
          <t>Pending Execution</t>
        </is>
      </c>
      <c r="K259" s="11" t="inlineStr">
        <is>
          <t>High</t>
        </is>
      </c>
      <c r="L259" s="11" t="inlineStr">
        <is>
          <t>Major</t>
        </is>
      </c>
      <c r="M259" s="13" t="inlineStr">
        <is>
          <t>Not Executed</t>
        </is>
      </c>
      <c r="N259" s="12" t="inlineStr">
        <is>
          <t>Generated baseline case for Functional</t>
        </is>
      </c>
    </row>
    <row r="260" ht="36" customHeight="1">
      <c r="A260" s="11" t="inlineStr">
        <is>
          <t>FUN-259</t>
        </is>
      </c>
      <c r="B260" s="12" t="inlineStr">
        <is>
          <t>Notifications</t>
        </is>
      </c>
      <c r="C260" s="12" t="inlineStr">
        <is>
          <t>Verify reactive state listener callbacks and UI rebuilds for Notifications</t>
        </is>
      </c>
      <c r="D260" s="12" t="inlineStr">
        <is>
          <t>Functional - Notifications - Verify reactive state listener callbacks and UI rebuilds (#259)</t>
        </is>
      </c>
      <c r="E260" s="12" t="inlineStr">
        <is>
          <t>Ensure Notifications module satisfies quality criteria for Functional category.</t>
        </is>
      </c>
      <c r="F260" s="12" t="inlineStr">
        <is>
          <t>Test environment active, NutriFit app launched on local test setup for Notifications.</t>
        </is>
      </c>
      <c r="G260" s="12" t="inlineStr">
        <is>
          <t>1. Open NutriFit app on target setup.
2. Navigate to Notifications screen.
3. Mutate state property in Provider model, count listener callbacks triggered.
4. Validate assertions.</t>
        </is>
      </c>
      <c r="H260" s="12" t="inlineStr">
        <is>
          <t>Module: Notifications, Setup: Local Host, Detail: Provider notify: Variant #259 (Notifications)</t>
        </is>
      </c>
      <c r="I260" s="12" t="inlineStr">
        <is>
          <t>Listeners receive notification and rebuild bound UI components once. for module Notifications.</t>
        </is>
      </c>
      <c r="J260" s="12" t="inlineStr">
        <is>
          <t>Pending Execution</t>
        </is>
      </c>
      <c r="K260" s="11" t="inlineStr">
        <is>
          <t>Medium</t>
        </is>
      </c>
      <c r="L260" s="11" t="inlineStr">
        <is>
          <t>Critical</t>
        </is>
      </c>
      <c r="M260" s="13" t="inlineStr">
        <is>
          <t>Not Executed</t>
        </is>
      </c>
      <c r="N260" s="12" t="inlineStr">
        <is>
          <t>Generated baseline case for Functional</t>
        </is>
      </c>
    </row>
    <row r="261" ht="36" customHeight="1">
      <c r="A261" s="11" t="inlineStr">
        <is>
          <t>FUN-260</t>
        </is>
      </c>
      <c r="B261" s="12" t="inlineStr">
        <is>
          <t>Settings</t>
        </is>
      </c>
      <c r="C261" s="12" t="inlineStr">
        <is>
          <t>Verify authorization guard rules and permission checks for Settings</t>
        </is>
      </c>
      <c r="D261" s="12" t="inlineStr">
        <is>
          <t>Functional - Settings - Verify authorization guard rules and permission checks (#260)</t>
        </is>
      </c>
      <c r="E261" s="12" t="inlineStr">
        <is>
          <t>Ensure Settings module satisfies quality criteria for Functional category.</t>
        </is>
      </c>
      <c r="F261" s="12" t="inlineStr">
        <is>
          <t>Test environment active, NutriFit app launched on local test setup for Settings.</t>
        </is>
      </c>
      <c r="G261" s="12" t="inlineStr">
        <is>
          <t>1. Open NutriFit app on target setup.
2. Navigate to Settings screen.
3. Attempt feature access with restricted user permissions.
4. Validate assertions.</t>
        </is>
      </c>
      <c r="H261" s="12" t="inlineStr">
        <is>
          <t>Module: Settings, Setup: Local Host, Detail: Auth role: Variant #260 (Settings)</t>
        </is>
      </c>
      <c r="I261" s="12" t="inlineStr">
        <is>
          <t>Authorization guard blocks access and redirects to permission error screen. for module Settings.</t>
        </is>
      </c>
      <c r="J261" s="12" t="inlineStr">
        <is>
          <t>Pending Execution</t>
        </is>
      </c>
      <c r="K261" s="11" t="inlineStr">
        <is>
          <t>Low</t>
        </is>
      </c>
      <c r="L261" s="11" t="inlineStr">
        <is>
          <t>Major</t>
        </is>
      </c>
      <c r="M261" s="13" t="inlineStr">
        <is>
          <t>Not Executed</t>
        </is>
      </c>
      <c r="N261" s="12" t="inlineStr">
        <is>
          <t>Generated baseline case for Functional</t>
        </is>
      </c>
    </row>
    <row r="262" ht="36" customHeight="1">
      <c r="A262" s="11" t="inlineStr">
        <is>
          <t>FUN-261</t>
        </is>
      </c>
      <c r="B262" s="12" t="inlineStr">
        <is>
          <t>Localization</t>
        </is>
      </c>
      <c r="C262" s="12" t="inlineStr">
        <is>
          <t>Verify component logic and state mutation functions for Localization</t>
        </is>
      </c>
      <c r="D262" s="12" t="inlineStr">
        <is>
          <t>Functional - Localization - Verify component logic and state mutation functions (#261)</t>
        </is>
      </c>
      <c r="E262" s="12" t="inlineStr">
        <is>
          <t>Ensure Localization module satisfies quality criteria for Functional category.</t>
        </is>
      </c>
      <c r="F262" s="12" t="inlineStr">
        <is>
          <t>Test environment active, NutriFit app launched on local test setup for Localization.</t>
        </is>
      </c>
      <c r="G262" s="12" t="inlineStr">
        <is>
          <t>1. Open NutriFit app on target setup.
2. Navigate to Localization screen.
3. Invoke component function with test parameters, observe return values and side effects.
4. Validate assertions.</t>
        </is>
      </c>
      <c r="H262" s="12" t="inlineStr">
        <is>
          <t>Module: Localization, Setup: Local Host, Detail: Function params: Variant #261 (Localization)</t>
        </is>
      </c>
      <c r="I262" s="12" t="inlineStr">
        <is>
          <t>Function executes logic accurately and updates internal state correctly. for module Localization.</t>
        </is>
      </c>
      <c r="J262" s="12" t="inlineStr">
        <is>
          <t>Pending Execution</t>
        </is>
      </c>
      <c r="K262" s="11" t="inlineStr">
        <is>
          <t>High</t>
        </is>
      </c>
      <c r="L262" s="11" t="inlineStr">
        <is>
          <t>Moderate</t>
        </is>
      </c>
      <c r="M262" s="13" t="inlineStr">
        <is>
          <t>Not Executed</t>
        </is>
      </c>
      <c r="N262" s="12" t="inlineStr">
        <is>
          <t>Generated baseline case for Functional</t>
        </is>
      </c>
    </row>
    <row r="263" ht="36" customHeight="1">
      <c r="A263" s="11" t="inlineStr">
        <is>
          <t>FUN-262</t>
        </is>
      </c>
      <c r="B263" s="12" t="inlineStr">
        <is>
          <t>Supabase Integration</t>
        </is>
      </c>
      <c r="C263" s="12" t="inlineStr">
        <is>
          <t>Verify validation constraints and edge-case handling for Supabase Integration</t>
        </is>
      </c>
      <c r="D263" s="12" t="inlineStr">
        <is>
          <t>Functional - Supabase Integration - Verify validation constraints and edge-case handling (#262)</t>
        </is>
      </c>
      <c r="E263" s="12" t="inlineStr">
        <is>
          <t>Ensure Supabase Integration module satisfies quality criteria for Functional category.</t>
        </is>
      </c>
      <c r="F263" s="12" t="inlineStr">
        <is>
          <t>Test environment active, NutriFit app launched on local test setup for Supabase Integration.</t>
        </is>
      </c>
      <c r="G263" s="12" t="inlineStr">
        <is>
          <t>1. Open NutriFit app on target setup.
2. Navigate to Supabase Integration screen.
3. Pass boundary, empty, and out-of-bounds inputs to validation handler.
4. Validate assertions.</t>
        </is>
      </c>
      <c r="H263" s="12" t="inlineStr">
        <is>
          <t>Module: Supabase Integration, Setup: Local Host, Detail: Edge case input: Variant #262 (Supabase Integration)</t>
        </is>
      </c>
      <c r="I263" s="12" t="inlineStr">
        <is>
          <t>Validation rules enforce constraints and return precise error strings. for module Supabase Integration.</t>
        </is>
      </c>
      <c r="J263" s="12" t="inlineStr">
        <is>
          <t>Pending Execution</t>
        </is>
      </c>
      <c r="K263" s="11" t="inlineStr">
        <is>
          <t>Medium</t>
        </is>
      </c>
      <c r="L263" s="11" t="inlineStr">
        <is>
          <t>Major</t>
        </is>
      </c>
      <c r="M263" s="13" t="inlineStr">
        <is>
          <t>Not Executed</t>
        </is>
      </c>
      <c r="N263" s="12" t="inlineStr">
        <is>
          <t>Generated baseline case for Functional</t>
        </is>
      </c>
    </row>
    <row r="264" ht="36" customHeight="1">
      <c r="A264" s="11" t="inlineStr">
        <is>
          <t>FUN-263</t>
        </is>
      </c>
      <c r="B264" s="12" t="inlineStr">
        <is>
          <t>Responsive Web</t>
        </is>
      </c>
      <c r="C264" s="12" t="inlineStr">
        <is>
          <t>Verify asynchronous service calls and Futures resolution for Responsive Web</t>
        </is>
      </c>
      <c r="D264" s="12" t="inlineStr">
        <is>
          <t>Functional - Responsive Web - Verify asynchronous service calls and Futures resolution (#263)</t>
        </is>
      </c>
      <c r="E264" s="12" t="inlineStr">
        <is>
          <t>Ensure Responsive Web module satisfies quality criteria for Functional category.</t>
        </is>
      </c>
      <c r="F264" s="12" t="inlineStr">
        <is>
          <t>Test environment active, NutriFit app launched on local test setup for Responsive Web.</t>
        </is>
      </c>
      <c r="G264" s="12" t="inlineStr">
        <is>
          <t>1. Open NutriFit app on target setup.
2. Navigate to Responsive Web screen.
3. Execute async service method, await Future completion, parse response model.
4. Validate assertions.</t>
        </is>
      </c>
      <c r="H264" s="12" t="inlineStr">
        <is>
          <t>Module: Responsive Web, Setup: Local Host, Detail: Async payload: Variant #263 (Responsive Web)</t>
        </is>
      </c>
      <c r="I264" s="12" t="inlineStr">
        <is>
          <t>Service parses JSON response cleanly into domain model instance. for module Responsive Web.</t>
        </is>
      </c>
      <c r="J264" s="12" t="inlineStr">
        <is>
          <t>Pending Execution</t>
        </is>
      </c>
      <c r="K264" s="11" t="inlineStr">
        <is>
          <t>Medium</t>
        </is>
      </c>
      <c r="L264" s="11" t="inlineStr">
        <is>
          <t>Moderate</t>
        </is>
      </c>
      <c r="M264" s="13" t="inlineStr">
        <is>
          <t>Not Executed</t>
        </is>
      </c>
      <c r="N264" s="12" t="inlineStr">
        <is>
          <t>Generated baseline case for Functional</t>
        </is>
      </c>
    </row>
    <row r="265" ht="36" customHeight="1">
      <c r="A265" s="11" t="inlineStr">
        <is>
          <t>FUN-264</t>
        </is>
      </c>
      <c r="B265" s="12" t="inlineStr">
        <is>
          <t>Android UI</t>
        </is>
      </c>
      <c r="C265" s="12" t="inlineStr">
        <is>
          <t>Verify reactive state listener callbacks and UI rebuilds for Android UI</t>
        </is>
      </c>
      <c r="D265" s="12" t="inlineStr">
        <is>
          <t>Functional - Android UI - Verify reactive state listener callbacks and UI rebuilds (#264)</t>
        </is>
      </c>
      <c r="E265" s="12" t="inlineStr">
        <is>
          <t>Ensure Android UI module satisfies quality criteria for Functional category.</t>
        </is>
      </c>
      <c r="F265" s="12" t="inlineStr">
        <is>
          <t>Test environment active, NutriFit app launched on local test setup for Android UI.</t>
        </is>
      </c>
      <c r="G265" s="12" t="inlineStr">
        <is>
          <t>1. Open NutriFit app on target setup.
2. Navigate to Android UI screen.
3. Mutate state property in Provider model, count listener callbacks triggered.
4. Validate assertions.</t>
        </is>
      </c>
      <c r="H265" s="12" t="inlineStr">
        <is>
          <t>Module: Android UI, Setup: Local Host, Detail: Provider notify: Variant #264 (Android UI)</t>
        </is>
      </c>
      <c r="I265" s="12" t="inlineStr">
        <is>
          <t>Listeners receive notification and rebuild bound UI components once. for module Android UI.</t>
        </is>
      </c>
      <c r="J265" s="12" t="inlineStr">
        <is>
          <t>Pending Execution</t>
        </is>
      </c>
      <c r="K265" s="11" t="inlineStr">
        <is>
          <t>High</t>
        </is>
      </c>
      <c r="L265" s="11" t="inlineStr">
        <is>
          <t>Major</t>
        </is>
      </c>
      <c r="M265" s="13" t="inlineStr">
        <is>
          <t>Not Executed</t>
        </is>
      </c>
      <c r="N265" s="12" t="inlineStr">
        <is>
          <t>Generated baseline case for Functional</t>
        </is>
      </c>
    </row>
    <row r="266" ht="36" customHeight="1">
      <c r="A266" s="11" t="inlineStr">
        <is>
          <t>FUN-265</t>
        </is>
      </c>
      <c r="B266" s="12" t="inlineStr">
        <is>
          <t>Authentication</t>
        </is>
      </c>
      <c r="C266" s="12" t="inlineStr">
        <is>
          <t>Verify authorization guard rules and permission checks for Authentication</t>
        </is>
      </c>
      <c r="D266" s="12" t="inlineStr">
        <is>
          <t>Functional - Authentication - Verify authorization guard rules and permission checks (#265)</t>
        </is>
      </c>
      <c r="E266" s="12" t="inlineStr">
        <is>
          <t>Ensure Authentication module satisfies quality criteria for Functional category.</t>
        </is>
      </c>
      <c r="F266" s="12" t="inlineStr">
        <is>
          <t>Test environment active, NutriFit app launched on local test setup for Authentication.</t>
        </is>
      </c>
      <c r="G266" s="12" t="inlineStr">
        <is>
          <t>1. Open NutriFit app on target setup.
2. Navigate to Authentication screen.
3. Attempt feature access with restricted user permissions.
4. Validate assertions.</t>
        </is>
      </c>
      <c r="H266" s="12" t="inlineStr">
        <is>
          <t>Module: Authentication, Setup: Local Host, Detail: Auth role: Variant #265 (Authentication)</t>
        </is>
      </c>
      <c r="I266" s="12" t="inlineStr">
        <is>
          <t>Authorization guard blocks access and redirects to permission error screen. for module Authentication.</t>
        </is>
      </c>
      <c r="J266" s="12" t="inlineStr">
        <is>
          <t>Pending Execution</t>
        </is>
      </c>
      <c r="K266" s="11" t="inlineStr">
        <is>
          <t>Low</t>
        </is>
      </c>
      <c r="L266" s="11" t="inlineStr">
        <is>
          <t>Moderate</t>
        </is>
      </c>
      <c r="M266" s="13" t="inlineStr">
        <is>
          <t>Not Executed</t>
        </is>
      </c>
      <c r="N266" s="12" t="inlineStr">
        <is>
          <t>Generated baseline case for Functional</t>
        </is>
      </c>
    </row>
    <row r="267" ht="36" customHeight="1">
      <c r="A267" s="11" t="inlineStr">
        <is>
          <t>FUN-266</t>
        </is>
      </c>
      <c r="B267" s="12" t="inlineStr">
        <is>
          <t>Dashboard</t>
        </is>
      </c>
      <c r="C267" s="12" t="inlineStr">
        <is>
          <t>Verify component logic and state mutation functions for Dashboard</t>
        </is>
      </c>
      <c r="D267" s="12" t="inlineStr">
        <is>
          <t>Functional - Dashboard - Verify component logic and state mutation functions (#266)</t>
        </is>
      </c>
      <c r="E267" s="12" t="inlineStr">
        <is>
          <t>Ensure Dashboard module satisfies quality criteria for Functional category.</t>
        </is>
      </c>
      <c r="F267" s="12" t="inlineStr">
        <is>
          <t>Test environment active, NutriFit app launched on local test setup for Dashboard.</t>
        </is>
      </c>
      <c r="G267" s="12" t="inlineStr">
        <is>
          <t>1. Open NutriFit app on target setup.
2. Navigate to Dashboard screen.
3. Invoke component function with test parameters, observe return values and side effects.
4. Validate assertions.</t>
        </is>
      </c>
      <c r="H267" s="12" t="inlineStr">
        <is>
          <t>Module: Dashboard, Setup: Local Host, Detail: Function params: Variant #266 (Dashboard)</t>
        </is>
      </c>
      <c r="I267" s="12" t="inlineStr">
        <is>
          <t>Function executes logic accurately and updates internal state correctly. for module Dashboard.</t>
        </is>
      </c>
      <c r="J267" s="12" t="inlineStr">
        <is>
          <t>Pending Execution</t>
        </is>
      </c>
      <c r="K267" s="11" t="inlineStr">
        <is>
          <t>Medium</t>
        </is>
      </c>
      <c r="L267" s="11" t="inlineStr">
        <is>
          <t>Critical</t>
        </is>
      </c>
      <c r="M267" s="13" t="inlineStr">
        <is>
          <t>Not Executed</t>
        </is>
      </c>
      <c r="N267" s="12" t="inlineStr">
        <is>
          <t>Generated baseline case for Functional</t>
        </is>
      </c>
    </row>
    <row r="268" ht="36" customHeight="1">
      <c r="A268" s="11" t="inlineStr">
        <is>
          <t>FUN-267</t>
        </is>
      </c>
      <c r="B268" s="12" t="inlineStr">
        <is>
          <t>Workout</t>
        </is>
      </c>
      <c r="C268" s="12" t="inlineStr">
        <is>
          <t>Verify validation constraints and edge-case handling for Workout</t>
        </is>
      </c>
      <c r="D268" s="12" t="inlineStr">
        <is>
          <t>Functional - Workout - Verify validation constraints and edge-case handling (#267)</t>
        </is>
      </c>
      <c r="E268" s="12" t="inlineStr">
        <is>
          <t>Ensure Workout module satisfies quality criteria for Functional category.</t>
        </is>
      </c>
      <c r="F268" s="12" t="inlineStr">
        <is>
          <t>Test environment active, NutriFit app launched on local test setup for Workout.</t>
        </is>
      </c>
      <c r="G268" s="12" t="inlineStr">
        <is>
          <t>1. Open NutriFit app on target setup.
2. Navigate to Workout screen.
3. Pass boundary, empty, and out-of-bounds inputs to validation handler.
4. Validate assertions.</t>
        </is>
      </c>
      <c r="H268" s="12" t="inlineStr">
        <is>
          <t>Module: Workout, Setup: Local Host, Detail: Edge case input: Variant #267 (Workout)</t>
        </is>
      </c>
      <c r="I268" s="12" t="inlineStr">
        <is>
          <t>Validation rules enforce constraints and return precise error strings. for module Workout.</t>
        </is>
      </c>
      <c r="J268" s="12" t="inlineStr">
        <is>
          <t>Pending Execution</t>
        </is>
      </c>
      <c r="K268" s="11" t="inlineStr">
        <is>
          <t>High</t>
        </is>
      </c>
      <c r="L268" s="11" t="inlineStr">
        <is>
          <t>Moderate</t>
        </is>
      </c>
      <c r="M268" s="13" t="inlineStr">
        <is>
          <t>Not Executed</t>
        </is>
      </c>
      <c r="N268" s="12" t="inlineStr">
        <is>
          <t>Generated baseline case for Functional</t>
        </is>
      </c>
    </row>
    <row r="269" ht="36" customHeight="1">
      <c r="A269" s="11" t="inlineStr">
        <is>
          <t>FUN-268</t>
        </is>
      </c>
      <c r="B269" s="12" t="inlineStr">
        <is>
          <t>Diet</t>
        </is>
      </c>
      <c r="C269" s="12" t="inlineStr">
        <is>
          <t>Verify asynchronous service calls and Futures resolution for Diet</t>
        </is>
      </c>
      <c r="D269" s="12" t="inlineStr">
        <is>
          <t>Functional - Diet - Verify asynchronous service calls and Futures resolution (#268)</t>
        </is>
      </c>
      <c r="E269" s="12" t="inlineStr">
        <is>
          <t>Ensure Diet module satisfies quality criteria for Functional category.</t>
        </is>
      </c>
      <c r="F269" s="12" t="inlineStr">
        <is>
          <t>Test environment active, NutriFit app launched on local test setup for Diet.</t>
        </is>
      </c>
      <c r="G269" s="12" t="inlineStr">
        <is>
          <t>1. Open NutriFit app on target setup.
2. Navigate to Diet screen.
3. Execute async service method, await Future completion, parse response model.
4. Validate assertions.</t>
        </is>
      </c>
      <c r="H269" s="12" t="inlineStr">
        <is>
          <t>Module: Diet, Setup: Local Host, Detail: Async payload: Variant #268 (Diet)</t>
        </is>
      </c>
      <c r="I269" s="12" t="inlineStr">
        <is>
          <t>Service parses JSON response cleanly into domain model instance. for module Diet.</t>
        </is>
      </c>
      <c r="J269" s="12" t="inlineStr">
        <is>
          <t>Pending Execution</t>
        </is>
      </c>
      <c r="K269" s="11" t="inlineStr">
        <is>
          <t>Medium</t>
        </is>
      </c>
      <c r="L269" s="11" t="inlineStr">
        <is>
          <t>Major</t>
        </is>
      </c>
      <c r="M269" s="13" t="inlineStr">
        <is>
          <t>Not Executed</t>
        </is>
      </c>
      <c r="N269" s="12" t="inlineStr">
        <is>
          <t>Generated baseline case for Functional</t>
        </is>
      </c>
    </row>
    <row r="270" ht="36" customHeight="1">
      <c r="A270" s="11" t="inlineStr">
        <is>
          <t>FUN-269</t>
        </is>
      </c>
      <c r="B270" s="12" t="inlineStr">
        <is>
          <t>Budget Diet</t>
        </is>
      </c>
      <c r="C270" s="12" t="inlineStr">
        <is>
          <t>Verify reactive state listener callbacks and UI rebuilds for Budget Diet</t>
        </is>
      </c>
      <c r="D270" s="12" t="inlineStr">
        <is>
          <t>Functional - Budget Diet - Verify reactive state listener callbacks and UI rebuilds (#269)</t>
        </is>
      </c>
      <c r="E270" s="12" t="inlineStr">
        <is>
          <t>Ensure Budget Diet module satisfies quality criteria for Functional category.</t>
        </is>
      </c>
      <c r="F270" s="12" t="inlineStr">
        <is>
          <t>Test environment active, NutriFit app launched on local test setup for Budget Diet.</t>
        </is>
      </c>
      <c r="G270" s="12" t="inlineStr">
        <is>
          <t>1. Open NutriFit app on target setup.
2. Navigate to Budget Diet screen.
3. Mutate state property in Provider model, count listener callbacks triggered.
4. Validate assertions.</t>
        </is>
      </c>
      <c r="H270" s="12" t="inlineStr">
        <is>
          <t>Module: Budget Diet, Setup: Local Host, Detail: Provider notify: Variant #269 (Budget Diet)</t>
        </is>
      </c>
      <c r="I270" s="12" t="inlineStr">
        <is>
          <t>Listeners receive notification and rebuild bound UI components once. for module Budget Diet.</t>
        </is>
      </c>
      <c r="J270" s="12" t="inlineStr">
        <is>
          <t>Pending Execution</t>
        </is>
      </c>
      <c r="K270" s="11" t="inlineStr">
        <is>
          <t>Medium</t>
        </is>
      </c>
      <c r="L270" s="11" t="inlineStr">
        <is>
          <t>Moderate</t>
        </is>
      </c>
      <c r="M270" s="13" t="inlineStr">
        <is>
          <t>Not Executed</t>
        </is>
      </c>
      <c r="N270" s="12" t="inlineStr">
        <is>
          <t>Generated baseline case for Functional</t>
        </is>
      </c>
    </row>
    <row r="271" ht="36" customHeight="1">
      <c r="A271" s="11" t="inlineStr">
        <is>
          <t>FUN-270</t>
        </is>
      </c>
      <c r="B271" s="12" t="inlineStr">
        <is>
          <t>Stretching</t>
        </is>
      </c>
      <c r="C271" s="12" t="inlineStr">
        <is>
          <t>Verify authorization guard rules and permission checks for Stretching</t>
        </is>
      </c>
      <c r="D271" s="12" t="inlineStr">
        <is>
          <t>Functional - Stretching - Verify authorization guard rules and permission checks (#270)</t>
        </is>
      </c>
      <c r="E271" s="12" t="inlineStr">
        <is>
          <t>Ensure Stretching module satisfies quality criteria for Functional category.</t>
        </is>
      </c>
      <c r="F271" s="12" t="inlineStr">
        <is>
          <t>Test environment active, NutriFit app launched on local test setup for Stretching.</t>
        </is>
      </c>
      <c r="G271" s="12" t="inlineStr">
        <is>
          <t>1. Open NutriFit app on target setup.
2. Navigate to Stretching screen.
3. Attempt feature access with restricted user permissions.
4. Validate assertions.</t>
        </is>
      </c>
      <c r="H271" s="12" t="inlineStr">
        <is>
          <t>Module: Stretching, Setup: Local Host, Detail: Auth role: Variant #270 (Stretching)</t>
        </is>
      </c>
      <c r="I271" s="12" t="inlineStr">
        <is>
          <t>Authorization guard blocks access and redirects to permission error screen. for module Stretching.</t>
        </is>
      </c>
      <c r="J271" s="12" t="inlineStr">
        <is>
          <t>Pending Execution</t>
        </is>
      </c>
      <c r="K271" s="11" t="inlineStr">
        <is>
          <t>High</t>
        </is>
      </c>
      <c r="L271" s="11" t="inlineStr">
        <is>
          <t>Major</t>
        </is>
      </c>
      <c r="M271" s="13" t="inlineStr">
        <is>
          <t>Not Executed</t>
        </is>
      </c>
      <c r="N271" s="12" t="inlineStr">
        <is>
          <t>Generated baseline case for Functional</t>
        </is>
      </c>
    </row>
    <row r="272" ht="36" customHeight="1">
      <c r="A272" s="11" t="inlineStr">
        <is>
          <t>FUN-271</t>
        </is>
      </c>
      <c r="B272" s="12" t="inlineStr">
        <is>
          <t>Water Tracker</t>
        </is>
      </c>
      <c r="C272" s="12" t="inlineStr">
        <is>
          <t>Verify component logic and state mutation functions for Water Tracker</t>
        </is>
      </c>
      <c r="D272" s="12" t="inlineStr">
        <is>
          <t>Functional - Water Tracker - Verify component logic and state mutation functions (#271)</t>
        </is>
      </c>
      <c r="E272" s="12" t="inlineStr">
        <is>
          <t>Ensure Water Tracker module satisfies quality criteria for Functional category.</t>
        </is>
      </c>
      <c r="F272" s="12" t="inlineStr">
        <is>
          <t>Test environment active, NutriFit app launched on local test setup for Water Tracker.</t>
        </is>
      </c>
      <c r="G272" s="12" t="inlineStr">
        <is>
          <t>1. Open NutriFit app on target setup.
2. Navigate to Water Tracker screen.
3. Invoke component function with test parameters, observe return values and side effects.
4. Validate assertions.</t>
        </is>
      </c>
      <c r="H272" s="12" t="inlineStr">
        <is>
          <t>Module: Water Tracker, Setup: Local Host, Detail: Function params: Variant #271 (Water Tracker)</t>
        </is>
      </c>
      <c r="I272" s="12" t="inlineStr">
        <is>
          <t>Function executes logic accurately and updates internal state correctly. for module Water Tracker.</t>
        </is>
      </c>
      <c r="J272" s="12" t="inlineStr">
        <is>
          <t>Pending Execution</t>
        </is>
      </c>
      <c r="K272" s="11" t="inlineStr">
        <is>
          <t>Medium</t>
        </is>
      </c>
      <c r="L272" s="11" t="inlineStr">
        <is>
          <t>Moderate</t>
        </is>
      </c>
      <c r="M272" s="13" t="inlineStr">
        <is>
          <t>Not Executed</t>
        </is>
      </c>
      <c r="N272" s="12" t="inlineStr">
        <is>
          <t>Generated baseline case for Functional</t>
        </is>
      </c>
    </row>
    <row r="273" ht="36" customHeight="1">
      <c r="A273" s="11" t="inlineStr">
        <is>
          <t>FUN-272</t>
        </is>
      </c>
      <c r="B273" s="12" t="inlineStr">
        <is>
          <t>Sleep Tracker</t>
        </is>
      </c>
      <c r="C273" s="12" t="inlineStr">
        <is>
          <t>Verify validation constraints and edge-case handling for Sleep Tracker</t>
        </is>
      </c>
      <c r="D273" s="12" t="inlineStr">
        <is>
          <t>Functional - Sleep Tracker - Verify validation constraints and edge-case handling (#272)</t>
        </is>
      </c>
      <c r="E273" s="12" t="inlineStr">
        <is>
          <t>Ensure Sleep Tracker module satisfies quality criteria for Functional category.</t>
        </is>
      </c>
      <c r="F273" s="12" t="inlineStr">
        <is>
          <t>Test environment active, NutriFit app launched on local test setup for Sleep Tracker.</t>
        </is>
      </c>
      <c r="G273" s="12" t="inlineStr">
        <is>
          <t>1. Open NutriFit app on target setup.
2. Navigate to Sleep Tracker screen.
3. Pass boundary, empty, and out-of-bounds inputs to validation handler.
4. Validate assertions.</t>
        </is>
      </c>
      <c r="H273" s="12" t="inlineStr">
        <is>
          <t>Module: Sleep Tracker, Setup: Local Host, Detail: Edge case input: Variant #272 (Sleep Tracker)</t>
        </is>
      </c>
      <c r="I273" s="12" t="inlineStr">
        <is>
          <t>Validation rules enforce constraints and return precise error strings. for module Sleep Tracker.</t>
        </is>
      </c>
      <c r="J273" s="12" t="inlineStr">
        <is>
          <t>Pending Execution</t>
        </is>
      </c>
      <c r="K273" s="11" t="inlineStr">
        <is>
          <t>Medium</t>
        </is>
      </c>
      <c r="L273" s="11" t="inlineStr">
        <is>
          <t>Major</t>
        </is>
      </c>
      <c r="M273" s="13" t="inlineStr">
        <is>
          <t>Not Executed</t>
        </is>
      </c>
      <c r="N273" s="12" t="inlineStr">
        <is>
          <t>Generated baseline case for Functional</t>
        </is>
      </c>
    </row>
    <row r="274" ht="36" customHeight="1">
      <c r="A274" s="11" t="inlineStr">
        <is>
          <t>FUN-273</t>
        </is>
      </c>
      <c r="B274" s="12" t="inlineStr">
        <is>
          <t>Step Tracker</t>
        </is>
      </c>
      <c r="C274" s="12" t="inlineStr">
        <is>
          <t>Verify asynchronous service calls and Futures resolution for Step Tracker</t>
        </is>
      </c>
      <c r="D274" s="12" t="inlineStr">
        <is>
          <t>Functional - Step Tracker - Verify asynchronous service calls and Futures resolution (#273)</t>
        </is>
      </c>
      <c r="E274" s="12" t="inlineStr">
        <is>
          <t>Ensure Step Tracker module satisfies quality criteria for Functional category.</t>
        </is>
      </c>
      <c r="F274" s="12" t="inlineStr">
        <is>
          <t>Test environment active, NutriFit app launched on local test setup for Step Tracker.</t>
        </is>
      </c>
      <c r="G274" s="12" t="inlineStr">
        <is>
          <t>1. Open NutriFit app on target setup.
2. Navigate to Step Tracker screen.
3. Execute async service method, await Future completion, parse response model.
4. Validate assertions.</t>
        </is>
      </c>
      <c r="H274" s="12" t="inlineStr">
        <is>
          <t>Module: Step Tracker, Setup: Local Host, Detail: Async payload: Variant #273 (Step Tracker)</t>
        </is>
      </c>
      <c r="I274" s="12" t="inlineStr">
        <is>
          <t>Service parses JSON response cleanly into domain model instance. for module Step Tracker.</t>
        </is>
      </c>
      <c r="J274" s="12" t="inlineStr">
        <is>
          <t>Pending Execution</t>
        </is>
      </c>
      <c r="K274" s="11" t="inlineStr">
        <is>
          <t>High</t>
        </is>
      </c>
      <c r="L274" s="11" t="inlineStr">
        <is>
          <t>Critical</t>
        </is>
      </c>
      <c r="M274" s="13" t="inlineStr">
        <is>
          <t>Not Executed</t>
        </is>
      </c>
      <c r="N274" s="12" t="inlineStr">
        <is>
          <t>Generated baseline case for Functional</t>
        </is>
      </c>
    </row>
    <row r="275" ht="36" customHeight="1">
      <c r="A275" s="11" t="inlineStr">
        <is>
          <t>FUN-274</t>
        </is>
      </c>
      <c r="B275" s="12" t="inlineStr">
        <is>
          <t>AI Trainer</t>
        </is>
      </c>
      <c r="C275" s="12" t="inlineStr">
        <is>
          <t>Verify reactive state listener callbacks and UI rebuilds for AI Trainer</t>
        </is>
      </c>
      <c r="D275" s="12" t="inlineStr">
        <is>
          <t>Functional - AI Trainer - Verify reactive state listener callbacks and UI rebuilds (#274)</t>
        </is>
      </c>
      <c r="E275" s="12" t="inlineStr">
        <is>
          <t>Ensure AI Trainer module satisfies quality criteria for Functional category.</t>
        </is>
      </c>
      <c r="F275" s="12" t="inlineStr">
        <is>
          <t>Test environment active, NutriFit app launched on local test setup for AI Trainer.</t>
        </is>
      </c>
      <c r="G275" s="12" t="inlineStr">
        <is>
          <t>1. Open NutriFit app on target setup.
2. Navigate to AI Trainer screen.
3. Mutate state property in Provider model, count listener callbacks triggered.
4. Validate assertions.</t>
        </is>
      </c>
      <c r="H275" s="12" t="inlineStr">
        <is>
          <t>Module: AI Trainer, Setup: Local Host, Detail: Provider notify: Variant #274 (AI Trainer)</t>
        </is>
      </c>
      <c r="I275" s="12" t="inlineStr">
        <is>
          <t>Listeners receive notification and rebuild bound UI components once. for module AI Trainer.</t>
        </is>
      </c>
      <c r="J275" s="12" t="inlineStr">
        <is>
          <t>Pending Execution</t>
        </is>
      </c>
      <c r="K275" s="11" t="inlineStr">
        <is>
          <t>Medium</t>
        </is>
      </c>
      <c r="L275" s="11" t="inlineStr">
        <is>
          <t>Major</t>
        </is>
      </c>
      <c r="M275" s="13" t="inlineStr">
        <is>
          <t>Not Executed</t>
        </is>
      </c>
      <c r="N275" s="12" t="inlineStr">
        <is>
          <t>Generated baseline case for Functional</t>
        </is>
      </c>
    </row>
    <row r="276" ht="36" customHeight="1">
      <c r="A276" s="11" t="inlineStr">
        <is>
          <t>FUN-275</t>
        </is>
      </c>
      <c r="B276" s="12" t="inlineStr">
        <is>
          <t>Shop</t>
        </is>
      </c>
      <c r="C276" s="12" t="inlineStr">
        <is>
          <t>Verify authorization guard rules and permission checks for Shop</t>
        </is>
      </c>
      <c r="D276" s="12" t="inlineStr">
        <is>
          <t>Functional - Shop - Verify authorization guard rules and permission checks (#275)</t>
        </is>
      </c>
      <c r="E276" s="12" t="inlineStr">
        <is>
          <t>Ensure Shop module satisfies quality criteria for Functional category.</t>
        </is>
      </c>
      <c r="F276" s="12" t="inlineStr">
        <is>
          <t>Test environment active, NutriFit app launched on local test setup for Shop.</t>
        </is>
      </c>
      <c r="G276" s="12" t="inlineStr">
        <is>
          <t>1. Open NutriFit app on target setup.
2. Navigate to Shop screen.
3. Attempt feature access with restricted user permissions.
4. Validate assertions.</t>
        </is>
      </c>
      <c r="H276" s="12" t="inlineStr">
        <is>
          <t>Module: Shop, Setup: Local Host, Detail: Auth role: Variant #275 (Shop)</t>
        </is>
      </c>
      <c r="I276" s="12" t="inlineStr">
        <is>
          <t>Authorization guard blocks access and redirects to permission error screen. for module Shop.</t>
        </is>
      </c>
      <c r="J276" s="12" t="inlineStr">
        <is>
          <t>Pending Execution</t>
        </is>
      </c>
      <c r="K276" s="11" t="inlineStr">
        <is>
          <t>Low</t>
        </is>
      </c>
      <c r="L276" s="11" t="inlineStr">
        <is>
          <t>Moderate</t>
        </is>
      </c>
      <c r="M276" s="13" t="inlineStr">
        <is>
          <t>Not Executed</t>
        </is>
      </c>
      <c r="N276" s="12" t="inlineStr">
        <is>
          <t>Generated baseline case for Functional</t>
        </is>
      </c>
    </row>
    <row r="277" ht="36" customHeight="1">
      <c r="A277" s="11" t="inlineStr">
        <is>
          <t>FUN-276</t>
        </is>
      </c>
      <c r="B277" s="12" t="inlineStr">
        <is>
          <t>Cart</t>
        </is>
      </c>
      <c r="C277" s="12" t="inlineStr">
        <is>
          <t>Verify component logic and state mutation functions for Cart</t>
        </is>
      </c>
      <c r="D277" s="12" t="inlineStr">
        <is>
          <t>Functional - Cart - Verify component logic and state mutation functions (#276)</t>
        </is>
      </c>
      <c r="E277" s="12" t="inlineStr">
        <is>
          <t>Ensure Cart module satisfies quality criteria for Functional category.</t>
        </is>
      </c>
      <c r="F277" s="12" t="inlineStr">
        <is>
          <t>Test environment active, NutriFit app launched on local test setup for Cart.</t>
        </is>
      </c>
      <c r="G277" s="12" t="inlineStr">
        <is>
          <t>1. Open NutriFit app on target setup.
2. Navigate to Cart screen.
3. Invoke component function with test parameters, observe return values and side effects.
4. Validate assertions.</t>
        </is>
      </c>
      <c r="H277" s="12" t="inlineStr">
        <is>
          <t>Module: Cart, Setup: Local Host, Detail: Function params: Variant #276 (Cart)</t>
        </is>
      </c>
      <c r="I277" s="12" t="inlineStr">
        <is>
          <t>Function executes logic accurately and updates internal state correctly. for module Cart.</t>
        </is>
      </c>
      <c r="J277" s="12" t="inlineStr">
        <is>
          <t>Pending Execution</t>
        </is>
      </c>
      <c r="K277" s="11" t="inlineStr">
        <is>
          <t>High</t>
        </is>
      </c>
      <c r="L277" s="11" t="inlineStr">
        <is>
          <t>Major</t>
        </is>
      </c>
      <c r="M277" s="13" t="inlineStr">
        <is>
          <t>Not Executed</t>
        </is>
      </c>
      <c r="N277" s="12" t="inlineStr">
        <is>
          <t>Generated baseline case for Functional</t>
        </is>
      </c>
    </row>
    <row r="278" ht="36" customHeight="1">
      <c r="A278" s="11" t="inlineStr">
        <is>
          <t>FUN-277</t>
        </is>
      </c>
      <c r="B278" s="12" t="inlineStr">
        <is>
          <t>Checkout</t>
        </is>
      </c>
      <c r="C278" s="12" t="inlineStr">
        <is>
          <t>Verify validation constraints and edge-case handling for Checkout</t>
        </is>
      </c>
      <c r="D278" s="12" t="inlineStr">
        <is>
          <t>Functional - Checkout - Verify validation constraints and edge-case handling (#277)</t>
        </is>
      </c>
      <c r="E278" s="12" t="inlineStr">
        <is>
          <t>Ensure Checkout module satisfies quality criteria for Functional category.</t>
        </is>
      </c>
      <c r="F278" s="12" t="inlineStr">
        <is>
          <t>Test environment active, NutriFit app launched on local test setup for Checkout.</t>
        </is>
      </c>
      <c r="G278" s="12" t="inlineStr">
        <is>
          <t>1. Open NutriFit app on target setup.
2. Navigate to Checkout screen.
3. Pass boundary, empty, and out-of-bounds inputs to validation handler.
4. Validate assertions.</t>
        </is>
      </c>
      <c r="H278" s="12" t="inlineStr">
        <is>
          <t>Module: Checkout, Setup: Local Host, Detail: Edge case input: Variant #277 (Checkout)</t>
        </is>
      </c>
      <c r="I278" s="12" t="inlineStr">
        <is>
          <t>Validation rules enforce constraints and return precise error strings. for module Checkout.</t>
        </is>
      </c>
      <c r="J278" s="12" t="inlineStr">
        <is>
          <t>Pending Execution</t>
        </is>
      </c>
      <c r="K278" s="11" t="inlineStr">
        <is>
          <t>Medium</t>
        </is>
      </c>
      <c r="L278" s="11" t="inlineStr">
        <is>
          <t>Moderate</t>
        </is>
      </c>
      <c r="M278" s="13" t="inlineStr">
        <is>
          <t>Not Executed</t>
        </is>
      </c>
      <c r="N278" s="12" t="inlineStr">
        <is>
          <t>Generated baseline case for Functional</t>
        </is>
      </c>
    </row>
    <row r="279" ht="36" customHeight="1">
      <c r="A279" s="11" t="inlineStr">
        <is>
          <t>FUN-278</t>
        </is>
      </c>
      <c r="B279" s="12" t="inlineStr">
        <is>
          <t>Address</t>
        </is>
      </c>
      <c r="C279" s="12" t="inlineStr">
        <is>
          <t>Verify asynchronous service calls and Futures resolution for Address</t>
        </is>
      </c>
      <c r="D279" s="12" t="inlineStr">
        <is>
          <t>Functional - Address - Verify asynchronous service calls and Futures resolution (#278)</t>
        </is>
      </c>
      <c r="E279" s="12" t="inlineStr">
        <is>
          <t>Ensure Address module satisfies quality criteria for Functional category.</t>
        </is>
      </c>
      <c r="F279" s="12" t="inlineStr">
        <is>
          <t>Test environment active, NutriFit app launched on local test setup for Address.</t>
        </is>
      </c>
      <c r="G279" s="12" t="inlineStr">
        <is>
          <t>1. Open NutriFit app on target setup.
2. Navigate to Address screen.
3. Execute async service method, await Future completion, parse response model.
4. Validate assertions.</t>
        </is>
      </c>
      <c r="H279" s="12" t="inlineStr">
        <is>
          <t>Module: Address, Setup: Local Host, Detail: Async payload: Variant #278 (Address)</t>
        </is>
      </c>
      <c r="I279" s="12" t="inlineStr">
        <is>
          <t>Service parses JSON response cleanly into domain model instance. for module Address.</t>
        </is>
      </c>
      <c r="J279" s="12" t="inlineStr">
        <is>
          <t>Pending Execution</t>
        </is>
      </c>
      <c r="K279" s="11" t="inlineStr">
        <is>
          <t>Medium</t>
        </is>
      </c>
      <c r="L279" s="11" t="inlineStr">
        <is>
          <t>Major</t>
        </is>
      </c>
      <c r="M279" s="13" t="inlineStr">
        <is>
          <t>Not Executed</t>
        </is>
      </c>
      <c r="N279" s="12" t="inlineStr">
        <is>
          <t>Generated baseline case for Functional</t>
        </is>
      </c>
    </row>
    <row r="280" ht="36" customHeight="1">
      <c r="A280" s="11" t="inlineStr">
        <is>
          <t>FUN-279</t>
        </is>
      </c>
      <c r="B280" s="12" t="inlineStr">
        <is>
          <t>Orders</t>
        </is>
      </c>
      <c r="C280" s="12" t="inlineStr">
        <is>
          <t>Verify reactive state listener callbacks and UI rebuilds for Orders</t>
        </is>
      </c>
      <c r="D280" s="12" t="inlineStr">
        <is>
          <t>Functional - Orders - Verify reactive state listener callbacks and UI rebuilds (#279)</t>
        </is>
      </c>
      <c r="E280" s="12" t="inlineStr">
        <is>
          <t>Ensure Orders module satisfies quality criteria for Functional category.</t>
        </is>
      </c>
      <c r="F280" s="12" t="inlineStr">
        <is>
          <t>Test environment active, NutriFit app launched on local test setup for Orders.</t>
        </is>
      </c>
      <c r="G280" s="12" t="inlineStr">
        <is>
          <t>1. Open NutriFit app on target setup.
2. Navigate to Orders screen.
3. Mutate state property in Provider model, count listener callbacks triggered.
4. Validate assertions.</t>
        </is>
      </c>
      <c r="H280" s="12" t="inlineStr">
        <is>
          <t>Module: Orders, Setup: Local Host, Detail: Provider notify: Variant #279 (Orders)</t>
        </is>
      </c>
      <c r="I280" s="12" t="inlineStr">
        <is>
          <t>Listeners receive notification and rebuild bound UI components once. for module Orders.</t>
        </is>
      </c>
      <c r="J280" s="12" t="inlineStr">
        <is>
          <t>Pending Execution</t>
        </is>
      </c>
      <c r="K280" s="11" t="inlineStr">
        <is>
          <t>High</t>
        </is>
      </c>
      <c r="L280" s="11" t="inlineStr">
        <is>
          <t>Moderate</t>
        </is>
      </c>
      <c r="M280" s="13" t="inlineStr">
        <is>
          <t>Not Executed</t>
        </is>
      </c>
      <c r="N280" s="12" t="inlineStr">
        <is>
          <t>Generated baseline case for Functional</t>
        </is>
      </c>
    </row>
    <row r="281" ht="36" customHeight="1">
      <c r="A281" s="11" t="inlineStr">
        <is>
          <t>FUN-280</t>
        </is>
      </c>
      <c r="B281" s="12" t="inlineStr">
        <is>
          <t>Profile</t>
        </is>
      </c>
      <c r="C281" s="12" t="inlineStr">
        <is>
          <t>Verify authorization guard rules and permission checks for Profile</t>
        </is>
      </c>
      <c r="D281" s="12" t="inlineStr">
        <is>
          <t>Functional - Profile - Verify authorization guard rules and permission checks (#280)</t>
        </is>
      </c>
      <c r="E281" s="12" t="inlineStr">
        <is>
          <t>Ensure Profile module satisfies quality criteria for Functional category.</t>
        </is>
      </c>
      <c r="F281" s="12" t="inlineStr">
        <is>
          <t>Test environment active, NutriFit app launched on local test setup for Profile.</t>
        </is>
      </c>
      <c r="G281" s="12" t="inlineStr">
        <is>
          <t>1. Open NutriFit app on target setup.
2. Navigate to Profile screen.
3. Attempt feature access with restricted user permissions.
4. Validate assertions.</t>
        </is>
      </c>
      <c r="H281" s="12" t="inlineStr">
        <is>
          <t>Module: Profile, Setup: Local Host, Detail: Auth role: Variant #280 (Profile)</t>
        </is>
      </c>
      <c r="I281" s="12" t="inlineStr">
        <is>
          <t>Authorization guard blocks access and redirects to permission error screen. for module Profile.</t>
        </is>
      </c>
      <c r="J281" s="12" t="inlineStr">
        <is>
          <t>Pending Execution</t>
        </is>
      </c>
      <c r="K281" s="11" t="inlineStr">
        <is>
          <t>Low</t>
        </is>
      </c>
      <c r="L281" s="11" t="inlineStr">
        <is>
          <t>Critical</t>
        </is>
      </c>
      <c r="M281" s="13" t="inlineStr">
        <is>
          <t>Not Executed</t>
        </is>
      </c>
      <c r="N281" s="12" t="inlineStr">
        <is>
          <t>Generated baseline case for Functional</t>
        </is>
      </c>
    </row>
    <row r="282" ht="36" customHeight="1">
      <c r="A282" s="11" t="inlineStr">
        <is>
          <t>FUN-281</t>
        </is>
      </c>
      <c r="B282" s="12" t="inlineStr">
        <is>
          <t>Notifications</t>
        </is>
      </c>
      <c r="C282" s="12" t="inlineStr">
        <is>
          <t>Verify component logic and state mutation functions for Notifications</t>
        </is>
      </c>
      <c r="D282" s="12" t="inlineStr">
        <is>
          <t>Functional - Notifications - Verify component logic and state mutation functions (#281)</t>
        </is>
      </c>
      <c r="E282" s="12" t="inlineStr">
        <is>
          <t>Ensure Notifications module satisfies quality criteria for Functional category.</t>
        </is>
      </c>
      <c r="F282" s="12" t="inlineStr">
        <is>
          <t>Test environment active, NutriFit app launched on local test setup for Notifications.</t>
        </is>
      </c>
      <c r="G282" s="12" t="inlineStr">
        <is>
          <t>1. Open NutriFit app on target setup.
2. Navigate to Notifications screen.
3. Invoke component function with test parameters, observe return values and side effects.
4. Validate assertions.</t>
        </is>
      </c>
      <c r="H282" s="12" t="inlineStr">
        <is>
          <t>Module: Notifications, Setup: Local Host, Detail: Function params: Variant #281 (Notifications)</t>
        </is>
      </c>
      <c r="I282" s="12" t="inlineStr">
        <is>
          <t>Function executes logic accurately and updates internal state correctly. for module Notifications.</t>
        </is>
      </c>
      <c r="J282" s="12" t="inlineStr">
        <is>
          <t>Pending Execution</t>
        </is>
      </c>
      <c r="K282" s="11" t="inlineStr">
        <is>
          <t>Medium</t>
        </is>
      </c>
      <c r="L282" s="11" t="inlineStr">
        <is>
          <t>Moderate</t>
        </is>
      </c>
      <c r="M282" s="13" t="inlineStr">
        <is>
          <t>Not Executed</t>
        </is>
      </c>
      <c r="N282" s="12" t="inlineStr">
        <is>
          <t>Generated baseline case for Functional</t>
        </is>
      </c>
    </row>
    <row r="283" ht="36" customHeight="1">
      <c r="A283" s="11" t="inlineStr">
        <is>
          <t>FUN-282</t>
        </is>
      </c>
      <c r="B283" s="12" t="inlineStr">
        <is>
          <t>Settings</t>
        </is>
      </c>
      <c r="C283" s="12" t="inlineStr">
        <is>
          <t>Verify validation constraints and edge-case handling for Settings</t>
        </is>
      </c>
      <c r="D283" s="12" t="inlineStr">
        <is>
          <t>Functional - Settings - Verify validation constraints and edge-case handling (#282)</t>
        </is>
      </c>
      <c r="E283" s="12" t="inlineStr">
        <is>
          <t>Ensure Settings module satisfies quality criteria for Functional category.</t>
        </is>
      </c>
      <c r="F283" s="12" t="inlineStr">
        <is>
          <t>Test environment active, NutriFit app launched on local test setup for Settings.</t>
        </is>
      </c>
      <c r="G283" s="12" t="inlineStr">
        <is>
          <t>1. Open NutriFit app on target setup.
2. Navigate to Settings screen.
3. Pass boundary, empty, and out-of-bounds inputs to validation handler.
4. Validate assertions.</t>
        </is>
      </c>
      <c r="H283" s="12" t="inlineStr">
        <is>
          <t>Module: Settings, Setup: Local Host, Detail: Edge case input: Variant #282 (Settings)</t>
        </is>
      </c>
      <c r="I283" s="12" t="inlineStr">
        <is>
          <t>Validation rules enforce constraints and return precise error strings. for module Settings.</t>
        </is>
      </c>
      <c r="J283" s="12" t="inlineStr">
        <is>
          <t>Pending Execution</t>
        </is>
      </c>
      <c r="K283" s="11" t="inlineStr">
        <is>
          <t>High</t>
        </is>
      </c>
      <c r="L283" s="11" t="inlineStr">
        <is>
          <t>Major</t>
        </is>
      </c>
      <c r="M283" s="13" t="inlineStr">
        <is>
          <t>Not Executed</t>
        </is>
      </c>
      <c r="N283" s="12" t="inlineStr">
        <is>
          <t>Generated baseline case for Functional</t>
        </is>
      </c>
    </row>
    <row r="284" ht="36" customHeight="1">
      <c r="A284" s="11" t="inlineStr">
        <is>
          <t>FUN-283</t>
        </is>
      </c>
      <c r="B284" s="12" t="inlineStr">
        <is>
          <t>Localization</t>
        </is>
      </c>
      <c r="C284" s="12" t="inlineStr">
        <is>
          <t>Verify asynchronous service calls and Futures resolution for Localization</t>
        </is>
      </c>
      <c r="D284" s="12" t="inlineStr">
        <is>
          <t>Functional - Localization - Verify asynchronous service calls and Futures resolution (#283)</t>
        </is>
      </c>
      <c r="E284" s="12" t="inlineStr">
        <is>
          <t>Ensure Localization module satisfies quality criteria for Functional category.</t>
        </is>
      </c>
      <c r="F284" s="12" t="inlineStr">
        <is>
          <t>Test environment active, NutriFit app launched on local test setup for Localization.</t>
        </is>
      </c>
      <c r="G284" s="12" t="inlineStr">
        <is>
          <t>1. Open NutriFit app on target setup.
2. Navigate to Localization screen.
3. Execute async service method, await Future completion, parse response model.
4. Validate assertions.</t>
        </is>
      </c>
      <c r="H284" s="12" t="inlineStr">
        <is>
          <t>Module: Localization, Setup: Local Host, Detail: Async payload: Variant #283 (Localization)</t>
        </is>
      </c>
      <c r="I284" s="12" t="inlineStr">
        <is>
          <t>Service parses JSON response cleanly into domain model instance. for module Localization.</t>
        </is>
      </c>
      <c r="J284" s="12" t="inlineStr">
        <is>
          <t>Pending Execution</t>
        </is>
      </c>
      <c r="K284" s="11" t="inlineStr">
        <is>
          <t>Medium</t>
        </is>
      </c>
      <c r="L284" s="11" t="inlineStr">
        <is>
          <t>Moderate</t>
        </is>
      </c>
      <c r="M284" s="13" t="inlineStr">
        <is>
          <t>Not Executed</t>
        </is>
      </c>
      <c r="N284" s="12" t="inlineStr">
        <is>
          <t>Generated baseline case for Functional</t>
        </is>
      </c>
    </row>
    <row r="285" ht="36" customHeight="1">
      <c r="A285" s="11" t="inlineStr">
        <is>
          <t>FUN-284</t>
        </is>
      </c>
      <c r="B285" s="12" t="inlineStr">
        <is>
          <t>Supabase Integration</t>
        </is>
      </c>
      <c r="C285" s="12" t="inlineStr">
        <is>
          <t>Verify reactive state listener callbacks and UI rebuilds for Supabase Integration</t>
        </is>
      </c>
      <c r="D285" s="12" t="inlineStr">
        <is>
          <t>Functional - Supabase Integration - Verify reactive state listener callbacks and UI rebuilds (#284)</t>
        </is>
      </c>
      <c r="E285" s="12" t="inlineStr">
        <is>
          <t>Ensure Supabase Integration module satisfies quality criteria for Functional category.</t>
        </is>
      </c>
      <c r="F285" s="12" t="inlineStr">
        <is>
          <t>Test environment active, NutriFit app launched on local test setup for Supabase Integration.</t>
        </is>
      </c>
      <c r="G285" s="12" t="inlineStr">
        <is>
          <t>1. Open NutriFit app on target setup.
2. Navigate to Supabase Integration screen.
3. Mutate state property in Provider model, count listener callbacks triggered.
4. Validate assertions.</t>
        </is>
      </c>
      <c r="H285" s="12" t="inlineStr">
        <is>
          <t>Module: Supabase Integration, Setup: Local Host, Detail: Provider notify: Variant #284 (Supabase Integration)</t>
        </is>
      </c>
      <c r="I285" s="12" t="inlineStr">
        <is>
          <t>Listeners receive notification and rebuild bound UI components once. for module Supabase Integration.</t>
        </is>
      </c>
      <c r="J285" s="12" t="inlineStr">
        <is>
          <t>Pending Execution</t>
        </is>
      </c>
      <c r="K285" s="11" t="inlineStr">
        <is>
          <t>Medium</t>
        </is>
      </c>
      <c r="L285" s="11" t="inlineStr">
        <is>
          <t>Major</t>
        </is>
      </c>
      <c r="M285" s="13" t="inlineStr">
        <is>
          <t>Not Executed</t>
        </is>
      </c>
      <c r="N285" s="12" t="inlineStr">
        <is>
          <t>Generated baseline case for Functional</t>
        </is>
      </c>
    </row>
    <row r="286" ht="36" customHeight="1">
      <c r="A286" s="11" t="inlineStr">
        <is>
          <t>FUN-285</t>
        </is>
      </c>
      <c r="B286" s="12" t="inlineStr">
        <is>
          <t>Responsive Web</t>
        </is>
      </c>
      <c r="C286" s="12" t="inlineStr">
        <is>
          <t>Verify authorization guard rules and permission checks for Responsive Web</t>
        </is>
      </c>
      <c r="D286" s="12" t="inlineStr">
        <is>
          <t>Functional - Responsive Web - Verify authorization guard rules and permission checks (#285)</t>
        </is>
      </c>
      <c r="E286" s="12" t="inlineStr">
        <is>
          <t>Ensure Responsive Web module satisfies quality criteria for Functional category.</t>
        </is>
      </c>
      <c r="F286" s="12" t="inlineStr">
        <is>
          <t>Test environment active, NutriFit app launched on local test setup for Responsive Web.</t>
        </is>
      </c>
      <c r="G286" s="12" t="inlineStr">
        <is>
          <t>1. Open NutriFit app on target setup.
2. Navigate to Responsive Web screen.
3. Attempt feature access with restricted user permissions.
4. Validate assertions.</t>
        </is>
      </c>
      <c r="H286" s="12" t="inlineStr">
        <is>
          <t>Module: Responsive Web, Setup: Local Host, Detail: Auth role: Variant #285 (Responsive Web)</t>
        </is>
      </c>
      <c r="I286" s="12" t="inlineStr">
        <is>
          <t>Authorization guard blocks access and redirects to permission error screen. for module Responsive Web.</t>
        </is>
      </c>
      <c r="J286" s="12" t="inlineStr">
        <is>
          <t>Pending Execution</t>
        </is>
      </c>
      <c r="K286" s="11" t="inlineStr">
        <is>
          <t>High</t>
        </is>
      </c>
      <c r="L286" s="11" t="inlineStr">
        <is>
          <t>Moderate</t>
        </is>
      </c>
      <c r="M286" s="13" t="inlineStr">
        <is>
          <t>Not Executed</t>
        </is>
      </c>
      <c r="N286" s="12" t="inlineStr">
        <is>
          <t>Generated baseline case for Functional</t>
        </is>
      </c>
    </row>
    <row r="287" ht="36" customHeight="1">
      <c r="A287" s="11" t="inlineStr">
        <is>
          <t>FUN-286</t>
        </is>
      </c>
      <c r="B287" s="12" t="inlineStr">
        <is>
          <t>Android UI</t>
        </is>
      </c>
      <c r="C287" s="12" t="inlineStr">
        <is>
          <t>Verify component logic and state mutation functions for Android UI</t>
        </is>
      </c>
      <c r="D287" s="12" t="inlineStr">
        <is>
          <t>Functional - Android UI - Verify component logic and state mutation functions (#286)</t>
        </is>
      </c>
      <c r="E287" s="12" t="inlineStr">
        <is>
          <t>Ensure Android UI module satisfies quality criteria for Functional category.</t>
        </is>
      </c>
      <c r="F287" s="12" t="inlineStr">
        <is>
          <t>Test environment active, NutriFit app launched on local test setup for Android UI.</t>
        </is>
      </c>
      <c r="G287" s="12" t="inlineStr">
        <is>
          <t>1. Open NutriFit app on target setup.
2. Navigate to Android UI screen.
3. Invoke component function with test parameters, observe return values and side effects.
4. Validate assertions.</t>
        </is>
      </c>
      <c r="H287" s="12" t="inlineStr">
        <is>
          <t>Module: Android UI, Setup: Local Host, Detail: Function params: Variant #286 (Android UI)</t>
        </is>
      </c>
      <c r="I287" s="12" t="inlineStr">
        <is>
          <t>Function executes logic accurately and updates internal state correctly. for module Android UI.</t>
        </is>
      </c>
      <c r="J287" s="12" t="inlineStr">
        <is>
          <t>Pending Execution</t>
        </is>
      </c>
      <c r="K287" s="11" t="inlineStr">
        <is>
          <t>Medium</t>
        </is>
      </c>
      <c r="L287" s="11" t="inlineStr">
        <is>
          <t>Major</t>
        </is>
      </c>
      <c r="M287" s="13" t="inlineStr">
        <is>
          <t>Not Executed</t>
        </is>
      </c>
      <c r="N287" s="12" t="inlineStr">
        <is>
          <t>Generated baseline case for Functional</t>
        </is>
      </c>
    </row>
    <row r="288" ht="36" customHeight="1">
      <c r="A288" s="11" t="inlineStr">
        <is>
          <t>FUN-287</t>
        </is>
      </c>
      <c r="B288" s="12" t="inlineStr">
        <is>
          <t>Authentication</t>
        </is>
      </c>
      <c r="C288" s="12" t="inlineStr">
        <is>
          <t>Verify validation constraints and edge-case handling for Authentication</t>
        </is>
      </c>
      <c r="D288" s="12" t="inlineStr">
        <is>
          <t>Functional - Authentication - Verify validation constraints and edge-case handling (#287)</t>
        </is>
      </c>
      <c r="E288" s="12" t="inlineStr">
        <is>
          <t>Ensure Authentication module satisfies quality criteria for Functional category.</t>
        </is>
      </c>
      <c r="F288" s="12" t="inlineStr">
        <is>
          <t>Test environment active, NutriFit app launched on local test setup for Authentication.</t>
        </is>
      </c>
      <c r="G288" s="12" t="inlineStr">
        <is>
          <t>1. Open NutriFit app on target setup.
2. Navigate to Authentication screen.
3. Pass boundary, empty, and out-of-bounds inputs to validation handler.
4. Validate assertions.</t>
        </is>
      </c>
      <c r="H288" s="12" t="inlineStr">
        <is>
          <t>Module: Authentication, Setup: Local Host, Detail: Edge case input: Variant #287 (Authentication)</t>
        </is>
      </c>
      <c r="I288" s="12" t="inlineStr">
        <is>
          <t>Validation rules enforce constraints and return precise error strings. for module Authentication.</t>
        </is>
      </c>
      <c r="J288" s="12" t="inlineStr">
        <is>
          <t>Pending Execution</t>
        </is>
      </c>
      <c r="K288" s="11" t="inlineStr">
        <is>
          <t>Medium</t>
        </is>
      </c>
      <c r="L288" s="11" t="inlineStr">
        <is>
          <t>Critical</t>
        </is>
      </c>
      <c r="M288" s="13" t="inlineStr">
        <is>
          <t>Not Executed</t>
        </is>
      </c>
      <c r="N288" s="12" t="inlineStr">
        <is>
          <t>Generated baseline case for Functional</t>
        </is>
      </c>
    </row>
    <row r="289" ht="36" customHeight="1">
      <c r="A289" s="11" t="inlineStr">
        <is>
          <t>FUN-288</t>
        </is>
      </c>
      <c r="B289" s="12" t="inlineStr">
        <is>
          <t>Dashboard</t>
        </is>
      </c>
      <c r="C289" s="12" t="inlineStr">
        <is>
          <t>Verify asynchronous service calls and Futures resolution for Dashboard</t>
        </is>
      </c>
      <c r="D289" s="12" t="inlineStr">
        <is>
          <t>Functional - Dashboard - Verify asynchronous service calls and Futures resolution (#288)</t>
        </is>
      </c>
      <c r="E289" s="12" t="inlineStr">
        <is>
          <t>Ensure Dashboard module satisfies quality criteria for Functional category.</t>
        </is>
      </c>
      <c r="F289" s="12" t="inlineStr">
        <is>
          <t>Test environment active, NutriFit app launched on local test setup for Dashboard.</t>
        </is>
      </c>
      <c r="G289" s="12" t="inlineStr">
        <is>
          <t>1. Open NutriFit app on target setup.
2. Navigate to Dashboard screen.
3. Execute async service method, await Future completion, parse response model.
4. Validate assertions.</t>
        </is>
      </c>
      <c r="H289" s="12" t="inlineStr">
        <is>
          <t>Module: Dashboard, Setup: Local Host, Detail: Async payload: Variant #288 (Dashboard)</t>
        </is>
      </c>
      <c r="I289" s="12" t="inlineStr">
        <is>
          <t>Service parses JSON response cleanly into domain model instance. for module Dashboard.</t>
        </is>
      </c>
      <c r="J289" s="12" t="inlineStr">
        <is>
          <t>Pending Execution</t>
        </is>
      </c>
      <c r="K289" s="11" t="inlineStr">
        <is>
          <t>High</t>
        </is>
      </c>
      <c r="L289" s="11" t="inlineStr">
        <is>
          <t>Major</t>
        </is>
      </c>
      <c r="M289" s="13" t="inlineStr">
        <is>
          <t>Not Executed</t>
        </is>
      </c>
      <c r="N289" s="12" t="inlineStr">
        <is>
          <t>Generated baseline case for Functional</t>
        </is>
      </c>
    </row>
    <row r="290" ht="36" customHeight="1">
      <c r="A290" s="11" t="inlineStr">
        <is>
          <t>FUN-289</t>
        </is>
      </c>
      <c r="B290" s="12" t="inlineStr">
        <is>
          <t>Workout</t>
        </is>
      </c>
      <c r="C290" s="12" t="inlineStr">
        <is>
          <t>Verify reactive state listener callbacks and UI rebuilds for Workout</t>
        </is>
      </c>
      <c r="D290" s="12" t="inlineStr">
        <is>
          <t>Functional - Workout - Verify reactive state listener callbacks and UI rebuilds (#289)</t>
        </is>
      </c>
      <c r="E290" s="12" t="inlineStr">
        <is>
          <t>Ensure Workout module satisfies quality criteria for Functional category.</t>
        </is>
      </c>
      <c r="F290" s="12" t="inlineStr">
        <is>
          <t>Test environment active, NutriFit app launched on local test setup for Workout.</t>
        </is>
      </c>
      <c r="G290" s="12" t="inlineStr">
        <is>
          <t>1. Open NutriFit app on target setup.
2. Navigate to Workout screen.
3. Mutate state property in Provider model, count listener callbacks triggered.
4. Validate assertions.</t>
        </is>
      </c>
      <c r="H290" s="12" t="inlineStr">
        <is>
          <t>Module: Workout, Setup: Local Host, Detail: Provider notify: Variant #289 (Workout)</t>
        </is>
      </c>
      <c r="I290" s="12" t="inlineStr">
        <is>
          <t>Listeners receive notification and rebuild bound UI components once. for module Workout.</t>
        </is>
      </c>
      <c r="J290" s="12" t="inlineStr">
        <is>
          <t>Pending Execution</t>
        </is>
      </c>
      <c r="K290" s="11" t="inlineStr">
        <is>
          <t>Medium</t>
        </is>
      </c>
      <c r="L290" s="11" t="inlineStr">
        <is>
          <t>Moderate</t>
        </is>
      </c>
      <c r="M290" s="13" t="inlineStr">
        <is>
          <t>Not Executed</t>
        </is>
      </c>
      <c r="N290" s="12" t="inlineStr">
        <is>
          <t>Generated baseline case for Functional</t>
        </is>
      </c>
    </row>
    <row r="291" ht="36" customHeight="1">
      <c r="A291" s="11" t="inlineStr">
        <is>
          <t>FUN-290</t>
        </is>
      </c>
      <c r="B291" s="12" t="inlineStr">
        <is>
          <t>Diet</t>
        </is>
      </c>
      <c r="C291" s="12" t="inlineStr">
        <is>
          <t>Verify authorization guard rules and permission checks for Diet</t>
        </is>
      </c>
      <c r="D291" s="12" t="inlineStr">
        <is>
          <t>Functional - Diet - Verify authorization guard rules and permission checks (#290)</t>
        </is>
      </c>
      <c r="E291" s="12" t="inlineStr">
        <is>
          <t>Ensure Diet module satisfies quality criteria for Functional category.</t>
        </is>
      </c>
      <c r="F291" s="12" t="inlineStr">
        <is>
          <t>Test environment active, NutriFit app launched on local test setup for Diet.</t>
        </is>
      </c>
      <c r="G291" s="12" t="inlineStr">
        <is>
          <t>1. Open NutriFit app on target setup.
2. Navigate to Diet screen.
3. Attempt feature access with restricted user permissions.
4. Validate assertions.</t>
        </is>
      </c>
      <c r="H291" s="12" t="inlineStr">
        <is>
          <t>Module: Diet, Setup: Local Host, Detail: Auth role: Variant #290 (Diet)</t>
        </is>
      </c>
      <c r="I291" s="12" t="inlineStr">
        <is>
          <t>Authorization guard blocks access and redirects to permission error screen. for module Diet.</t>
        </is>
      </c>
      <c r="J291" s="12" t="inlineStr">
        <is>
          <t>Pending Execution</t>
        </is>
      </c>
      <c r="K291" s="11" t="inlineStr">
        <is>
          <t>Low</t>
        </is>
      </c>
      <c r="L291" s="11" t="inlineStr">
        <is>
          <t>Major</t>
        </is>
      </c>
      <c r="M291" s="13" t="inlineStr">
        <is>
          <t>Not Executed</t>
        </is>
      </c>
      <c r="N291" s="12" t="inlineStr">
        <is>
          <t>Generated baseline case for Functional</t>
        </is>
      </c>
    </row>
    <row r="292" ht="36" customHeight="1">
      <c r="A292" s="11" t="inlineStr">
        <is>
          <t>FUN-291</t>
        </is>
      </c>
      <c r="B292" s="12" t="inlineStr">
        <is>
          <t>Budget Diet</t>
        </is>
      </c>
      <c r="C292" s="12" t="inlineStr">
        <is>
          <t>Verify component logic and state mutation functions for Budget Diet</t>
        </is>
      </c>
      <c r="D292" s="12" t="inlineStr">
        <is>
          <t>Functional - Budget Diet - Verify component logic and state mutation functions (#291)</t>
        </is>
      </c>
      <c r="E292" s="12" t="inlineStr">
        <is>
          <t>Ensure Budget Diet module satisfies quality criteria for Functional category.</t>
        </is>
      </c>
      <c r="F292" s="12" t="inlineStr">
        <is>
          <t>Test environment active, NutriFit app launched on local test setup for Budget Diet.</t>
        </is>
      </c>
      <c r="G292" s="12" t="inlineStr">
        <is>
          <t>1. Open NutriFit app on target setup.
2. Navigate to Budget Diet screen.
3. Invoke component function with test parameters, observe return values and side effects.
4. Validate assertions.</t>
        </is>
      </c>
      <c r="H292" s="12" t="inlineStr">
        <is>
          <t>Module: Budget Diet, Setup: Local Host, Detail: Function params: Variant #291 (Budget Diet)</t>
        </is>
      </c>
      <c r="I292" s="12" t="inlineStr">
        <is>
          <t>Function executes logic accurately and updates internal state correctly. for module Budget Diet.</t>
        </is>
      </c>
      <c r="J292" s="12" t="inlineStr">
        <is>
          <t>Pending Execution</t>
        </is>
      </c>
      <c r="K292" s="11" t="inlineStr">
        <is>
          <t>High</t>
        </is>
      </c>
      <c r="L292" s="11" t="inlineStr">
        <is>
          <t>Moderate</t>
        </is>
      </c>
      <c r="M292" s="13" t="inlineStr">
        <is>
          <t>Not Executed</t>
        </is>
      </c>
      <c r="N292" s="12" t="inlineStr">
        <is>
          <t>Generated baseline case for Functional</t>
        </is>
      </c>
    </row>
    <row r="293" ht="36" customHeight="1">
      <c r="A293" s="11" t="inlineStr">
        <is>
          <t>FUN-292</t>
        </is>
      </c>
      <c r="B293" s="12" t="inlineStr">
        <is>
          <t>Stretching</t>
        </is>
      </c>
      <c r="C293" s="12" t="inlineStr">
        <is>
          <t>Verify validation constraints and edge-case handling for Stretching</t>
        </is>
      </c>
      <c r="D293" s="12" t="inlineStr">
        <is>
          <t>Functional - Stretching - Verify validation constraints and edge-case handling (#292)</t>
        </is>
      </c>
      <c r="E293" s="12" t="inlineStr">
        <is>
          <t>Ensure Stretching module satisfies quality criteria for Functional category.</t>
        </is>
      </c>
      <c r="F293" s="12" t="inlineStr">
        <is>
          <t>Test environment active, NutriFit app launched on local test setup for Stretching.</t>
        </is>
      </c>
      <c r="G293" s="12" t="inlineStr">
        <is>
          <t>1. Open NutriFit app on target setup.
2. Navigate to Stretching screen.
3. Pass boundary, empty, and out-of-bounds inputs to validation handler.
4. Validate assertions.</t>
        </is>
      </c>
      <c r="H293" s="12" t="inlineStr">
        <is>
          <t>Module: Stretching, Setup: Local Host, Detail: Edge case input: Variant #292 (Stretching)</t>
        </is>
      </c>
      <c r="I293" s="12" t="inlineStr">
        <is>
          <t>Validation rules enforce constraints and return precise error strings. for module Stretching.</t>
        </is>
      </c>
      <c r="J293" s="12" t="inlineStr">
        <is>
          <t>Pending Execution</t>
        </is>
      </c>
      <c r="K293" s="11" t="inlineStr">
        <is>
          <t>Medium</t>
        </is>
      </c>
      <c r="L293" s="11" t="inlineStr">
        <is>
          <t>Major</t>
        </is>
      </c>
      <c r="M293" s="13" t="inlineStr">
        <is>
          <t>Not Executed</t>
        </is>
      </c>
      <c r="N293" s="12" t="inlineStr">
        <is>
          <t>Generated baseline case for Functional</t>
        </is>
      </c>
    </row>
    <row r="294" ht="36" customHeight="1">
      <c r="A294" s="11" t="inlineStr">
        <is>
          <t>FUN-293</t>
        </is>
      </c>
      <c r="B294" s="12" t="inlineStr">
        <is>
          <t>Water Tracker</t>
        </is>
      </c>
      <c r="C294" s="12" t="inlineStr">
        <is>
          <t>Verify asynchronous service calls and Futures resolution for Water Tracker</t>
        </is>
      </c>
      <c r="D294" s="12" t="inlineStr">
        <is>
          <t>Functional - Water Tracker - Verify asynchronous service calls and Futures resolution (#293)</t>
        </is>
      </c>
      <c r="E294" s="12" t="inlineStr">
        <is>
          <t>Ensure Water Tracker module satisfies quality criteria for Functional category.</t>
        </is>
      </c>
      <c r="F294" s="12" t="inlineStr">
        <is>
          <t>Test environment active, NutriFit app launched on local test setup for Water Tracker.</t>
        </is>
      </c>
      <c r="G294" s="12" t="inlineStr">
        <is>
          <t>1. Open NutriFit app on target setup.
2. Navigate to Water Tracker screen.
3. Execute async service method, await Future completion, parse response model.
4. Validate assertions.</t>
        </is>
      </c>
      <c r="H294" s="12" t="inlineStr">
        <is>
          <t>Module: Water Tracker, Setup: Local Host, Detail: Async payload: Variant #293 (Water Tracker)</t>
        </is>
      </c>
      <c r="I294" s="12" t="inlineStr">
        <is>
          <t>Service parses JSON response cleanly into domain model instance. for module Water Tracker.</t>
        </is>
      </c>
      <c r="J294" s="12" t="inlineStr">
        <is>
          <t>Pending Execution</t>
        </is>
      </c>
      <c r="K294" s="11" t="inlineStr">
        <is>
          <t>Medium</t>
        </is>
      </c>
      <c r="L294" s="11" t="inlineStr">
        <is>
          <t>Moderate</t>
        </is>
      </c>
      <c r="M294" s="13" t="inlineStr">
        <is>
          <t>Not Executed</t>
        </is>
      </c>
      <c r="N294" s="12" t="inlineStr">
        <is>
          <t>Generated baseline case for Functional</t>
        </is>
      </c>
    </row>
    <row r="295" ht="36" customHeight="1">
      <c r="A295" s="11" t="inlineStr">
        <is>
          <t>FUN-294</t>
        </is>
      </c>
      <c r="B295" s="12" t="inlineStr">
        <is>
          <t>Sleep Tracker</t>
        </is>
      </c>
      <c r="C295" s="12" t="inlineStr">
        <is>
          <t>Verify reactive state listener callbacks and UI rebuilds for Sleep Tracker</t>
        </is>
      </c>
      <c r="D295" s="12" t="inlineStr">
        <is>
          <t>Functional - Sleep Tracker - Verify reactive state listener callbacks and UI rebuilds (#294)</t>
        </is>
      </c>
      <c r="E295" s="12" t="inlineStr">
        <is>
          <t>Ensure Sleep Tracker module satisfies quality criteria for Functional category.</t>
        </is>
      </c>
      <c r="F295" s="12" t="inlineStr">
        <is>
          <t>Test environment active, NutriFit app launched on local test setup for Sleep Tracker.</t>
        </is>
      </c>
      <c r="G295" s="12" t="inlineStr">
        <is>
          <t>1. Open NutriFit app on target setup.
2. Navigate to Sleep Tracker screen.
3. Mutate state property in Provider model, count listener callbacks triggered.
4. Validate assertions.</t>
        </is>
      </c>
      <c r="H295" s="12" t="inlineStr">
        <is>
          <t>Module: Sleep Tracker, Setup: Local Host, Detail: Provider notify: Variant #294 (Sleep Tracker)</t>
        </is>
      </c>
      <c r="I295" s="12" t="inlineStr">
        <is>
          <t>Listeners receive notification and rebuild bound UI components once. for module Sleep Tracker.</t>
        </is>
      </c>
      <c r="J295" s="12" t="inlineStr">
        <is>
          <t>Pending Execution</t>
        </is>
      </c>
      <c r="K295" s="11" t="inlineStr">
        <is>
          <t>High</t>
        </is>
      </c>
      <c r="L295" s="11" t="inlineStr">
        <is>
          <t>Critical</t>
        </is>
      </c>
      <c r="M295" s="13" t="inlineStr">
        <is>
          <t>Not Executed</t>
        </is>
      </c>
      <c r="N295" s="12" t="inlineStr">
        <is>
          <t>Generated baseline case for Functional</t>
        </is>
      </c>
    </row>
    <row r="296" ht="36" customHeight="1">
      <c r="A296" s="11" t="inlineStr">
        <is>
          <t>FUN-295</t>
        </is>
      </c>
      <c r="B296" s="12" t="inlineStr">
        <is>
          <t>Step Tracker</t>
        </is>
      </c>
      <c r="C296" s="12" t="inlineStr">
        <is>
          <t>Verify authorization guard rules and permission checks for Step Tracker</t>
        </is>
      </c>
      <c r="D296" s="12" t="inlineStr">
        <is>
          <t>Functional - Step Tracker - Verify authorization guard rules and permission checks (#295)</t>
        </is>
      </c>
      <c r="E296" s="12" t="inlineStr">
        <is>
          <t>Ensure Step Tracker module satisfies quality criteria for Functional category.</t>
        </is>
      </c>
      <c r="F296" s="12" t="inlineStr">
        <is>
          <t>Test environment active, NutriFit app launched on local test setup for Step Tracker.</t>
        </is>
      </c>
      <c r="G296" s="12" t="inlineStr">
        <is>
          <t>1. Open NutriFit app on target setup.
2. Navigate to Step Tracker screen.
3. Attempt feature access with restricted user permissions.
4. Validate assertions.</t>
        </is>
      </c>
      <c r="H296" s="12" t="inlineStr">
        <is>
          <t>Module: Step Tracker, Setup: Local Host, Detail: Auth role: Variant #295 (Step Tracker)</t>
        </is>
      </c>
      <c r="I296" s="12" t="inlineStr">
        <is>
          <t>Authorization guard blocks access and redirects to permission error screen. for module Step Tracker.</t>
        </is>
      </c>
      <c r="J296" s="12" t="inlineStr">
        <is>
          <t>Pending Execution</t>
        </is>
      </c>
      <c r="K296" s="11" t="inlineStr">
        <is>
          <t>Low</t>
        </is>
      </c>
      <c r="L296" s="11" t="inlineStr">
        <is>
          <t>Moderate</t>
        </is>
      </c>
      <c r="M296" s="13" t="inlineStr">
        <is>
          <t>Not Executed</t>
        </is>
      </c>
      <c r="N296" s="12" t="inlineStr">
        <is>
          <t>Generated baseline case for Functional</t>
        </is>
      </c>
    </row>
    <row r="297" ht="36" customHeight="1">
      <c r="A297" s="11" t="inlineStr">
        <is>
          <t>FUN-296</t>
        </is>
      </c>
      <c r="B297" s="12" t="inlineStr">
        <is>
          <t>AI Trainer</t>
        </is>
      </c>
      <c r="C297" s="12" t="inlineStr">
        <is>
          <t>Verify component logic and state mutation functions for AI Trainer</t>
        </is>
      </c>
      <c r="D297" s="12" t="inlineStr">
        <is>
          <t>Functional - AI Trainer - Verify component logic and state mutation functions (#296)</t>
        </is>
      </c>
      <c r="E297" s="12" t="inlineStr">
        <is>
          <t>Ensure AI Trainer module satisfies quality criteria for Functional category.</t>
        </is>
      </c>
      <c r="F297" s="12" t="inlineStr">
        <is>
          <t>Test environment active, NutriFit app launched on local test setup for AI Trainer.</t>
        </is>
      </c>
      <c r="G297" s="12" t="inlineStr">
        <is>
          <t>1. Open NutriFit app on target setup.
2. Navigate to AI Trainer screen.
3. Invoke component function with test parameters, observe return values and side effects.
4. Validate assertions.</t>
        </is>
      </c>
      <c r="H297" s="12" t="inlineStr">
        <is>
          <t>Module: AI Trainer, Setup: Local Host, Detail: Function params: Variant #296 (AI Trainer)</t>
        </is>
      </c>
      <c r="I297" s="12" t="inlineStr">
        <is>
          <t>Function executes logic accurately and updates internal state correctly. for module AI Trainer.</t>
        </is>
      </c>
      <c r="J297" s="12" t="inlineStr">
        <is>
          <t>Pending Execution</t>
        </is>
      </c>
      <c r="K297" s="11" t="inlineStr">
        <is>
          <t>Medium</t>
        </is>
      </c>
      <c r="L297" s="11" t="inlineStr">
        <is>
          <t>Major</t>
        </is>
      </c>
      <c r="M297" s="13" t="inlineStr">
        <is>
          <t>Not Executed</t>
        </is>
      </c>
      <c r="N297" s="12" t="inlineStr">
        <is>
          <t>Generated baseline case for Functional</t>
        </is>
      </c>
    </row>
    <row r="298" ht="36" customHeight="1">
      <c r="A298" s="11" t="inlineStr">
        <is>
          <t>FUN-297</t>
        </is>
      </c>
      <c r="B298" s="12" t="inlineStr">
        <is>
          <t>Shop</t>
        </is>
      </c>
      <c r="C298" s="12" t="inlineStr">
        <is>
          <t>Verify validation constraints and edge-case handling for Shop</t>
        </is>
      </c>
      <c r="D298" s="12" t="inlineStr">
        <is>
          <t>Functional - Shop - Verify validation constraints and edge-case handling (#297)</t>
        </is>
      </c>
      <c r="E298" s="12" t="inlineStr">
        <is>
          <t>Ensure Shop module satisfies quality criteria for Functional category.</t>
        </is>
      </c>
      <c r="F298" s="12" t="inlineStr">
        <is>
          <t>Test environment active, NutriFit app launched on local test setup for Shop.</t>
        </is>
      </c>
      <c r="G298" s="12" t="inlineStr">
        <is>
          <t>1. Open NutriFit app on target setup.
2. Navigate to Shop screen.
3. Pass boundary, empty, and out-of-bounds inputs to validation handler.
4. Validate assertions.</t>
        </is>
      </c>
      <c r="H298" s="12" t="inlineStr">
        <is>
          <t>Module: Shop, Setup: Local Host, Detail: Edge case input: Variant #297 (Shop)</t>
        </is>
      </c>
      <c r="I298" s="12" t="inlineStr">
        <is>
          <t>Validation rules enforce constraints and return precise error strings. for module Shop.</t>
        </is>
      </c>
      <c r="J298" s="12" t="inlineStr">
        <is>
          <t>Pending Execution</t>
        </is>
      </c>
      <c r="K298" s="11" t="inlineStr">
        <is>
          <t>High</t>
        </is>
      </c>
      <c r="L298" s="11" t="inlineStr">
        <is>
          <t>Moderate</t>
        </is>
      </c>
      <c r="M298" s="13" t="inlineStr">
        <is>
          <t>Not Executed</t>
        </is>
      </c>
      <c r="N298" s="12" t="inlineStr">
        <is>
          <t>Generated baseline case for Functional</t>
        </is>
      </c>
    </row>
    <row r="299" ht="36" customHeight="1">
      <c r="A299" s="11" t="inlineStr">
        <is>
          <t>FUN-298</t>
        </is>
      </c>
      <c r="B299" s="12" t="inlineStr">
        <is>
          <t>Cart</t>
        </is>
      </c>
      <c r="C299" s="12" t="inlineStr">
        <is>
          <t>Verify asynchronous service calls and Futures resolution for Cart</t>
        </is>
      </c>
      <c r="D299" s="12" t="inlineStr">
        <is>
          <t>Functional - Cart - Verify asynchronous service calls and Futures resolution (#298)</t>
        </is>
      </c>
      <c r="E299" s="12" t="inlineStr">
        <is>
          <t>Ensure Cart module satisfies quality criteria for Functional category.</t>
        </is>
      </c>
      <c r="F299" s="12" t="inlineStr">
        <is>
          <t>Test environment active, NutriFit app launched on local test setup for Cart.</t>
        </is>
      </c>
      <c r="G299" s="12" t="inlineStr">
        <is>
          <t>1. Open NutriFit app on target setup.
2. Navigate to Cart screen.
3. Execute async service method, await Future completion, parse response model.
4. Validate assertions.</t>
        </is>
      </c>
      <c r="H299" s="12" t="inlineStr">
        <is>
          <t>Module: Cart, Setup: Local Host, Detail: Async payload: Variant #298 (Cart)</t>
        </is>
      </c>
      <c r="I299" s="12" t="inlineStr">
        <is>
          <t>Service parses JSON response cleanly into domain model instance. for module Cart.</t>
        </is>
      </c>
      <c r="J299" s="12" t="inlineStr">
        <is>
          <t>Pending Execution</t>
        </is>
      </c>
      <c r="K299" s="11" t="inlineStr">
        <is>
          <t>Medium</t>
        </is>
      </c>
      <c r="L299" s="11" t="inlineStr">
        <is>
          <t>Major</t>
        </is>
      </c>
      <c r="M299" s="13" t="inlineStr">
        <is>
          <t>Not Executed</t>
        </is>
      </c>
      <c r="N299" s="12" t="inlineStr">
        <is>
          <t>Generated baseline case for Functional</t>
        </is>
      </c>
    </row>
    <row r="300" ht="36" customHeight="1">
      <c r="A300" s="11" t="inlineStr">
        <is>
          <t>FUN-299</t>
        </is>
      </c>
      <c r="B300" s="12" t="inlineStr">
        <is>
          <t>Checkout</t>
        </is>
      </c>
      <c r="C300" s="12" t="inlineStr">
        <is>
          <t>Verify reactive state listener callbacks and UI rebuilds for Checkout</t>
        </is>
      </c>
      <c r="D300" s="12" t="inlineStr">
        <is>
          <t>Functional - Checkout - Verify reactive state listener callbacks and UI rebuilds (#299)</t>
        </is>
      </c>
      <c r="E300" s="12" t="inlineStr">
        <is>
          <t>Ensure Checkout module satisfies quality criteria for Functional category.</t>
        </is>
      </c>
      <c r="F300" s="12" t="inlineStr">
        <is>
          <t>Test environment active, NutriFit app launched on local test setup for Checkout.</t>
        </is>
      </c>
      <c r="G300" s="12" t="inlineStr">
        <is>
          <t>1. Open NutriFit app on target setup.
2. Navigate to Checkout screen.
3. Mutate state property in Provider model, count listener callbacks triggered.
4. Validate assertions.</t>
        </is>
      </c>
      <c r="H300" s="12" t="inlineStr">
        <is>
          <t>Module: Checkout, Setup: Local Host, Detail: Provider notify: Variant #299 (Checkout)</t>
        </is>
      </c>
      <c r="I300" s="12" t="inlineStr">
        <is>
          <t>Listeners receive notification and rebuild bound UI components once. for module Checkout.</t>
        </is>
      </c>
      <c r="J300" s="12" t="inlineStr">
        <is>
          <t>Pending Execution</t>
        </is>
      </c>
      <c r="K300" s="11" t="inlineStr">
        <is>
          <t>Medium</t>
        </is>
      </c>
      <c r="L300" s="11" t="inlineStr">
        <is>
          <t>Moderate</t>
        </is>
      </c>
      <c r="M300" s="13" t="inlineStr">
        <is>
          <t>Not Executed</t>
        </is>
      </c>
      <c r="N300" s="12" t="inlineStr">
        <is>
          <t>Generated baseline case for Functional</t>
        </is>
      </c>
    </row>
    <row r="301" ht="36" customHeight="1">
      <c r="A301" s="11" t="inlineStr">
        <is>
          <t>FUN-300</t>
        </is>
      </c>
      <c r="B301" s="12" t="inlineStr">
        <is>
          <t>Address</t>
        </is>
      </c>
      <c r="C301" s="12" t="inlineStr">
        <is>
          <t>Verify authorization guard rules and permission checks for Address</t>
        </is>
      </c>
      <c r="D301" s="12" t="inlineStr">
        <is>
          <t>Functional - Address - Verify authorization guard rules and permission checks (#300)</t>
        </is>
      </c>
      <c r="E301" s="12" t="inlineStr">
        <is>
          <t>Ensure Address module satisfies quality criteria for Functional category.</t>
        </is>
      </c>
      <c r="F301" s="12" t="inlineStr">
        <is>
          <t>Test environment active, NutriFit app launched on local test setup for Address.</t>
        </is>
      </c>
      <c r="G301" s="12" t="inlineStr">
        <is>
          <t>1. Open NutriFit app on target setup.
2. Navigate to Address screen.
3. Attempt feature access with restricted user permissions.
4. Validate assertions.</t>
        </is>
      </c>
      <c r="H301" s="12" t="inlineStr">
        <is>
          <t>Module: Address, Setup: Local Host, Detail: Auth role: Variant #300 (Address)</t>
        </is>
      </c>
      <c r="I301" s="12" t="inlineStr">
        <is>
          <t>Authorization guard blocks access and redirects to permission error screen. for module Address.</t>
        </is>
      </c>
      <c r="J301" s="12" t="inlineStr">
        <is>
          <t>Pending Execution</t>
        </is>
      </c>
      <c r="K301" s="11" t="inlineStr">
        <is>
          <t>High</t>
        </is>
      </c>
      <c r="L301" s="11" t="inlineStr">
        <is>
          <t>Major</t>
        </is>
      </c>
      <c r="M301" s="13" t="inlineStr">
        <is>
          <t>Not Executed</t>
        </is>
      </c>
      <c r="N301" s="12" t="inlineStr">
        <is>
          <t>Generated baseline case for Functional</t>
        </is>
      </c>
    </row>
    <row r="302" ht="36" customHeight="1">
      <c r="A302" s="11" t="inlineStr">
        <is>
          <t>FUN-301</t>
        </is>
      </c>
      <c r="B302" s="12" t="inlineStr">
        <is>
          <t>Orders</t>
        </is>
      </c>
      <c r="C302" s="12" t="inlineStr">
        <is>
          <t>Verify component logic and state mutation functions for Orders</t>
        </is>
      </c>
      <c r="D302" s="12" t="inlineStr">
        <is>
          <t>Functional - Orders - Verify component logic and state mutation functions (#301)</t>
        </is>
      </c>
      <c r="E302" s="12" t="inlineStr">
        <is>
          <t>Ensure Orders module satisfies quality criteria for Functional category.</t>
        </is>
      </c>
      <c r="F302" s="12" t="inlineStr">
        <is>
          <t>Test environment active, NutriFit app launched on local test setup for Orders.</t>
        </is>
      </c>
      <c r="G302" s="12" t="inlineStr">
        <is>
          <t>1. Open NutriFit app on target setup.
2. Navigate to Orders screen.
3. Invoke component function with test parameters, observe return values and side effects.
4. Validate assertions.</t>
        </is>
      </c>
      <c r="H302" s="12" t="inlineStr">
        <is>
          <t>Module: Orders, Setup: Local Host, Detail: Function params: Variant #301 (Orders)</t>
        </is>
      </c>
      <c r="I302" s="12" t="inlineStr">
        <is>
          <t>Function executes logic accurately and updates internal state correctly. for module Orders.</t>
        </is>
      </c>
      <c r="J302" s="12" t="inlineStr">
        <is>
          <t>Pending Execution</t>
        </is>
      </c>
      <c r="K302" s="11" t="inlineStr">
        <is>
          <t>Medium</t>
        </is>
      </c>
      <c r="L302" s="11" t="inlineStr">
        <is>
          <t>Critical</t>
        </is>
      </c>
      <c r="M302" s="13" t="inlineStr">
        <is>
          <t>Not Executed</t>
        </is>
      </c>
      <c r="N302" s="12" t="inlineStr">
        <is>
          <t>Generated baseline case for Functional</t>
        </is>
      </c>
    </row>
    <row r="303" ht="36" customHeight="1">
      <c r="A303" s="11" t="inlineStr">
        <is>
          <t>FUN-302</t>
        </is>
      </c>
      <c r="B303" s="12" t="inlineStr">
        <is>
          <t>Profile</t>
        </is>
      </c>
      <c r="C303" s="12" t="inlineStr">
        <is>
          <t>Verify validation constraints and edge-case handling for Profile</t>
        </is>
      </c>
      <c r="D303" s="12" t="inlineStr">
        <is>
          <t>Functional - Profile - Verify validation constraints and edge-case handling (#302)</t>
        </is>
      </c>
      <c r="E303" s="12" t="inlineStr">
        <is>
          <t>Ensure Profile module satisfies quality criteria for Functional category.</t>
        </is>
      </c>
      <c r="F303" s="12" t="inlineStr">
        <is>
          <t>Test environment active, NutriFit app launched on local test setup for Profile.</t>
        </is>
      </c>
      <c r="G303" s="12" t="inlineStr">
        <is>
          <t>1. Open NutriFit app on target setup.
2. Navigate to Profile screen.
3. Pass boundary, empty, and out-of-bounds inputs to validation handler.
4. Validate assertions.</t>
        </is>
      </c>
      <c r="H303" s="12" t="inlineStr">
        <is>
          <t>Module: Profile, Setup: Local Host, Detail: Edge case input: Variant #302 (Profile)</t>
        </is>
      </c>
      <c r="I303" s="12" t="inlineStr">
        <is>
          <t>Validation rules enforce constraints and return precise error strings. for module Profile.</t>
        </is>
      </c>
      <c r="J303" s="12" t="inlineStr">
        <is>
          <t>Pending Execution</t>
        </is>
      </c>
      <c r="K303" s="11" t="inlineStr">
        <is>
          <t>Medium</t>
        </is>
      </c>
      <c r="L303" s="11" t="inlineStr">
        <is>
          <t>Major</t>
        </is>
      </c>
      <c r="M303" s="13" t="inlineStr">
        <is>
          <t>Not Executed</t>
        </is>
      </c>
      <c r="N303" s="12" t="inlineStr">
        <is>
          <t>Generated baseline case for Functional</t>
        </is>
      </c>
    </row>
    <row r="304" ht="36" customHeight="1">
      <c r="A304" s="11" t="inlineStr">
        <is>
          <t>FUN-303</t>
        </is>
      </c>
      <c r="B304" s="12" t="inlineStr">
        <is>
          <t>Notifications</t>
        </is>
      </c>
      <c r="C304" s="12" t="inlineStr">
        <is>
          <t>Verify asynchronous service calls and Futures resolution for Notifications</t>
        </is>
      </c>
      <c r="D304" s="12" t="inlineStr">
        <is>
          <t>Functional - Notifications - Verify asynchronous service calls and Futures resolution (#303)</t>
        </is>
      </c>
      <c r="E304" s="12" t="inlineStr">
        <is>
          <t>Ensure Notifications module satisfies quality criteria for Functional category.</t>
        </is>
      </c>
      <c r="F304" s="12" t="inlineStr">
        <is>
          <t>Test environment active, NutriFit app launched on local test setup for Notifications.</t>
        </is>
      </c>
      <c r="G304" s="12" t="inlineStr">
        <is>
          <t>1. Open NutriFit app on target setup.
2. Navigate to Notifications screen.
3. Execute async service method, await Future completion, parse response model.
4. Validate assertions.</t>
        </is>
      </c>
      <c r="H304" s="12" t="inlineStr">
        <is>
          <t>Module: Notifications, Setup: Local Host, Detail: Async payload: Variant #303 (Notifications)</t>
        </is>
      </c>
      <c r="I304" s="12" t="inlineStr">
        <is>
          <t>Service parses JSON response cleanly into domain model instance. for module Notifications.</t>
        </is>
      </c>
      <c r="J304" s="12" t="inlineStr">
        <is>
          <t>Pending Execution</t>
        </is>
      </c>
      <c r="K304" s="11" t="inlineStr">
        <is>
          <t>High</t>
        </is>
      </c>
      <c r="L304" s="11" t="inlineStr">
        <is>
          <t>Moderate</t>
        </is>
      </c>
      <c r="M304" s="13" t="inlineStr">
        <is>
          <t>Not Executed</t>
        </is>
      </c>
      <c r="N304" s="12" t="inlineStr">
        <is>
          <t>Generated baseline case for Functional</t>
        </is>
      </c>
    </row>
    <row r="305" ht="36" customHeight="1">
      <c r="A305" s="11" t="inlineStr">
        <is>
          <t>FUN-304</t>
        </is>
      </c>
      <c r="B305" s="12" t="inlineStr">
        <is>
          <t>Settings</t>
        </is>
      </c>
      <c r="C305" s="12" t="inlineStr">
        <is>
          <t>Verify reactive state listener callbacks and UI rebuilds for Settings</t>
        </is>
      </c>
      <c r="D305" s="12" t="inlineStr">
        <is>
          <t>Functional - Settings - Verify reactive state listener callbacks and UI rebuilds (#304)</t>
        </is>
      </c>
      <c r="E305" s="12" t="inlineStr">
        <is>
          <t>Ensure Settings module satisfies quality criteria for Functional category.</t>
        </is>
      </c>
      <c r="F305" s="12" t="inlineStr">
        <is>
          <t>Test environment active, NutriFit app launched on local test setup for Settings.</t>
        </is>
      </c>
      <c r="G305" s="12" t="inlineStr">
        <is>
          <t>1. Open NutriFit app on target setup.
2. Navigate to Settings screen.
3. Mutate state property in Provider model, count listener callbacks triggered.
4. Validate assertions.</t>
        </is>
      </c>
      <c r="H305" s="12" t="inlineStr">
        <is>
          <t>Module: Settings, Setup: Local Host, Detail: Provider notify: Variant #304 (Settings)</t>
        </is>
      </c>
      <c r="I305" s="12" t="inlineStr">
        <is>
          <t>Listeners receive notification and rebuild bound UI components once. for module Settings.</t>
        </is>
      </c>
      <c r="J305" s="12" t="inlineStr">
        <is>
          <t>Pending Execution</t>
        </is>
      </c>
      <c r="K305" s="11" t="inlineStr">
        <is>
          <t>Medium</t>
        </is>
      </c>
      <c r="L305" s="11" t="inlineStr">
        <is>
          <t>Major</t>
        </is>
      </c>
      <c r="M305" s="13" t="inlineStr">
        <is>
          <t>Not Executed</t>
        </is>
      </c>
      <c r="N305" s="12" t="inlineStr">
        <is>
          <t>Generated baseline case for Functional</t>
        </is>
      </c>
    </row>
    <row r="306" ht="36" customHeight="1">
      <c r="A306" s="11" t="inlineStr">
        <is>
          <t>FUN-305</t>
        </is>
      </c>
      <c r="B306" s="12" t="inlineStr">
        <is>
          <t>Localization</t>
        </is>
      </c>
      <c r="C306" s="12" t="inlineStr">
        <is>
          <t>Verify authorization guard rules and permission checks for Localization</t>
        </is>
      </c>
      <c r="D306" s="12" t="inlineStr">
        <is>
          <t>Functional - Localization - Verify authorization guard rules and permission checks (#305)</t>
        </is>
      </c>
      <c r="E306" s="12" t="inlineStr">
        <is>
          <t>Ensure Localization module satisfies quality criteria for Functional category.</t>
        </is>
      </c>
      <c r="F306" s="12" t="inlineStr">
        <is>
          <t>Test environment active, NutriFit app launched on local test setup for Localization.</t>
        </is>
      </c>
      <c r="G306" s="12" t="inlineStr">
        <is>
          <t>1. Open NutriFit app on target setup.
2. Navigate to Localization screen.
3. Attempt feature access with restricted user permissions.
4. Validate assertions.</t>
        </is>
      </c>
      <c r="H306" s="12" t="inlineStr">
        <is>
          <t>Module: Localization, Setup: Local Host, Detail: Auth role: Variant #305 (Localization)</t>
        </is>
      </c>
      <c r="I306" s="12" t="inlineStr">
        <is>
          <t>Authorization guard blocks access and redirects to permission error screen. for module Localization.</t>
        </is>
      </c>
      <c r="J306" s="12" t="inlineStr">
        <is>
          <t>Pending Execution</t>
        </is>
      </c>
      <c r="K306" s="11" t="inlineStr">
        <is>
          <t>Low</t>
        </is>
      </c>
      <c r="L306" s="11" t="inlineStr">
        <is>
          <t>Moderate</t>
        </is>
      </c>
      <c r="M306" s="13" t="inlineStr">
        <is>
          <t>Not Executed</t>
        </is>
      </c>
      <c r="N306" s="12" t="inlineStr">
        <is>
          <t>Generated baseline case for Functional</t>
        </is>
      </c>
    </row>
    <row r="307" ht="36" customHeight="1">
      <c r="A307" s="11" t="inlineStr">
        <is>
          <t>FUN-306</t>
        </is>
      </c>
      <c r="B307" s="12" t="inlineStr">
        <is>
          <t>Supabase Integration</t>
        </is>
      </c>
      <c r="C307" s="12" t="inlineStr">
        <is>
          <t>Verify component logic and state mutation functions for Supabase Integration</t>
        </is>
      </c>
      <c r="D307" s="12" t="inlineStr">
        <is>
          <t>Functional - Supabase Integration - Verify component logic and state mutation functions (#306)</t>
        </is>
      </c>
      <c r="E307" s="12" t="inlineStr">
        <is>
          <t>Ensure Supabase Integration module satisfies quality criteria for Functional category.</t>
        </is>
      </c>
      <c r="F307" s="12" t="inlineStr">
        <is>
          <t>Test environment active, NutriFit app launched on local test setup for Supabase Integration.</t>
        </is>
      </c>
      <c r="G307" s="12" t="inlineStr">
        <is>
          <t>1. Open NutriFit app on target setup.
2. Navigate to Supabase Integration screen.
3. Invoke component function with test parameters, observe return values and side effects.
4. Validate assertions.</t>
        </is>
      </c>
      <c r="H307" s="12" t="inlineStr">
        <is>
          <t>Module: Supabase Integration, Setup: Local Host, Detail: Function params: Variant #306 (Supabase Integration)</t>
        </is>
      </c>
      <c r="I307" s="12" t="inlineStr">
        <is>
          <t>Function executes logic accurately and updates internal state correctly. for module Supabase Integration.</t>
        </is>
      </c>
      <c r="J307" s="12" t="inlineStr">
        <is>
          <t>Pending Execution</t>
        </is>
      </c>
      <c r="K307" s="11" t="inlineStr">
        <is>
          <t>High</t>
        </is>
      </c>
      <c r="L307" s="11" t="inlineStr">
        <is>
          <t>Major</t>
        </is>
      </c>
      <c r="M307" s="13" t="inlineStr">
        <is>
          <t>Not Executed</t>
        </is>
      </c>
      <c r="N307" s="12" t="inlineStr">
        <is>
          <t>Generated baseline case for Functional</t>
        </is>
      </c>
    </row>
    <row r="308" ht="36" customHeight="1">
      <c r="A308" s="11" t="inlineStr">
        <is>
          <t>FUN-307</t>
        </is>
      </c>
      <c r="B308" s="12" t="inlineStr">
        <is>
          <t>Responsive Web</t>
        </is>
      </c>
      <c r="C308" s="12" t="inlineStr">
        <is>
          <t>Verify validation constraints and edge-case handling for Responsive Web</t>
        </is>
      </c>
      <c r="D308" s="12" t="inlineStr">
        <is>
          <t>Functional - Responsive Web - Verify validation constraints and edge-case handling (#307)</t>
        </is>
      </c>
      <c r="E308" s="12" t="inlineStr">
        <is>
          <t>Ensure Responsive Web module satisfies quality criteria for Functional category.</t>
        </is>
      </c>
      <c r="F308" s="12" t="inlineStr">
        <is>
          <t>Test environment active, NutriFit app launched on local test setup for Responsive Web.</t>
        </is>
      </c>
      <c r="G308" s="12" t="inlineStr">
        <is>
          <t>1. Open NutriFit app on target setup.
2. Navigate to Responsive Web screen.
3. Pass boundary, empty, and out-of-bounds inputs to validation handler.
4. Validate assertions.</t>
        </is>
      </c>
      <c r="H308" s="12" t="inlineStr">
        <is>
          <t>Module: Responsive Web, Setup: Local Host, Detail: Edge case input: Variant #307 (Responsive Web)</t>
        </is>
      </c>
      <c r="I308" s="12" t="inlineStr">
        <is>
          <t>Validation rules enforce constraints and return precise error strings. for module Responsive Web.</t>
        </is>
      </c>
      <c r="J308" s="12" t="inlineStr">
        <is>
          <t>Pending Execution</t>
        </is>
      </c>
      <c r="K308" s="11" t="inlineStr">
        <is>
          <t>Medium</t>
        </is>
      </c>
      <c r="L308" s="11" t="inlineStr">
        <is>
          <t>Moderate</t>
        </is>
      </c>
      <c r="M308" s="13" t="inlineStr">
        <is>
          <t>Not Executed</t>
        </is>
      </c>
      <c r="N308" s="12" t="inlineStr">
        <is>
          <t>Generated baseline case for Functional</t>
        </is>
      </c>
    </row>
    <row r="309" ht="36" customHeight="1">
      <c r="A309" s="11" t="inlineStr">
        <is>
          <t>FUN-308</t>
        </is>
      </c>
      <c r="B309" s="12" t="inlineStr">
        <is>
          <t>Android UI</t>
        </is>
      </c>
      <c r="C309" s="12" t="inlineStr">
        <is>
          <t>Verify asynchronous service calls and Futures resolution for Android UI</t>
        </is>
      </c>
      <c r="D309" s="12" t="inlineStr">
        <is>
          <t>Functional - Android UI - Verify asynchronous service calls and Futures resolution (#308)</t>
        </is>
      </c>
      <c r="E309" s="12" t="inlineStr">
        <is>
          <t>Ensure Android UI module satisfies quality criteria for Functional category.</t>
        </is>
      </c>
      <c r="F309" s="12" t="inlineStr">
        <is>
          <t>Test environment active, NutriFit app launched on local test setup for Android UI.</t>
        </is>
      </c>
      <c r="G309" s="12" t="inlineStr">
        <is>
          <t>1. Open NutriFit app on target setup.
2. Navigate to Android UI screen.
3. Execute async service method, await Future completion, parse response model.
4. Validate assertions.</t>
        </is>
      </c>
      <c r="H309" s="12" t="inlineStr">
        <is>
          <t>Module: Android UI, Setup: Local Host, Detail: Async payload: Variant #308 (Android UI)</t>
        </is>
      </c>
      <c r="I309" s="12" t="inlineStr">
        <is>
          <t>Service parses JSON response cleanly into domain model instance. for module Android UI.</t>
        </is>
      </c>
      <c r="J309" s="12" t="inlineStr">
        <is>
          <t>Pending Execution</t>
        </is>
      </c>
      <c r="K309" s="11" t="inlineStr">
        <is>
          <t>Medium</t>
        </is>
      </c>
      <c r="L309" s="11" t="inlineStr">
        <is>
          <t>Critical</t>
        </is>
      </c>
      <c r="M309" s="13" t="inlineStr">
        <is>
          <t>Not Executed</t>
        </is>
      </c>
      <c r="N309" s="12" t="inlineStr">
        <is>
          <t>Generated baseline case for Functional</t>
        </is>
      </c>
    </row>
    <row r="310" ht="36" customHeight="1">
      <c r="A310" s="11" t="inlineStr">
        <is>
          <t>FUN-309</t>
        </is>
      </c>
      <c r="B310" s="12" t="inlineStr">
        <is>
          <t>Authentication</t>
        </is>
      </c>
      <c r="C310" s="12" t="inlineStr">
        <is>
          <t>Verify reactive state listener callbacks and UI rebuilds for Authentication</t>
        </is>
      </c>
      <c r="D310" s="12" t="inlineStr">
        <is>
          <t>Functional - Authentication - Verify reactive state listener callbacks and UI rebuilds (#309)</t>
        </is>
      </c>
      <c r="E310" s="12" t="inlineStr">
        <is>
          <t>Ensure Authentication module satisfies quality criteria for Functional category.</t>
        </is>
      </c>
      <c r="F310" s="12" t="inlineStr">
        <is>
          <t>Test environment active, NutriFit app launched on local test setup for Authentication.</t>
        </is>
      </c>
      <c r="G310" s="12" t="inlineStr">
        <is>
          <t>1. Open NutriFit app on target setup.
2. Navigate to Authentication screen.
3. Mutate state property in Provider model, count listener callbacks triggered.
4. Validate assertions.</t>
        </is>
      </c>
      <c r="H310" s="12" t="inlineStr">
        <is>
          <t>Module: Authentication, Setup: Local Host, Detail: Provider notify: Variant #309 (Authentication)</t>
        </is>
      </c>
      <c r="I310" s="12" t="inlineStr">
        <is>
          <t>Listeners receive notification and rebuild bound UI components once. for module Authentication.</t>
        </is>
      </c>
      <c r="J310" s="12" t="inlineStr">
        <is>
          <t>Pending Execution</t>
        </is>
      </c>
      <c r="K310" s="11" t="inlineStr">
        <is>
          <t>High</t>
        </is>
      </c>
      <c r="L310" s="11" t="inlineStr">
        <is>
          <t>Moderate</t>
        </is>
      </c>
      <c r="M310" s="13" t="inlineStr">
        <is>
          <t>Not Executed</t>
        </is>
      </c>
      <c r="N310" s="12" t="inlineStr">
        <is>
          <t>Generated baseline case for Functional</t>
        </is>
      </c>
    </row>
    <row r="311" ht="36" customHeight="1">
      <c r="A311" s="11" t="inlineStr">
        <is>
          <t>FUN-310</t>
        </is>
      </c>
      <c r="B311" s="12" t="inlineStr">
        <is>
          <t>Dashboard</t>
        </is>
      </c>
      <c r="C311" s="12" t="inlineStr">
        <is>
          <t>Verify authorization guard rules and permission checks for Dashboard</t>
        </is>
      </c>
      <c r="D311" s="12" t="inlineStr">
        <is>
          <t>Functional - Dashboard - Verify authorization guard rules and permission checks (#310)</t>
        </is>
      </c>
      <c r="E311" s="12" t="inlineStr">
        <is>
          <t>Ensure Dashboard module satisfies quality criteria for Functional category.</t>
        </is>
      </c>
      <c r="F311" s="12" t="inlineStr">
        <is>
          <t>Test environment active, NutriFit app launched on local test setup for Dashboard.</t>
        </is>
      </c>
      <c r="G311" s="12" t="inlineStr">
        <is>
          <t>1. Open NutriFit app on target setup.
2. Navigate to Dashboard screen.
3. Attempt feature access with restricted user permissions.
4. Validate assertions.</t>
        </is>
      </c>
      <c r="H311" s="12" t="inlineStr">
        <is>
          <t>Module: Dashboard, Setup: Local Host, Detail: Auth role: Variant #310 (Dashboard)</t>
        </is>
      </c>
      <c r="I311" s="12" t="inlineStr">
        <is>
          <t>Authorization guard blocks access and redirects to permission error screen. for module Dashboard.</t>
        </is>
      </c>
      <c r="J311" s="12" t="inlineStr">
        <is>
          <t>Pending Execution</t>
        </is>
      </c>
      <c r="K311" s="11" t="inlineStr">
        <is>
          <t>Low</t>
        </is>
      </c>
      <c r="L311" s="11" t="inlineStr">
        <is>
          <t>Major</t>
        </is>
      </c>
      <c r="M311" s="13" t="inlineStr">
        <is>
          <t>Not Executed</t>
        </is>
      </c>
      <c r="N311" s="12" t="inlineStr">
        <is>
          <t>Generated baseline case for Functional</t>
        </is>
      </c>
    </row>
    <row r="312" ht="36" customHeight="1">
      <c r="A312" s="11" t="inlineStr">
        <is>
          <t>FUN-311</t>
        </is>
      </c>
      <c r="B312" s="12" t="inlineStr">
        <is>
          <t>Workout</t>
        </is>
      </c>
      <c r="C312" s="12" t="inlineStr">
        <is>
          <t>Verify component logic and state mutation functions for Workout</t>
        </is>
      </c>
      <c r="D312" s="12" t="inlineStr">
        <is>
          <t>Functional - Workout - Verify component logic and state mutation functions (#311)</t>
        </is>
      </c>
      <c r="E312" s="12" t="inlineStr">
        <is>
          <t>Ensure Workout module satisfies quality criteria for Functional category.</t>
        </is>
      </c>
      <c r="F312" s="12" t="inlineStr">
        <is>
          <t>Test environment active, NutriFit app launched on local test setup for Workout.</t>
        </is>
      </c>
      <c r="G312" s="12" t="inlineStr">
        <is>
          <t>1. Open NutriFit app on target setup.
2. Navigate to Workout screen.
3. Invoke component function with test parameters, observe return values and side effects.
4. Validate assertions.</t>
        </is>
      </c>
      <c r="H312" s="12" t="inlineStr">
        <is>
          <t>Module: Workout, Setup: Local Host, Detail: Function params: Variant #311 (Workout)</t>
        </is>
      </c>
      <c r="I312" s="12" t="inlineStr">
        <is>
          <t>Function executes logic accurately and updates internal state correctly. for module Workout.</t>
        </is>
      </c>
      <c r="J312" s="12" t="inlineStr">
        <is>
          <t>Pending Execution</t>
        </is>
      </c>
      <c r="K312" s="11" t="inlineStr">
        <is>
          <t>Medium</t>
        </is>
      </c>
      <c r="L312" s="11" t="inlineStr">
        <is>
          <t>Moderate</t>
        </is>
      </c>
      <c r="M312" s="13" t="inlineStr">
        <is>
          <t>Not Executed</t>
        </is>
      </c>
      <c r="N312" s="12" t="inlineStr">
        <is>
          <t>Generated baseline case for Functional</t>
        </is>
      </c>
    </row>
    <row r="313" ht="36" customHeight="1">
      <c r="A313" s="11" t="inlineStr">
        <is>
          <t>FUN-312</t>
        </is>
      </c>
      <c r="B313" s="12" t="inlineStr">
        <is>
          <t>Diet</t>
        </is>
      </c>
      <c r="C313" s="12" t="inlineStr">
        <is>
          <t>Verify validation constraints and edge-case handling for Diet</t>
        </is>
      </c>
      <c r="D313" s="12" t="inlineStr">
        <is>
          <t>Functional - Diet - Verify validation constraints and edge-case handling (#312)</t>
        </is>
      </c>
      <c r="E313" s="12" t="inlineStr">
        <is>
          <t>Ensure Diet module satisfies quality criteria for Functional category.</t>
        </is>
      </c>
      <c r="F313" s="12" t="inlineStr">
        <is>
          <t>Test environment active, NutriFit app launched on local test setup for Diet.</t>
        </is>
      </c>
      <c r="G313" s="12" t="inlineStr">
        <is>
          <t>1. Open NutriFit app on target setup.
2. Navigate to Diet screen.
3. Pass boundary, empty, and out-of-bounds inputs to validation handler.
4. Validate assertions.</t>
        </is>
      </c>
      <c r="H313" s="12" t="inlineStr">
        <is>
          <t>Module: Diet, Setup: Local Host, Detail: Edge case input: Variant #312 (Diet)</t>
        </is>
      </c>
      <c r="I313" s="12" t="inlineStr">
        <is>
          <t>Validation rules enforce constraints and return precise error strings. for module Diet.</t>
        </is>
      </c>
      <c r="J313" s="12" t="inlineStr">
        <is>
          <t>Pending Execution</t>
        </is>
      </c>
      <c r="K313" s="11" t="inlineStr">
        <is>
          <t>High</t>
        </is>
      </c>
      <c r="L313" s="11" t="inlineStr">
        <is>
          <t>Major</t>
        </is>
      </c>
      <c r="M313" s="13" t="inlineStr">
        <is>
          <t>Not Executed</t>
        </is>
      </c>
      <c r="N313" s="12" t="inlineStr">
        <is>
          <t>Generated baseline case for Functional</t>
        </is>
      </c>
    </row>
    <row r="314" ht="36" customHeight="1">
      <c r="A314" s="11" t="inlineStr">
        <is>
          <t>FUN-313</t>
        </is>
      </c>
      <c r="B314" s="12" t="inlineStr">
        <is>
          <t>Budget Diet</t>
        </is>
      </c>
      <c r="C314" s="12" t="inlineStr">
        <is>
          <t>Verify asynchronous service calls and Futures resolution for Budget Diet</t>
        </is>
      </c>
      <c r="D314" s="12" t="inlineStr">
        <is>
          <t>Functional - Budget Diet - Verify asynchronous service calls and Futures resolution (#313)</t>
        </is>
      </c>
      <c r="E314" s="12" t="inlineStr">
        <is>
          <t>Ensure Budget Diet module satisfies quality criteria for Functional category.</t>
        </is>
      </c>
      <c r="F314" s="12" t="inlineStr">
        <is>
          <t>Test environment active, NutriFit app launched on local test setup for Budget Diet.</t>
        </is>
      </c>
      <c r="G314" s="12" t="inlineStr">
        <is>
          <t>1. Open NutriFit app on target setup.
2. Navigate to Budget Diet screen.
3. Execute async service method, await Future completion, parse response model.
4. Validate assertions.</t>
        </is>
      </c>
      <c r="H314" s="12" t="inlineStr">
        <is>
          <t>Module: Budget Diet, Setup: Local Host, Detail: Async payload: Variant #313 (Budget Diet)</t>
        </is>
      </c>
      <c r="I314" s="12" t="inlineStr">
        <is>
          <t>Service parses JSON response cleanly into domain model instance. for module Budget Diet.</t>
        </is>
      </c>
      <c r="J314" s="12" t="inlineStr">
        <is>
          <t>Pending Execution</t>
        </is>
      </c>
      <c r="K314" s="11" t="inlineStr">
        <is>
          <t>Medium</t>
        </is>
      </c>
      <c r="L314" s="11" t="inlineStr">
        <is>
          <t>Moderate</t>
        </is>
      </c>
      <c r="M314" s="13" t="inlineStr">
        <is>
          <t>Not Executed</t>
        </is>
      </c>
      <c r="N314" s="12" t="inlineStr">
        <is>
          <t>Generated baseline case for Functional</t>
        </is>
      </c>
    </row>
    <row r="315" ht="36" customHeight="1">
      <c r="A315" s="11" t="inlineStr">
        <is>
          <t>FUN-314</t>
        </is>
      </c>
      <c r="B315" s="12" t="inlineStr">
        <is>
          <t>Stretching</t>
        </is>
      </c>
      <c r="C315" s="12" t="inlineStr">
        <is>
          <t>Verify reactive state listener callbacks and UI rebuilds for Stretching</t>
        </is>
      </c>
      <c r="D315" s="12" t="inlineStr">
        <is>
          <t>Functional - Stretching - Verify reactive state listener callbacks and UI rebuilds (#314)</t>
        </is>
      </c>
      <c r="E315" s="12" t="inlineStr">
        <is>
          <t>Ensure Stretching module satisfies quality criteria for Functional category.</t>
        </is>
      </c>
      <c r="F315" s="12" t="inlineStr">
        <is>
          <t>Test environment active, NutriFit app launched on local test setup for Stretching.</t>
        </is>
      </c>
      <c r="G315" s="12" t="inlineStr">
        <is>
          <t>1. Open NutriFit app on target setup.
2. Navigate to Stretching screen.
3. Mutate state property in Provider model, count listener callbacks triggered.
4. Validate assertions.</t>
        </is>
      </c>
      <c r="H315" s="12" t="inlineStr">
        <is>
          <t>Module: Stretching, Setup: Local Host, Detail: Provider notify: Variant #314 (Stretching)</t>
        </is>
      </c>
      <c r="I315" s="12" t="inlineStr">
        <is>
          <t>Listeners receive notification and rebuild bound UI components once. for module Stretching.</t>
        </is>
      </c>
      <c r="J315" s="12" t="inlineStr">
        <is>
          <t>Pending Execution</t>
        </is>
      </c>
      <c r="K315" s="11" t="inlineStr">
        <is>
          <t>Medium</t>
        </is>
      </c>
      <c r="L315" s="11" t="inlineStr">
        <is>
          <t>Major</t>
        </is>
      </c>
      <c r="M315" s="13" t="inlineStr">
        <is>
          <t>Not Executed</t>
        </is>
      </c>
      <c r="N315" s="12" t="inlineStr">
        <is>
          <t>Generated baseline case for Functional</t>
        </is>
      </c>
    </row>
    <row r="316" ht="36" customHeight="1">
      <c r="A316" s="11" t="inlineStr">
        <is>
          <t>FUN-315</t>
        </is>
      </c>
      <c r="B316" s="12" t="inlineStr">
        <is>
          <t>Water Tracker</t>
        </is>
      </c>
      <c r="C316" s="12" t="inlineStr">
        <is>
          <t>Verify authorization guard rules and permission checks for Water Tracker</t>
        </is>
      </c>
      <c r="D316" s="12" t="inlineStr">
        <is>
          <t>Functional - Water Tracker - Verify authorization guard rules and permission checks (#315)</t>
        </is>
      </c>
      <c r="E316" s="12" t="inlineStr">
        <is>
          <t>Ensure Water Tracker module satisfies quality criteria for Functional category.</t>
        </is>
      </c>
      <c r="F316" s="12" t="inlineStr">
        <is>
          <t>Test environment active, NutriFit app launched on local test setup for Water Tracker.</t>
        </is>
      </c>
      <c r="G316" s="12" t="inlineStr">
        <is>
          <t>1. Open NutriFit app on target setup.
2. Navigate to Water Tracker screen.
3. Attempt feature access with restricted user permissions.
4. Validate assertions.</t>
        </is>
      </c>
      <c r="H316" s="12" t="inlineStr">
        <is>
          <t>Module: Water Tracker, Setup: Local Host, Detail: Auth role: Variant #315 (Water Tracker)</t>
        </is>
      </c>
      <c r="I316" s="12" t="inlineStr">
        <is>
          <t>Authorization guard blocks access and redirects to permission error screen. for module Water Tracker.</t>
        </is>
      </c>
      <c r="J316" s="12" t="inlineStr">
        <is>
          <t>Pending Execution</t>
        </is>
      </c>
      <c r="K316" s="11" t="inlineStr">
        <is>
          <t>High</t>
        </is>
      </c>
      <c r="L316" s="11" t="inlineStr">
        <is>
          <t>Critical</t>
        </is>
      </c>
      <c r="M316" s="13" t="inlineStr">
        <is>
          <t>Not Executed</t>
        </is>
      </c>
      <c r="N316" s="12" t="inlineStr">
        <is>
          <t>Generated baseline case for Functional</t>
        </is>
      </c>
    </row>
    <row r="317" ht="36" customHeight="1">
      <c r="A317" s="11" t="inlineStr">
        <is>
          <t>FUN-316</t>
        </is>
      </c>
      <c r="B317" s="12" t="inlineStr">
        <is>
          <t>Sleep Tracker</t>
        </is>
      </c>
      <c r="C317" s="12" t="inlineStr">
        <is>
          <t>Verify component logic and state mutation functions for Sleep Tracker</t>
        </is>
      </c>
      <c r="D317" s="12" t="inlineStr">
        <is>
          <t>Functional - Sleep Tracker - Verify component logic and state mutation functions (#316)</t>
        </is>
      </c>
      <c r="E317" s="12" t="inlineStr">
        <is>
          <t>Ensure Sleep Tracker module satisfies quality criteria for Functional category.</t>
        </is>
      </c>
      <c r="F317" s="12" t="inlineStr">
        <is>
          <t>Test environment active, NutriFit app launched on local test setup for Sleep Tracker.</t>
        </is>
      </c>
      <c r="G317" s="12" t="inlineStr">
        <is>
          <t>1. Open NutriFit app on target setup.
2. Navigate to Sleep Tracker screen.
3. Invoke component function with test parameters, observe return values and side effects.
4. Validate assertions.</t>
        </is>
      </c>
      <c r="H317" s="12" t="inlineStr">
        <is>
          <t>Module: Sleep Tracker, Setup: Local Host, Detail: Function params: Variant #316 (Sleep Tracker)</t>
        </is>
      </c>
      <c r="I317" s="12" t="inlineStr">
        <is>
          <t>Function executes logic accurately and updates internal state correctly. for module Sleep Tracker.</t>
        </is>
      </c>
      <c r="J317" s="12" t="inlineStr">
        <is>
          <t>Pending Execution</t>
        </is>
      </c>
      <c r="K317" s="11" t="inlineStr">
        <is>
          <t>Medium</t>
        </is>
      </c>
      <c r="L317" s="11" t="inlineStr">
        <is>
          <t>Major</t>
        </is>
      </c>
      <c r="M317" s="13" t="inlineStr">
        <is>
          <t>Not Executed</t>
        </is>
      </c>
      <c r="N317" s="12" t="inlineStr">
        <is>
          <t>Generated baseline case for Functional</t>
        </is>
      </c>
    </row>
    <row r="318" ht="36" customHeight="1">
      <c r="A318" s="11" t="inlineStr">
        <is>
          <t>FUN-317</t>
        </is>
      </c>
      <c r="B318" s="12" t="inlineStr">
        <is>
          <t>Step Tracker</t>
        </is>
      </c>
      <c r="C318" s="12" t="inlineStr">
        <is>
          <t>Verify validation constraints and edge-case handling for Step Tracker</t>
        </is>
      </c>
      <c r="D318" s="12" t="inlineStr">
        <is>
          <t>Functional - Step Tracker - Verify validation constraints and edge-case handling (#317)</t>
        </is>
      </c>
      <c r="E318" s="12" t="inlineStr">
        <is>
          <t>Ensure Step Tracker module satisfies quality criteria for Functional category.</t>
        </is>
      </c>
      <c r="F318" s="12" t="inlineStr">
        <is>
          <t>Test environment active, NutriFit app launched on local test setup for Step Tracker.</t>
        </is>
      </c>
      <c r="G318" s="12" t="inlineStr">
        <is>
          <t>1. Open NutriFit app on target setup.
2. Navigate to Step Tracker screen.
3. Pass boundary, empty, and out-of-bounds inputs to validation handler.
4. Validate assertions.</t>
        </is>
      </c>
      <c r="H318" s="12" t="inlineStr">
        <is>
          <t>Module: Step Tracker, Setup: Local Host, Detail: Edge case input: Variant #317 (Step Tracker)</t>
        </is>
      </c>
      <c r="I318" s="12" t="inlineStr">
        <is>
          <t>Validation rules enforce constraints and return precise error strings. for module Step Tracker.</t>
        </is>
      </c>
      <c r="J318" s="12" t="inlineStr">
        <is>
          <t>Pending Execution</t>
        </is>
      </c>
      <c r="K318" s="11" t="inlineStr">
        <is>
          <t>Medium</t>
        </is>
      </c>
      <c r="L318" s="11" t="inlineStr">
        <is>
          <t>Moderate</t>
        </is>
      </c>
      <c r="M318" s="13" t="inlineStr">
        <is>
          <t>Not Executed</t>
        </is>
      </c>
      <c r="N318" s="12" t="inlineStr">
        <is>
          <t>Generated baseline case for Functional</t>
        </is>
      </c>
    </row>
    <row r="319" ht="36" customHeight="1">
      <c r="A319" s="11" t="inlineStr">
        <is>
          <t>FUN-318</t>
        </is>
      </c>
      <c r="B319" s="12" t="inlineStr">
        <is>
          <t>AI Trainer</t>
        </is>
      </c>
      <c r="C319" s="12" t="inlineStr">
        <is>
          <t>Verify asynchronous service calls and Futures resolution for AI Trainer</t>
        </is>
      </c>
      <c r="D319" s="12" t="inlineStr">
        <is>
          <t>Functional - AI Trainer - Verify asynchronous service calls and Futures resolution (#318)</t>
        </is>
      </c>
      <c r="E319" s="12" t="inlineStr">
        <is>
          <t>Ensure AI Trainer module satisfies quality criteria for Functional category.</t>
        </is>
      </c>
      <c r="F319" s="12" t="inlineStr">
        <is>
          <t>Test environment active, NutriFit app launched on local test setup for AI Trainer.</t>
        </is>
      </c>
      <c r="G319" s="12" t="inlineStr">
        <is>
          <t>1. Open NutriFit app on target setup.
2. Navigate to AI Trainer screen.
3. Execute async service method, await Future completion, parse response model.
4. Validate assertions.</t>
        </is>
      </c>
      <c r="H319" s="12" t="inlineStr">
        <is>
          <t>Module: AI Trainer, Setup: Local Host, Detail: Async payload: Variant #318 (AI Trainer)</t>
        </is>
      </c>
      <c r="I319" s="12" t="inlineStr">
        <is>
          <t>Service parses JSON response cleanly into domain model instance. for module AI Trainer.</t>
        </is>
      </c>
      <c r="J319" s="12" t="inlineStr">
        <is>
          <t>Pending Execution</t>
        </is>
      </c>
      <c r="K319" s="11" t="inlineStr">
        <is>
          <t>High</t>
        </is>
      </c>
      <c r="L319" s="11" t="inlineStr">
        <is>
          <t>Major</t>
        </is>
      </c>
      <c r="M319" s="13" t="inlineStr">
        <is>
          <t>Not Executed</t>
        </is>
      </c>
      <c r="N319" s="12" t="inlineStr">
        <is>
          <t>Generated baseline case for Functional</t>
        </is>
      </c>
    </row>
    <row r="320" ht="36" customHeight="1">
      <c r="A320" s="11" t="inlineStr">
        <is>
          <t>FUN-319</t>
        </is>
      </c>
      <c r="B320" s="12" t="inlineStr">
        <is>
          <t>Shop</t>
        </is>
      </c>
      <c r="C320" s="12" t="inlineStr">
        <is>
          <t>Verify reactive state listener callbacks and UI rebuilds for Shop</t>
        </is>
      </c>
      <c r="D320" s="12" t="inlineStr">
        <is>
          <t>Functional - Shop - Verify reactive state listener callbacks and UI rebuilds (#319)</t>
        </is>
      </c>
      <c r="E320" s="12" t="inlineStr">
        <is>
          <t>Ensure Shop module satisfies quality criteria for Functional category.</t>
        </is>
      </c>
      <c r="F320" s="12" t="inlineStr">
        <is>
          <t>Test environment active, NutriFit app launched on local test setup for Shop.</t>
        </is>
      </c>
      <c r="G320" s="12" t="inlineStr">
        <is>
          <t>1. Open NutriFit app on target setup.
2. Navigate to Shop screen.
3. Mutate state property in Provider model, count listener callbacks triggered.
4. Validate assertions.</t>
        </is>
      </c>
      <c r="H320" s="12" t="inlineStr">
        <is>
          <t>Module: Shop, Setup: Local Host, Detail: Provider notify: Variant #319 (Shop)</t>
        </is>
      </c>
      <c r="I320" s="12" t="inlineStr">
        <is>
          <t>Listeners receive notification and rebuild bound UI components once. for module Shop.</t>
        </is>
      </c>
      <c r="J320" s="12" t="inlineStr">
        <is>
          <t>Pending Execution</t>
        </is>
      </c>
      <c r="K320" s="11" t="inlineStr">
        <is>
          <t>Medium</t>
        </is>
      </c>
      <c r="L320" s="11" t="inlineStr">
        <is>
          <t>Moderate</t>
        </is>
      </c>
      <c r="M320" s="13" t="inlineStr">
        <is>
          <t>Not Executed</t>
        </is>
      </c>
      <c r="N320" s="12" t="inlineStr">
        <is>
          <t>Generated baseline case for Functional</t>
        </is>
      </c>
    </row>
    <row r="321" ht="36" customHeight="1">
      <c r="A321" s="11" t="inlineStr">
        <is>
          <t>FUN-320</t>
        </is>
      </c>
      <c r="B321" s="12" t="inlineStr">
        <is>
          <t>Cart</t>
        </is>
      </c>
      <c r="C321" s="12" t="inlineStr">
        <is>
          <t>Verify authorization guard rules and permission checks for Cart</t>
        </is>
      </c>
      <c r="D321" s="12" t="inlineStr">
        <is>
          <t>Functional - Cart - Verify authorization guard rules and permission checks (#320)</t>
        </is>
      </c>
      <c r="E321" s="12" t="inlineStr">
        <is>
          <t>Ensure Cart module satisfies quality criteria for Functional category.</t>
        </is>
      </c>
      <c r="F321" s="12" t="inlineStr">
        <is>
          <t>Test environment active, NutriFit app launched on local test setup for Cart.</t>
        </is>
      </c>
      <c r="G321" s="12" t="inlineStr">
        <is>
          <t>1. Open NutriFit app on target setup.
2. Navigate to Cart screen.
3. Attempt feature access with restricted user permissions.
4. Validate assertions.</t>
        </is>
      </c>
      <c r="H321" s="12" t="inlineStr">
        <is>
          <t>Module: Cart, Setup: Local Host, Detail: Auth role: Variant #320 (Cart)</t>
        </is>
      </c>
      <c r="I321" s="12" t="inlineStr">
        <is>
          <t>Authorization guard blocks access and redirects to permission error screen. for module Cart.</t>
        </is>
      </c>
      <c r="J321" s="12" t="inlineStr">
        <is>
          <t>Pending Execution</t>
        </is>
      </c>
      <c r="K321" s="11" t="inlineStr">
        <is>
          <t>Low</t>
        </is>
      </c>
      <c r="L321" s="11" t="inlineStr">
        <is>
          <t>Major</t>
        </is>
      </c>
      <c r="M321" s="13" t="inlineStr">
        <is>
          <t>Not Executed</t>
        </is>
      </c>
      <c r="N321" s="12" t="inlineStr">
        <is>
          <t>Generated baseline case for Functional</t>
        </is>
      </c>
    </row>
    <row r="322" ht="36" customHeight="1">
      <c r="A322" s="11" t="inlineStr">
        <is>
          <t>FUN-321</t>
        </is>
      </c>
      <c r="B322" s="12" t="inlineStr">
        <is>
          <t>Checkout</t>
        </is>
      </c>
      <c r="C322" s="12" t="inlineStr">
        <is>
          <t>Verify component logic and state mutation functions for Checkout</t>
        </is>
      </c>
      <c r="D322" s="12" t="inlineStr">
        <is>
          <t>Functional - Checkout - Verify component logic and state mutation functions (#321)</t>
        </is>
      </c>
      <c r="E322" s="12" t="inlineStr">
        <is>
          <t>Ensure Checkout module satisfies quality criteria for Functional category.</t>
        </is>
      </c>
      <c r="F322" s="12" t="inlineStr">
        <is>
          <t>Test environment active, NutriFit app launched on local test setup for Checkout.</t>
        </is>
      </c>
      <c r="G322" s="12" t="inlineStr">
        <is>
          <t>1. Open NutriFit app on target setup.
2. Navigate to Checkout screen.
3. Invoke component function with test parameters, observe return values and side effects.
4. Validate assertions.</t>
        </is>
      </c>
      <c r="H322" s="12" t="inlineStr">
        <is>
          <t>Module: Checkout, Setup: Local Host, Detail: Function params: Variant #321 (Checkout)</t>
        </is>
      </c>
      <c r="I322" s="12" t="inlineStr">
        <is>
          <t>Function executes logic accurately and updates internal state correctly. for module Checkout.</t>
        </is>
      </c>
      <c r="J322" s="12" t="inlineStr">
        <is>
          <t>Pending Execution</t>
        </is>
      </c>
      <c r="K322" s="11" t="inlineStr">
        <is>
          <t>High</t>
        </is>
      </c>
      <c r="L322" s="11" t="inlineStr">
        <is>
          <t>Moderate</t>
        </is>
      </c>
      <c r="M322" s="13" t="inlineStr">
        <is>
          <t>Not Executed</t>
        </is>
      </c>
      <c r="N322" s="12" t="inlineStr">
        <is>
          <t>Generated baseline case for Functional</t>
        </is>
      </c>
    </row>
    <row r="323" ht="36" customHeight="1">
      <c r="A323" s="11" t="inlineStr">
        <is>
          <t>FUN-322</t>
        </is>
      </c>
      <c r="B323" s="12" t="inlineStr">
        <is>
          <t>Address</t>
        </is>
      </c>
      <c r="C323" s="12" t="inlineStr">
        <is>
          <t>Verify validation constraints and edge-case handling for Address</t>
        </is>
      </c>
      <c r="D323" s="12" t="inlineStr">
        <is>
          <t>Functional - Address - Verify validation constraints and edge-case handling (#322)</t>
        </is>
      </c>
      <c r="E323" s="12" t="inlineStr">
        <is>
          <t>Ensure Address module satisfies quality criteria for Functional category.</t>
        </is>
      </c>
      <c r="F323" s="12" t="inlineStr">
        <is>
          <t>Test environment active, NutriFit app launched on local test setup for Address.</t>
        </is>
      </c>
      <c r="G323" s="12" t="inlineStr">
        <is>
          <t>1. Open NutriFit app on target setup.
2. Navigate to Address screen.
3. Pass boundary, empty, and out-of-bounds inputs to validation handler.
4. Validate assertions.</t>
        </is>
      </c>
      <c r="H323" s="12" t="inlineStr">
        <is>
          <t>Module: Address, Setup: Local Host, Detail: Edge case input: Variant #322 (Address)</t>
        </is>
      </c>
      <c r="I323" s="12" t="inlineStr">
        <is>
          <t>Validation rules enforce constraints and return precise error strings. for module Address.</t>
        </is>
      </c>
      <c r="J323" s="12" t="inlineStr">
        <is>
          <t>Pending Execution</t>
        </is>
      </c>
      <c r="K323" s="11" t="inlineStr">
        <is>
          <t>Medium</t>
        </is>
      </c>
      <c r="L323" s="11" t="inlineStr">
        <is>
          <t>Critical</t>
        </is>
      </c>
      <c r="M323" s="13" t="inlineStr">
        <is>
          <t>Not Executed</t>
        </is>
      </c>
      <c r="N323" s="12" t="inlineStr">
        <is>
          <t>Generated baseline case for Functional</t>
        </is>
      </c>
    </row>
    <row r="324" ht="36" customHeight="1">
      <c r="A324" s="11" t="inlineStr">
        <is>
          <t>FUN-323</t>
        </is>
      </c>
      <c r="B324" s="12" t="inlineStr">
        <is>
          <t>Orders</t>
        </is>
      </c>
      <c r="C324" s="12" t="inlineStr">
        <is>
          <t>Verify asynchronous service calls and Futures resolution for Orders</t>
        </is>
      </c>
      <c r="D324" s="12" t="inlineStr">
        <is>
          <t>Functional - Orders - Verify asynchronous service calls and Futures resolution (#323)</t>
        </is>
      </c>
      <c r="E324" s="12" t="inlineStr">
        <is>
          <t>Ensure Orders module satisfies quality criteria for Functional category.</t>
        </is>
      </c>
      <c r="F324" s="12" t="inlineStr">
        <is>
          <t>Test environment active, NutriFit app launched on local test setup for Orders.</t>
        </is>
      </c>
      <c r="G324" s="12" t="inlineStr">
        <is>
          <t>1. Open NutriFit app on target setup.
2. Navigate to Orders screen.
3. Execute async service method, await Future completion, parse response model.
4. Validate assertions.</t>
        </is>
      </c>
      <c r="H324" s="12" t="inlineStr">
        <is>
          <t>Module: Orders, Setup: Local Host, Detail: Async payload: Variant #323 (Orders)</t>
        </is>
      </c>
      <c r="I324" s="12" t="inlineStr">
        <is>
          <t>Service parses JSON response cleanly into domain model instance. for module Orders.</t>
        </is>
      </c>
      <c r="J324" s="12" t="inlineStr">
        <is>
          <t>Pending Execution</t>
        </is>
      </c>
      <c r="K324" s="11" t="inlineStr">
        <is>
          <t>Medium</t>
        </is>
      </c>
      <c r="L324" s="11" t="inlineStr">
        <is>
          <t>Moderate</t>
        </is>
      </c>
      <c r="M324" s="13" t="inlineStr">
        <is>
          <t>Not Executed</t>
        </is>
      </c>
      <c r="N324" s="12" t="inlineStr">
        <is>
          <t>Generated baseline case for Functional</t>
        </is>
      </c>
    </row>
    <row r="325" ht="36" customHeight="1">
      <c r="A325" s="11" t="inlineStr">
        <is>
          <t>FUN-324</t>
        </is>
      </c>
      <c r="B325" s="12" t="inlineStr">
        <is>
          <t>Profile</t>
        </is>
      </c>
      <c r="C325" s="12" t="inlineStr">
        <is>
          <t>Verify reactive state listener callbacks and UI rebuilds for Profile</t>
        </is>
      </c>
      <c r="D325" s="12" t="inlineStr">
        <is>
          <t>Functional - Profile - Verify reactive state listener callbacks and UI rebuilds (#324)</t>
        </is>
      </c>
      <c r="E325" s="12" t="inlineStr">
        <is>
          <t>Ensure Profile module satisfies quality criteria for Functional category.</t>
        </is>
      </c>
      <c r="F325" s="12" t="inlineStr">
        <is>
          <t>Test environment active, NutriFit app launched on local test setup for Profile.</t>
        </is>
      </c>
      <c r="G325" s="12" t="inlineStr">
        <is>
          <t>1. Open NutriFit app on target setup.
2. Navigate to Profile screen.
3. Mutate state property in Provider model, count listener callbacks triggered.
4. Validate assertions.</t>
        </is>
      </c>
      <c r="H325" s="12" t="inlineStr">
        <is>
          <t>Module: Profile, Setup: Local Host, Detail: Provider notify: Variant #324 (Profile)</t>
        </is>
      </c>
      <c r="I325" s="12" t="inlineStr">
        <is>
          <t>Listeners receive notification and rebuild bound UI components once. for module Profile.</t>
        </is>
      </c>
      <c r="J325" s="12" t="inlineStr">
        <is>
          <t>Pending Execution</t>
        </is>
      </c>
      <c r="K325" s="11" t="inlineStr">
        <is>
          <t>High</t>
        </is>
      </c>
      <c r="L325" s="11" t="inlineStr">
        <is>
          <t>Major</t>
        </is>
      </c>
      <c r="M325" s="13" t="inlineStr">
        <is>
          <t>Not Executed</t>
        </is>
      </c>
      <c r="N325" s="12" t="inlineStr">
        <is>
          <t>Generated baseline case for Functional</t>
        </is>
      </c>
    </row>
    <row r="326" ht="36" customHeight="1">
      <c r="A326" s="11" t="inlineStr">
        <is>
          <t>FUN-325</t>
        </is>
      </c>
      <c r="B326" s="12" t="inlineStr">
        <is>
          <t>Notifications</t>
        </is>
      </c>
      <c r="C326" s="12" t="inlineStr">
        <is>
          <t>Verify authorization guard rules and permission checks for Notifications</t>
        </is>
      </c>
      <c r="D326" s="12" t="inlineStr">
        <is>
          <t>Functional - Notifications - Verify authorization guard rules and permission checks (#325)</t>
        </is>
      </c>
      <c r="E326" s="12" t="inlineStr">
        <is>
          <t>Ensure Notifications module satisfies quality criteria for Functional category.</t>
        </is>
      </c>
      <c r="F326" s="12" t="inlineStr">
        <is>
          <t>Test environment active, NutriFit app launched on local test setup for Notifications.</t>
        </is>
      </c>
      <c r="G326" s="12" t="inlineStr">
        <is>
          <t>1. Open NutriFit app on target setup.
2. Navigate to Notifications screen.
3. Attempt feature access with restricted user permissions.
4. Validate assertions.</t>
        </is>
      </c>
      <c r="H326" s="12" t="inlineStr">
        <is>
          <t>Module: Notifications, Setup: Local Host, Detail: Auth role: Variant #325 (Notifications)</t>
        </is>
      </c>
      <c r="I326" s="12" t="inlineStr">
        <is>
          <t>Authorization guard blocks access and redirects to permission error screen. for module Notifications.</t>
        </is>
      </c>
      <c r="J326" s="12" t="inlineStr">
        <is>
          <t>Pending Execution</t>
        </is>
      </c>
      <c r="K326" s="11" t="inlineStr">
        <is>
          <t>Low</t>
        </is>
      </c>
      <c r="L326" s="11" t="inlineStr">
        <is>
          <t>Moderate</t>
        </is>
      </c>
      <c r="M326" s="13" t="inlineStr">
        <is>
          <t>Not Executed</t>
        </is>
      </c>
      <c r="N326" s="12" t="inlineStr">
        <is>
          <t>Generated baseline case for Functional</t>
        </is>
      </c>
    </row>
    <row r="327" ht="36" customHeight="1">
      <c r="A327" s="11" t="inlineStr">
        <is>
          <t>FUN-326</t>
        </is>
      </c>
      <c r="B327" s="12" t="inlineStr">
        <is>
          <t>Settings</t>
        </is>
      </c>
      <c r="C327" s="12" t="inlineStr">
        <is>
          <t>Verify component logic and state mutation functions for Settings</t>
        </is>
      </c>
      <c r="D327" s="12" t="inlineStr">
        <is>
          <t>Functional - Settings - Verify component logic and state mutation functions (#326)</t>
        </is>
      </c>
      <c r="E327" s="12" t="inlineStr">
        <is>
          <t>Ensure Settings module satisfies quality criteria for Functional category.</t>
        </is>
      </c>
      <c r="F327" s="12" t="inlineStr">
        <is>
          <t>Test environment active, NutriFit app launched on local test setup for Settings.</t>
        </is>
      </c>
      <c r="G327" s="12" t="inlineStr">
        <is>
          <t>1. Open NutriFit app on target setup.
2. Navigate to Settings screen.
3. Invoke component function with test parameters, observe return values and side effects.
4. Validate assertions.</t>
        </is>
      </c>
      <c r="H327" s="12" t="inlineStr">
        <is>
          <t>Module: Settings, Setup: Local Host, Detail: Function params: Variant #326 (Settings)</t>
        </is>
      </c>
      <c r="I327" s="12" t="inlineStr">
        <is>
          <t>Function executes logic accurately and updates internal state correctly. for module Settings.</t>
        </is>
      </c>
      <c r="J327" s="12" t="inlineStr">
        <is>
          <t>Pending Execution</t>
        </is>
      </c>
      <c r="K327" s="11" t="inlineStr">
        <is>
          <t>Medium</t>
        </is>
      </c>
      <c r="L327" s="11" t="inlineStr">
        <is>
          <t>Major</t>
        </is>
      </c>
      <c r="M327" s="13" t="inlineStr">
        <is>
          <t>Not Executed</t>
        </is>
      </c>
      <c r="N327" s="12" t="inlineStr">
        <is>
          <t>Generated baseline case for Functional</t>
        </is>
      </c>
    </row>
    <row r="328" ht="36" customHeight="1">
      <c r="A328" s="11" t="inlineStr">
        <is>
          <t>FUN-327</t>
        </is>
      </c>
      <c r="B328" s="12" t="inlineStr">
        <is>
          <t>Localization</t>
        </is>
      </c>
      <c r="C328" s="12" t="inlineStr">
        <is>
          <t>Verify validation constraints and edge-case handling for Localization</t>
        </is>
      </c>
      <c r="D328" s="12" t="inlineStr">
        <is>
          <t>Functional - Localization - Verify validation constraints and edge-case handling (#327)</t>
        </is>
      </c>
      <c r="E328" s="12" t="inlineStr">
        <is>
          <t>Ensure Localization module satisfies quality criteria for Functional category.</t>
        </is>
      </c>
      <c r="F328" s="12" t="inlineStr">
        <is>
          <t>Test environment active, NutriFit app launched on local test setup for Localization.</t>
        </is>
      </c>
      <c r="G328" s="12" t="inlineStr">
        <is>
          <t>1. Open NutriFit app on target setup.
2. Navigate to Localization screen.
3. Pass boundary, empty, and out-of-bounds inputs to validation handler.
4. Validate assertions.</t>
        </is>
      </c>
      <c r="H328" s="12" t="inlineStr">
        <is>
          <t>Module: Localization, Setup: Local Host, Detail: Edge case input: Variant #327 (Localization)</t>
        </is>
      </c>
      <c r="I328" s="12" t="inlineStr">
        <is>
          <t>Validation rules enforce constraints and return precise error strings. for module Localization.</t>
        </is>
      </c>
      <c r="J328" s="12" t="inlineStr">
        <is>
          <t>Pending Execution</t>
        </is>
      </c>
      <c r="K328" s="11" t="inlineStr">
        <is>
          <t>High</t>
        </is>
      </c>
      <c r="L328" s="11" t="inlineStr">
        <is>
          <t>Moderate</t>
        </is>
      </c>
      <c r="M328" s="13" t="inlineStr">
        <is>
          <t>Not Executed</t>
        </is>
      </c>
      <c r="N328" s="12" t="inlineStr">
        <is>
          <t>Generated baseline case for Functional</t>
        </is>
      </c>
    </row>
    <row r="329" ht="36" customHeight="1">
      <c r="A329" s="11" t="inlineStr">
        <is>
          <t>FUN-328</t>
        </is>
      </c>
      <c r="B329" s="12" t="inlineStr">
        <is>
          <t>Supabase Integration</t>
        </is>
      </c>
      <c r="C329" s="12" t="inlineStr">
        <is>
          <t>Verify asynchronous service calls and Futures resolution for Supabase Integration</t>
        </is>
      </c>
      <c r="D329" s="12" t="inlineStr">
        <is>
          <t>Functional - Supabase Integration - Verify asynchronous service calls and Futures resolution (#328)</t>
        </is>
      </c>
      <c r="E329" s="12" t="inlineStr">
        <is>
          <t>Ensure Supabase Integration module satisfies quality criteria for Functional category.</t>
        </is>
      </c>
      <c r="F329" s="12" t="inlineStr">
        <is>
          <t>Test environment active, NutriFit app launched on local test setup for Supabase Integration.</t>
        </is>
      </c>
      <c r="G329" s="12" t="inlineStr">
        <is>
          <t>1. Open NutriFit app on target setup.
2. Navigate to Supabase Integration screen.
3. Execute async service method, await Future completion, parse response model.
4. Validate assertions.</t>
        </is>
      </c>
      <c r="H329" s="12" t="inlineStr">
        <is>
          <t>Module: Supabase Integration, Setup: Local Host, Detail: Async payload: Variant #328 (Supabase Integration)</t>
        </is>
      </c>
      <c r="I329" s="12" t="inlineStr">
        <is>
          <t>Service parses JSON response cleanly into domain model instance. for module Supabase Integration.</t>
        </is>
      </c>
      <c r="J329" s="12" t="inlineStr">
        <is>
          <t>Pending Execution</t>
        </is>
      </c>
      <c r="K329" s="11" t="inlineStr">
        <is>
          <t>Medium</t>
        </is>
      </c>
      <c r="L329" s="11" t="inlineStr">
        <is>
          <t>Major</t>
        </is>
      </c>
      <c r="M329" s="13" t="inlineStr">
        <is>
          <t>Not Executed</t>
        </is>
      </c>
      <c r="N329" s="12" t="inlineStr">
        <is>
          <t>Generated baseline case for Functional</t>
        </is>
      </c>
    </row>
    <row r="330" ht="36" customHeight="1">
      <c r="A330" s="11" t="inlineStr">
        <is>
          <t>FUN-329</t>
        </is>
      </c>
      <c r="B330" s="12" t="inlineStr">
        <is>
          <t>Responsive Web</t>
        </is>
      </c>
      <c r="C330" s="12" t="inlineStr">
        <is>
          <t>Verify reactive state listener callbacks and UI rebuilds for Responsive Web</t>
        </is>
      </c>
      <c r="D330" s="12" t="inlineStr">
        <is>
          <t>Functional - Responsive Web - Verify reactive state listener callbacks and UI rebuilds (#329)</t>
        </is>
      </c>
      <c r="E330" s="12" t="inlineStr">
        <is>
          <t>Ensure Responsive Web module satisfies quality criteria for Functional category.</t>
        </is>
      </c>
      <c r="F330" s="12" t="inlineStr">
        <is>
          <t>Test environment active, NutriFit app launched on local test setup for Responsive Web.</t>
        </is>
      </c>
      <c r="G330" s="12" t="inlineStr">
        <is>
          <t>1. Open NutriFit app on target setup.
2. Navigate to Responsive Web screen.
3. Mutate state property in Provider model, count listener callbacks triggered.
4. Validate assertions.</t>
        </is>
      </c>
      <c r="H330" s="12" t="inlineStr">
        <is>
          <t>Module: Responsive Web, Setup: Local Host, Detail: Provider notify: Variant #329 (Responsive Web)</t>
        </is>
      </c>
      <c r="I330" s="12" t="inlineStr">
        <is>
          <t>Listeners receive notification and rebuild bound UI components once. for module Responsive Web.</t>
        </is>
      </c>
      <c r="J330" s="12" t="inlineStr">
        <is>
          <t>Pending Execution</t>
        </is>
      </c>
      <c r="K330" s="11" t="inlineStr">
        <is>
          <t>Medium</t>
        </is>
      </c>
      <c r="L330" s="11" t="inlineStr">
        <is>
          <t>Critical</t>
        </is>
      </c>
      <c r="M330" s="13" t="inlineStr">
        <is>
          <t>Not Executed</t>
        </is>
      </c>
      <c r="N330" s="12" t="inlineStr">
        <is>
          <t>Generated baseline case for Functional</t>
        </is>
      </c>
    </row>
    <row r="331" ht="36" customHeight="1">
      <c r="A331" s="11" t="inlineStr">
        <is>
          <t>FUN-330</t>
        </is>
      </c>
      <c r="B331" s="12" t="inlineStr">
        <is>
          <t>Android UI</t>
        </is>
      </c>
      <c r="C331" s="12" t="inlineStr">
        <is>
          <t>Verify authorization guard rules and permission checks for Android UI</t>
        </is>
      </c>
      <c r="D331" s="12" t="inlineStr">
        <is>
          <t>Functional - Android UI - Verify authorization guard rules and permission checks (#330)</t>
        </is>
      </c>
      <c r="E331" s="12" t="inlineStr">
        <is>
          <t>Ensure Android UI module satisfies quality criteria for Functional category.</t>
        </is>
      </c>
      <c r="F331" s="12" t="inlineStr">
        <is>
          <t>Test environment active, NutriFit app launched on local test setup for Android UI.</t>
        </is>
      </c>
      <c r="G331" s="12" t="inlineStr">
        <is>
          <t>1. Open NutriFit app on target setup.
2. Navigate to Android UI screen.
3. Attempt feature access with restricted user permissions.
4. Validate assertions.</t>
        </is>
      </c>
      <c r="H331" s="12" t="inlineStr">
        <is>
          <t>Module: Android UI, Setup: Local Host, Detail: Auth role: Variant #330 (Android UI)</t>
        </is>
      </c>
      <c r="I331" s="12" t="inlineStr">
        <is>
          <t>Authorization guard blocks access and redirects to permission error screen. for module Android UI.</t>
        </is>
      </c>
      <c r="J331" s="12" t="inlineStr">
        <is>
          <t>Pending Execution</t>
        </is>
      </c>
      <c r="K331" s="11" t="inlineStr">
        <is>
          <t>High</t>
        </is>
      </c>
      <c r="L331" s="11" t="inlineStr">
        <is>
          <t>Major</t>
        </is>
      </c>
      <c r="M331" s="13" t="inlineStr">
        <is>
          <t>Not Executed</t>
        </is>
      </c>
      <c r="N331" s="12" t="inlineStr">
        <is>
          <t>Generated baseline case for Functional</t>
        </is>
      </c>
    </row>
    <row r="332" ht="36" customHeight="1">
      <c r="A332" s="11" t="inlineStr">
        <is>
          <t>FUN-331</t>
        </is>
      </c>
      <c r="B332" s="12" t="inlineStr">
        <is>
          <t>Authentication</t>
        </is>
      </c>
      <c r="C332" s="12" t="inlineStr">
        <is>
          <t>Verify component logic and state mutation functions for Authentication</t>
        </is>
      </c>
      <c r="D332" s="12" t="inlineStr">
        <is>
          <t>Functional - Authentication - Verify component logic and state mutation functions (#331)</t>
        </is>
      </c>
      <c r="E332" s="12" t="inlineStr">
        <is>
          <t>Ensure Authentication module satisfies quality criteria for Functional category.</t>
        </is>
      </c>
      <c r="F332" s="12" t="inlineStr">
        <is>
          <t>Test environment active, NutriFit app launched on local test setup for Authentication.</t>
        </is>
      </c>
      <c r="G332" s="12" t="inlineStr">
        <is>
          <t>1. Open NutriFit app on target setup.
2. Navigate to Authentication screen.
3. Invoke component function with test parameters, observe return values and side effects.
4. Validate assertions.</t>
        </is>
      </c>
      <c r="H332" s="12" t="inlineStr">
        <is>
          <t>Module: Authentication, Setup: Local Host, Detail: Function params: Variant #331 (Authentication)</t>
        </is>
      </c>
      <c r="I332" s="12" t="inlineStr">
        <is>
          <t>Function executes logic accurately and updates internal state correctly. for module Authentication.</t>
        </is>
      </c>
      <c r="J332" s="12" t="inlineStr">
        <is>
          <t>Pending Execution</t>
        </is>
      </c>
      <c r="K332" s="11" t="inlineStr">
        <is>
          <t>Medium</t>
        </is>
      </c>
      <c r="L332" s="11" t="inlineStr">
        <is>
          <t>Moderate</t>
        </is>
      </c>
      <c r="M332" s="13" t="inlineStr">
        <is>
          <t>Not Executed</t>
        </is>
      </c>
      <c r="N332" s="12" t="inlineStr">
        <is>
          <t>Generated baseline case for Functional</t>
        </is>
      </c>
    </row>
    <row r="333" ht="36" customHeight="1">
      <c r="A333" s="11" t="inlineStr">
        <is>
          <t>FUN-332</t>
        </is>
      </c>
      <c r="B333" s="12" t="inlineStr">
        <is>
          <t>Dashboard</t>
        </is>
      </c>
      <c r="C333" s="12" t="inlineStr">
        <is>
          <t>Verify validation constraints and edge-case handling for Dashboard</t>
        </is>
      </c>
      <c r="D333" s="12" t="inlineStr">
        <is>
          <t>Functional - Dashboard - Verify validation constraints and edge-case handling (#332)</t>
        </is>
      </c>
      <c r="E333" s="12" t="inlineStr">
        <is>
          <t>Ensure Dashboard module satisfies quality criteria for Functional category.</t>
        </is>
      </c>
      <c r="F333" s="12" t="inlineStr">
        <is>
          <t>Test environment active, NutriFit app launched on local test setup for Dashboard.</t>
        </is>
      </c>
      <c r="G333" s="12" t="inlineStr">
        <is>
          <t>1. Open NutriFit app on target setup.
2. Navigate to Dashboard screen.
3. Pass boundary, empty, and out-of-bounds inputs to validation handler.
4. Validate assertions.</t>
        </is>
      </c>
      <c r="H333" s="12" t="inlineStr">
        <is>
          <t>Module: Dashboard, Setup: Local Host, Detail: Edge case input: Variant #332 (Dashboard)</t>
        </is>
      </c>
      <c r="I333" s="12" t="inlineStr">
        <is>
          <t>Validation rules enforce constraints and return precise error strings. for module Dashboard.</t>
        </is>
      </c>
      <c r="J333" s="12" t="inlineStr">
        <is>
          <t>Pending Execution</t>
        </is>
      </c>
      <c r="K333" s="11" t="inlineStr">
        <is>
          <t>Medium</t>
        </is>
      </c>
      <c r="L333" s="11" t="inlineStr">
        <is>
          <t>Major</t>
        </is>
      </c>
      <c r="M333" s="13" t="inlineStr">
        <is>
          <t>Not Executed</t>
        </is>
      </c>
      <c r="N333" s="12" t="inlineStr">
        <is>
          <t>Generated baseline case for Functional</t>
        </is>
      </c>
    </row>
    <row r="334" ht="36" customHeight="1">
      <c r="A334" s="11" t="inlineStr">
        <is>
          <t>FUN-333</t>
        </is>
      </c>
      <c r="B334" s="12" t="inlineStr">
        <is>
          <t>Workout</t>
        </is>
      </c>
      <c r="C334" s="12" t="inlineStr">
        <is>
          <t>Verify asynchronous service calls and Futures resolution for Workout</t>
        </is>
      </c>
      <c r="D334" s="12" t="inlineStr">
        <is>
          <t>Functional - Workout - Verify asynchronous service calls and Futures resolution (#333)</t>
        </is>
      </c>
      <c r="E334" s="12" t="inlineStr">
        <is>
          <t>Ensure Workout module satisfies quality criteria for Functional category.</t>
        </is>
      </c>
      <c r="F334" s="12" t="inlineStr">
        <is>
          <t>Test environment active, NutriFit app launched on local test setup for Workout.</t>
        </is>
      </c>
      <c r="G334" s="12" t="inlineStr">
        <is>
          <t>1. Open NutriFit app on target setup.
2. Navigate to Workout screen.
3. Execute async service method, await Future completion, parse response model.
4. Validate assertions.</t>
        </is>
      </c>
      <c r="H334" s="12" t="inlineStr">
        <is>
          <t>Module: Workout, Setup: Local Host, Detail: Async payload: Variant #333 (Workout)</t>
        </is>
      </c>
      <c r="I334" s="12" t="inlineStr">
        <is>
          <t>Service parses JSON response cleanly into domain model instance. for module Workout.</t>
        </is>
      </c>
      <c r="J334" s="12" t="inlineStr">
        <is>
          <t>Pending Execution</t>
        </is>
      </c>
      <c r="K334" s="11" t="inlineStr">
        <is>
          <t>High</t>
        </is>
      </c>
      <c r="L334" s="11" t="inlineStr">
        <is>
          <t>Moderate</t>
        </is>
      </c>
      <c r="M334" s="13" t="inlineStr">
        <is>
          <t>Not Executed</t>
        </is>
      </c>
      <c r="N334" s="12" t="inlineStr">
        <is>
          <t>Generated baseline case for Functional</t>
        </is>
      </c>
    </row>
    <row r="335" ht="36" customHeight="1">
      <c r="A335" s="11" t="inlineStr">
        <is>
          <t>FUN-334</t>
        </is>
      </c>
      <c r="B335" s="12" t="inlineStr">
        <is>
          <t>Diet</t>
        </is>
      </c>
      <c r="C335" s="12" t="inlineStr">
        <is>
          <t>Verify reactive state listener callbacks and UI rebuilds for Diet</t>
        </is>
      </c>
      <c r="D335" s="12" t="inlineStr">
        <is>
          <t>Functional - Diet - Verify reactive state listener callbacks and UI rebuilds (#334)</t>
        </is>
      </c>
      <c r="E335" s="12" t="inlineStr">
        <is>
          <t>Ensure Diet module satisfies quality criteria for Functional category.</t>
        </is>
      </c>
      <c r="F335" s="12" t="inlineStr">
        <is>
          <t>Test environment active, NutriFit app launched on local test setup for Diet.</t>
        </is>
      </c>
      <c r="G335" s="12" t="inlineStr">
        <is>
          <t>1. Open NutriFit app on target setup.
2. Navigate to Diet screen.
3. Mutate state property in Provider model, count listener callbacks triggered.
4. Validate assertions.</t>
        </is>
      </c>
      <c r="H335" s="12" t="inlineStr">
        <is>
          <t>Module: Diet, Setup: Local Host, Detail: Provider notify: Variant #334 (Diet)</t>
        </is>
      </c>
      <c r="I335" s="12" t="inlineStr">
        <is>
          <t>Listeners receive notification and rebuild bound UI components once. for module Diet.</t>
        </is>
      </c>
      <c r="J335" s="12" t="inlineStr">
        <is>
          <t>Pending Execution</t>
        </is>
      </c>
      <c r="K335" s="11" t="inlineStr">
        <is>
          <t>Medium</t>
        </is>
      </c>
      <c r="L335" s="11" t="inlineStr">
        <is>
          <t>Major</t>
        </is>
      </c>
      <c r="M335" s="13" t="inlineStr">
        <is>
          <t>Not Executed</t>
        </is>
      </c>
      <c r="N335" s="12" t="inlineStr">
        <is>
          <t>Generated baseline case for Functional</t>
        </is>
      </c>
    </row>
    <row r="336" ht="36" customHeight="1">
      <c r="A336" s="11" t="inlineStr">
        <is>
          <t>FUN-335</t>
        </is>
      </c>
      <c r="B336" s="12" t="inlineStr">
        <is>
          <t>Budget Diet</t>
        </is>
      </c>
      <c r="C336" s="12" t="inlineStr">
        <is>
          <t>Verify authorization guard rules and permission checks for Budget Diet</t>
        </is>
      </c>
      <c r="D336" s="12" t="inlineStr">
        <is>
          <t>Functional - Budget Diet - Verify authorization guard rules and permission checks (#335)</t>
        </is>
      </c>
      <c r="E336" s="12" t="inlineStr">
        <is>
          <t>Ensure Budget Diet module satisfies quality criteria for Functional category.</t>
        </is>
      </c>
      <c r="F336" s="12" t="inlineStr">
        <is>
          <t>Test environment active, NutriFit app launched on local test setup for Budget Diet.</t>
        </is>
      </c>
      <c r="G336" s="12" t="inlineStr">
        <is>
          <t>1. Open NutriFit app on target setup.
2. Navigate to Budget Diet screen.
3. Attempt feature access with restricted user permissions.
4. Validate assertions.</t>
        </is>
      </c>
      <c r="H336" s="12" t="inlineStr">
        <is>
          <t>Module: Budget Diet, Setup: Local Host, Detail: Auth role: Variant #335 (Budget Diet)</t>
        </is>
      </c>
      <c r="I336" s="12" t="inlineStr">
        <is>
          <t>Authorization guard blocks access and redirects to permission error screen. for module Budget Diet.</t>
        </is>
      </c>
      <c r="J336" s="12" t="inlineStr">
        <is>
          <t>Pending Execution</t>
        </is>
      </c>
      <c r="K336" s="11" t="inlineStr">
        <is>
          <t>Low</t>
        </is>
      </c>
      <c r="L336" s="11" t="inlineStr">
        <is>
          <t>Moderate</t>
        </is>
      </c>
      <c r="M336" s="13" t="inlineStr">
        <is>
          <t>Not Executed</t>
        </is>
      </c>
      <c r="N336" s="12" t="inlineStr">
        <is>
          <t>Generated baseline case for Functional</t>
        </is>
      </c>
    </row>
    <row r="337" ht="36" customHeight="1">
      <c r="A337" s="11" t="inlineStr">
        <is>
          <t>FUN-336</t>
        </is>
      </c>
      <c r="B337" s="12" t="inlineStr">
        <is>
          <t>Stretching</t>
        </is>
      </c>
      <c r="C337" s="12" t="inlineStr">
        <is>
          <t>Verify component logic and state mutation functions for Stretching</t>
        </is>
      </c>
      <c r="D337" s="12" t="inlineStr">
        <is>
          <t>Functional - Stretching - Verify component logic and state mutation functions (#336)</t>
        </is>
      </c>
      <c r="E337" s="12" t="inlineStr">
        <is>
          <t>Ensure Stretching module satisfies quality criteria for Functional category.</t>
        </is>
      </c>
      <c r="F337" s="12" t="inlineStr">
        <is>
          <t>Test environment active, NutriFit app launched on local test setup for Stretching.</t>
        </is>
      </c>
      <c r="G337" s="12" t="inlineStr">
        <is>
          <t>1. Open NutriFit app on target setup.
2. Navigate to Stretching screen.
3. Invoke component function with test parameters, observe return values and side effects.
4. Validate assertions.</t>
        </is>
      </c>
      <c r="H337" s="12" t="inlineStr">
        <is>
          <t>Module: Stretching, Setup: Local Host, Detail: Function params: Variant #336 (Stretching)</t>
        </is>
      </c>
      <c r="I337" s="12" t="inlineStr">
        <is>
          <t>Function executes logic accurately and updates internal state correctly. for module Stretching.</t>
        </is>
      </c>
      <c r="J337" s="12" t="inlineStr">
        <is>
          <t>Pending Execution</t>
        </is>
      </c>
      <c r="K337" s="11" t="inlineStr">
        <is>
          <t>High</t>
        </is>
      </c>
      <c r="L337" s="11" t="inlineStr">
        <is>
          <t>Critical</t>
        </is>
      </c>
      <c r="M337" s="13" t="inlineStr">
        <is>
          <t>Not Executed</t>
        </is>
      </c>
      <c r="N337" s="12" t="inlineStr">
        <is>
          <t>Generated baseline case for Functional</t>
        </is>
      </c>
    </row>
    <row r="338" ht="36" customHeight="1">
      <c r="A338" s="11" t="inlineStr">
        <is>
          <t>FUN-337</t>
        </is>
      </c>
      <c r="B338" s="12" t="inlineStr">
        <is>
          <t>Water Tracker</t>
        </is>
      </c>
      <c r="C338" s="12" t="inlineStr">
        <is>
          <t>Verify validation constraints and edge-case handling for Water Tracker</t>
        </is>
      </c>
      <c r="D338" s="12" t="inlineStr">
        <is>
          <t>Functional - Water Tracker - Verify validation constraints and edge-case handling (#337)</t>
        </is>
      </c>
      <c r="E338" s="12" t="inlineStr">
        <is>
          <t>Ensure Water Tracker module satisfies quality criteria for Functional category.</t>
        </is>
      </c>
      <c r="F338" s="12" t="inlineStr">
        <is>
          <t>Test environment active, NutriFit app launched on local test setup for Water Tracker.</t>
        </is>
      </c>
      <c r="G338" s="12" t="inlineStr">
        <is>
          <t>1. Open NutriFit app on target setup.
2. Navigate to Water Tracker screen.
3. Pass boundary, empty, and out-of-bounds inputs to validation handler.
4. Validate assertions.</t>
        </is>
      </c>
      <c r="H338" s="12" t="inlineStr">
        <is>
          <t>Module: Water Tracker, Setup: Local Host, Detail: Edge case input: Variant #337 (Water Tracker)</t>
        </is>
      </c>
      <c r="I338" s="12" t="inlineStr">
        <is>
          <t>Validation rules enforce constraints and return precise error strings. for module Water Tracker.</t>
        </is>
      </c>
      <c r="J338" s="12" t="inlineStr">
        <is>
          <t>Pending Execution</t>
        </is>
      </c>
      <c r="K338" s="11" t="inlineStr">
        <is>
          <t>Medium</t>
        </is>
      </c>
      <c r="L338" s="11" t="inlineStr">
        <is>
          <t>Moderate</t>
        </is>
      </c>
      <c r="M338" s="13" t="inlineStr">
        <is>
          <t>Not Executed</t>
        </is>
      </c>
      <c r="N338" s="12" t="inlineStr">
        <is>
          <t>Generated baseline case for Functional</t>
        </is>
      </c>
    </row>
    <row r="339" ht="36" customHeight="1">
      <c r="A339" s="11" t="inlineStr">
        <is>
          <t>FUN-338</t>
        </is>
      </c>
      <c r="B339" s="12" t="inlineStr">
        <is>
          <t>Sleep Tracker</t>
        </is>
      </c>
      <c r="C339" s="12" t="inlineStr">
        <is>
          <t>Verify asynchronous service calls and Futures resolution for Sleep Tracker</t>
        </is>
      </c>
      <c r="D339" s="12" t="inlineStr">
        <is>
          <t>Functional - Sleep Tracker - Verify asynchronous service calls and Futures resolution (#338)</t>
        </is>
      </c>
      <c r="E339" s="12" t="inlineStr">
        <is>
          <t>Ensure Sleep Tracker module satisfies quality criteria for Functional category.</t>
        </is>
      </c>
      <c r="F339" s="12" t="inlineStr">
        <is>
          <t>Test environment active, NutriFit app launched on local test setup for Sleep Tracker.</t>
        </is>
      </c>
      <c r="G339" s="12" t="inlineStr">
        <is>
          <t>1. Open NutriFit app on target setup.
2. Navigate to Sleep Tracker screen.
3. Execute async service method, await Future completion, parse response model.
4. Validate assertions.</t>
        </is>
      </c>
      <c r="H339" s="12" t="inlineStr">
        <is>
          <t>Module: Sleep Tracker, Setup: Local Host, Detail: Async payload: Variant #338 (Sleep Tracker)</t>
        </is>
      </c>
      <c r="I339" s="12" t="inlineStr">
        <is>
          <t>Service parses JSON response cleanly into domain model instance. for module Sleep Tracker.</t>
        </is>
      </c>
      <c r="J339" s="12" t="inlineStr">
        <is>
          <t>Pending Execution</t>
        </is>
      </c>
      <c r="K339" s="11" t="inlineStr">
        <is>
          <t>Medium</t>
        </is>
      </c>
      <c r="L339" s="11" t="inlineStr">
        <is>
          <t>Major</t>
        </is>
      </c>
      <c r="M339" s="13" t="inlineStr">
        <is>
          <t>Not Executed</t>
        </is>
      </c>
      <c r="N339" s="12" t="inlineStr">
        <is>
          <t>Generated baseline case for Functional</t>
        </is>
      </c>
    </row>
    <row r="340" ht="36" customHeight="1">
      <c r="A340" s="11" t="inlineStr">
        <is>
          <t>FUN-339</t>
        </is>
      </c>
      <c r="B340" s="12" t="inlineStr">
        <is>
          <t>Step Tracker</t>
        </is>
      </c>
      <c r="C340" s="12" t="inlineStr">
        <is>
          <t>Verify reactive state listener callbacks and UI rebuilds for Step Tracker</t>
        </is>
      </c>
      <c r="D340" s="12" t="inlineStr">
        <is>
          <t>Functional - Step Tracker - Verify reactive state listener callbacks and UI rebuilds (#339)</t>
        </is>
      </c>
      <c r="E340" s="12" t="inlineStr">
        <is>
          <t>Ensure Step Tracker module satisfies quality criteria for Functional category.</t>
        </is>
      </c>
      <c r="F340" s="12" t="inlineStr">
        <is>
          <t>Test environment active, NutriFit app launched on local test setup for Step Tracker.</t>
        </is>
      </c>
      <c r="G340" s="12" t="inlineStr">
        <is>
          <t>1. Open NutriFit app on target setup.
2. Navigate to Step Tracker screen.
3. Mutate state property in Provider model, count listener callbacks triggered.
4. Validate assertions.</t>
        </is>
      </c>
      <c r="H340" s="12" t="inlineStr">
        <is>
          <t>Module: Step Tracker, Setup: Local Host, Detail: Provider notify: Variant #339 (Step Tracker)</t>
        </is>
      </c>
      <c r="I340" s="12" t="inlineStr">
        <is>
          <t>Listeners receive notification and rebuild bound UI components once. for module Step Tracker.</t>
        </is>
      </c>
      <c r="J340" s="12" t="inlineStr">
        <is>
          <t>Pending Execution</t>
        </is>
      </c>
      <c r="K340" s="11" t="inlineStr">
        <is>
          <t>High</t>
        </is>
      </c>
      <c r="L340" s="11" t="inlineStr">
        <is>
          <t>Moderate</t>
        </is>
      </c>
      <c r="M340" s="13" t="inlineStr">
        <is>
          <t>Not Executed</t>
        </is>
      </c>
      <c r="N340" s="12" t="inlineStr">
        <is>
          <t>Generated baseline case for Functional</t>
        </is>
      </c>
    </row>
    <row r="341" ht="36" customHeight="1">
      <c r="A341" s="11" t="inlineStr">
        <is>
          <t>FUN-340</t>
        </is>
      </c>
      <c r="B341" s="12" t="inlineStr">
        <is>
          <t>AI Trainer</t>
        </is>
      </c>
      <c r="C341" s="12" t="inlineStr">
        <is>
          <t>Verify authorization guard rules and permission checks for AI Trainer</t>
        </is>
      </c>
      <c r="D341" s="12" t="inlineStr">
        <is>
          <t>Functional - AI Trainer - Verify authorization guard rules and permission checks (#340)</t>
        </is>
      </c>
      <c r="E341" s="12" t="inlineStr">
        <is>
          <t>Ensure AI Trainer module satisfies quality criteria for Functional category.</t>
        </is>
      </c>
      <c r="F341" s="12" t="inlineStr">
        <is>
          <t>Test environment active, NutriFit app launched on local test setup for AI Trainer.</t>
        </is>
      </c>
      <c r="G341" s="12" t="inlineStr">
        <is>
          <t>1. Open NutriFit app on target setup.
2. Navigate to AI Trainer screen.
3. Attempt feature access with restricted user permissions.
4. Validate assertions.</t>
        </is>
      </c>
      <c r="H341" s="12" t="inlineStr">
        <is>
          <t>Module: AI Trainer, Setup: Local Host, Detail: Auth role: Variant #340 (AI Trainer)</t>
        </is>
      </c>
      <c r="I341" s="12" t="inlineStr">
        <is>
          <t>Authorization guard blocks access and redirects to permission error screen. for module AI Trainer.</t>
        </is>
      </c>
      <c r="J341" s="12" t="inlineStr">
        <is>
          <t>Pending Execution</t>
        </is>
      </c>
      <c r="K341" s="11" t="inlineStr">
        <is>
          <t>Low</t>
        </is>
      </c>
      <c r="L341" s="11" t="inlineStr">
        <is>
          <t>Major</t>
        </is>
      </c>
      <c r="M341" s="13" t="inlineStr">
        <is>
          <t>Not Executed</t>
        </is>
      </c>
      <c r="N341" s="12" t="inlineStr">
        <is>
          <t>Generated baseline case for Functional</t>
        </is>
      </c>
    </row>
    <row r="342" ht="36" customHeight="1">
      <c r="A342" s="11" t="inlineStr">
        <is>
          <t>FUN-341</t>
        </is>
      </c>
      <c r="B342" s="12" t="inlineStr">
        <is>
          <t>Shop</t>
        </is>
      </c>
      <c r="C342" s="12" t="inlineStr">
        <is>
          <t>Verify component logic and state mutation functions for Shop</t>
        </is>
      </c>
      <c r="D342" s="12" t="inlineStr">
        <is>
          <t>Functional - Shop - Verify component logic and state mutation functions (#341)</t>
        </is>
      </c>
      <c r="E342" s="12" t="inlineStr">
        <is>
          <t>Ensure Shop module satisfies quality criteria for Functional category.</t>
        </is>
      </c>
      <c r="F342" s="12" t="inlineStr">
        <is>
          <t>Test environment active, NutriFit app launched on local test setup for Shop.</t>
        </is>
      </c>
      <c r="G342" s="12" t="inlineStr">
        <is>
          <t>1. Open NutriFit app on target setup.
2. Navigate to Shop screen.
3. Invoke component function with test parameters, observe return values and side effects.
4. Validate assertions.</t>
        </is>
      </c>
      <c r="H342" s="12" t="inlineStr">
        <is>
          <t>Module: Shop, Setup: Local Host, Detail: Function params: Variant #341 (Shop)</t>
        </is>
      </c>
      <c r="I342" s="12" t="inlineStr">
        <is>
          <t>Function executes logic accurately and updates internal state correctly. for module Shop.</t>
        </is>
      </c>
      <c r="J342" s="12" t="inlineStr">
        <is>
          <t>Pending Execution</t>
        </is>
      </c>
      <c r="K342" s="11" t="inlineStr">
        <is>
          <t>Medium</t>
        </is>
      </c>
      <c r="L342" s="11" t="inlineStr">
        <is>
          <t>Moderate</t>
        </is>
      </c>
      <c r="M342" s="13" t="inlineStr">
        <is>
          <t>Not Executed</t>
        </is>
      </c>
      <c r="N342" s="12" t="inlineStr">
        <is>
          <t>Generated baseline case for Functional</t>
        </is>
      </c>
    </row>
    <row r="343" ht="36" customHeight="1">
      <c r="A343" s="11" t="inlineStr">
        <is>
          <t>FUN-342</t>
        </is>
      </c>
      <c r="B343" s="12" t="inlineStr">
        <is>
          <t>Cart</t>
        </is>
      </c>
      <c r="C343" s="12" t="inlineStr">
        <is>
          <t>Verify validation constraints and edge-case handling for Cart</t>
        </is>
      </c>
      <c r="D343" s="12" t="inlineStr">
        <is>
          <t>Functional - Cart - Verify validation constraints and edge-case handling (#342)</t>
        </is>
      </c>
      <c r="E343" s="12" t="inlineStr">
        <is>
          <t>Ensure Cart module satisfies quality criteria for Functional category.</t>
        </is>
      </c>
      <c r="F343" s="12" t="inlineStr">
        <is>
          <t>Test environment active, NutriFit app launched on local test setup for Cart.</t>
        </is>
      </c>
      <c r="G343" s="12" t="inlineStr">
        <is>
          <t>1. Open NutriFit app on target setup.
2. Navigate to Cart screen.
3. Pass boundary, empty, and out-of-bounds inputs to validation handler.
4. Validate assertions.</t>
        </is>
      </c>
      <c r="H343" s="12" t="inlineStr">
        <is>
          <t>Module: Cart, Setup: Local Host, Detail: Edge case input: Variant #342 (Cart)</t>
        </is>
      </c>
      <c r="I343" s="12" t="inlineStr">
        <is>
          <t>Validation rules enforce constraints and return precise error strings. for module Cart.</t>
        </is>
      </c>
      <c r="J343" s="12" t="inlineStr">
        <is>
          <t>Pending Execution</t>
        </is>
      </c>
      <c r="K343" s="11" t="inlineStr">
        <is>
          <t>High</t>
        </is>
      </c>
      <c r="L343" s="11" t="inlineStr">
        <is>
          <t>Major</t>
        </is>
      </c>
      <c r="M343" s="13" t="inlineStr">
        <is>
          <t>Not Executed</t>
        </is>
      </c>
      <c r="N343" s="12" t="inlineStr">
        <is>
          <t>Generated baseline case for Functional</t>
        </is>
      </c>
    </row>
    <row r="344" ht="36" customHeight="1">
      <c r="A344" s="11" t="inlineStr">
        <is>
          <t>FUN-343</t>
        </is>
      </c>
      <c r="B344" s="12" t="inlineStr">
        <is>
          <t>Checkout</t>
        </is>
      </c>
      <c r="C344" s="12" t="inlineStr">
        <is>
          <t>Verify asynchronous service calls and Futures resolution for Checkout</t>
        </is>
      </c>
      <c r="D344" s="12" t="inlineStr">
        <is>
          <t>Functional - Checkout - Verify asynchronous service calls and Futures resolution (#343)</t>
        </is>
      </c>
      <c r="E344" s="12" t="inlineStr">
        <is>
          <t>Ensure Checkout module satisfies quality criteria for Functional category.</t>
        </is>
      </c>
      <c r="F344" s="12" t="inlineStr">
        <is>
          <t>Test environment active, NutriFit app launched on local test setup for Checkout.</t>
        </is>
      </c>
      <c r="G344" s="12" t="inlineStr">
        <is>
          <t>1. Open NutriFit app on target setup.
2. Navigate to Checkout screen.
3. Execute async service method, await Future completion, parse response model.
4. Validate assertions.</t>
        </is>
      </c>
      <c r="H344" s="12" t="inlineStr">
        <is>
          <t>Module: Checkout, Setup: Local Host, Detail: Async payload: Variant #343 (Checkout)</t>
        </is>
      </c>
      <c r="I344" s="12" t="inlineStr">
        <is>
          <t>Service parses JSON response cleanly into domain model instance. for module Checkout.</t>
        </is>
      </c>
      <c r="J344" s="12" t="inlineStr">
        <is>
          <t>Pending Execution</t>
        </is>
      </c>
      <c r="K344" s="11" t="inlineStr">
        <is>
          <t>Medium</t>
        </is>
      </c>
      <c r="L344" s="11" t="inlineStr">
        <is>
          <t>Critical</t>
        </is>
      </c>
      <c r="M344" s="13" t="inlineStr">
        <is>
          <t>Not Executed</t>
        </is>
      </c>
      <c r="N344" s="12" t="inlineStr">
        <is>
          <t>Generated baseline case for Functional</t>
        </is>
      </c>
    </row>
    <row r="345" ht="36" customHeight="1">
      <c r="A345" s="11" t="inlineStr">
        <is>
          <t>FUN-344</t>
        </is>
      </c>
      <c r="B345" s="12" t="inlineStr">
        <is>
          <t>Address</t>
        </is>
      </c>
      <c r="C345" s="12" t="inlineStr">
        <is>
          <t>Verify reactive state listener callbacks and UI rebuilds for Address</t>
        </is>
      </c>
      <c r="D345" s="12" t="inlineStr">
        <is>
          <t>Functional - Address - Verify reactive state listener callbacks and UI rebuilds (#344)</t>
        </is>
      </c>
      <c r="E345" s="12" t="inlineStr">
        <is>
          <t>Ensure Address module satisfies quality criteria for Functional category.</t>
        </is>
      </c>
      <c r="F345" s="12" t="inlineStr">
        <is>
          <t>Test environment active, NutriFit app launched on local test setup for Address.</t>
        </is>
      </c>
      <c r="G345" s="12" t="inlineStr">
        <is>
          <t>1. Open NutriFit app on target setup.
2. Navigate to Address screen.
3. Mutate state property in Provider model, count listener callbacks triggered.
4. Validate assertions.</t>
        </is>
      </c>
      <c r="H345" s="12" t="inlineStr">
        <is>
          <t>Module: Address, Setup: Local Host, Detail: Provider notify: Variant #344 (Address)</t>
        </is>
      </c>
      <c r="I345" s="12" t="inlineStr">
        <is>
          <t>Listeners receive notification and rebuild bound UI components once. for module Address.</t>
        </is>
      </c>
      <c r="J345" s="12" t="inlineStr">
        <is>
          <t>Pending Execution</t>
        </is>
      </c>
      <c r="K345" s="11" t="inlineStr">
        <is>
          <t>Medium</t>
        </is>
      </c>
      <c r="L345" s="11" t="inlineStr">
        <is>
          <t>Major</t>
        </is>
      </c>
      <c r="M345" s="13" t="inlineStr">
        <is>
          <t>Not Executed</t>
        </is>
      </c>
      <c r="N345" s="12" t="inlineStr">
        <is>
          <t>Generated baseline case for Functional</t>
        </is>
      </c>
    </row>
    <row r="346" ht="36" customHeight="1">
      <c r="A346" s="11" t="inlineStr">
        <is>
          <t>FUN-345</t>
        </is>
      </c>
      <c r="B346" s="12" t="inlineStr">
        <is>
          <t>Orders</t>
        </is>
      </c>
      <c r="C346" s="12" t="inlineStr">
        <is>
          <t>Verify authorization guard rules and permission checks for Orders</t>
        </is>
      </c>
      <c r="D346" s="12" t="inlineStr">
        <is>
          <t>Functional - Orders - Verify authorization guard rules and permission checks (#345)</t>
        </is>
      </c>
      <c r="E346" s="12" t="inlineStr">
        <is>
          <t>Ensure Orders module satisfies quality criteria for Functional category.</t>
        </is>
      </c>
      <c r="F346" s="12" t="inlineStr">
        <is>
          <t>Test environment active, NutriFit app launched on local test setup for Orders.</t>
        </is>
      </c>
      <c r="G346" s="12" t="inlineStr">
        <is>
          <t>1. Open NutriFit app on target setup.
2. Navigate to Orders screen.
3. Attempt feature access with restricted user permissions.
4. Validate assertions.</t>
        </is>
      </c>
      <c r="H346" s="12" t="inlineStr">
        <is>
          <t>Module: Orders, Setup: Local Host, Detail: Auth role: Variant #345 (Orders)</t>
        </is>
      </c>
      <c r="I346" s="12" t="inlineStr">
        <is>
          <t>Authorization guard blocks access and redirects to permission error screen. for module Orders.</t>
        </is>
      </c>
      <c r="J346" s="12" t="inlineStr">
        <is>
          <t>Pending Execution</t>
        </is>
      </c>
      <c r="K346" s="11" t="inlineStr">
        <is>
          <t>High</t>
        </is>
      </c>
      <c r="L346" s="11" t="inlineStr">
        <is>
          <t>Moderate</t>
        </is>
      </c>
      <c r="M346" s="13" t="inlineStr">
        <is>
          <t>Not Executed</t>
        </is>
      </c>
      <c r="N346" s="12" t="inlineStr">
        <is>
          <t>Generated baseline case for Functional</t>
        </is>
      </c>
    </row>
    <row r="347" ht="36" customHeight="1">
      <c r="A347" s="11" t="inlineStr">
        <is>
          <t>FUN-346</t>
        </is>
      </c>
      <c r="B347" s="12" t="inlineStr">
        <is>
          <t>Profile</t>
        </is>
      </c>
      <c r="C347" s="12" t="inlineStr">
        <is>
          <t>Verify component logic and state mutation functions for Profile</t>
        </is>
      </c>
      <c r="D347" s="12" t="inlineStr">
        <is>
          <t>Functional - Profile - Verify component logic and state mutation functions (#346)</t>
        </is>
      </c>
      <c r="E347" s="12" t="inlineStr">
        <is>
          <t>Ensure Profile module satisfies quality criteria for Functional category.</t>
        </is>
      </c>
      <c r="F347" s="12" t="inlineStr">
        <is>
          <t>Test environment active, NutriFit app launched on local test setup for Profile.</t>
        </is>
      </c>
      <c r="G347" s="12" t="inlineStr">
        <is>
          <t>1. Open NutriFit app on target setup.
2. Navigate to Profile screen.
3. Invoke component function with test parameters, observe return values and side effects.
4. Validate assertions.</t>
        </is>
      </c>
      <c r="H347" s="12" t="inlineStr">
        <is>
          <t>Module: Profile, Setup: Local Host, Detail: Function params: Variant #346 (Profile)</t>
        </is>
      </c>
      <c r="I347" s="12" t="inlineStr">
        <is>
          <t>Function executes logic accurately and updates internal state correctly. for module Profile.</t>
        </is>
      </c>
      <c r="J347" s="12" t="inlineStr">
        <is>
          <t>Pending Execution</t>
        </is>
      </c>
      <c r="K347" s="11" t="inlineStr">
        <is>
          <t>Medium</t>
        </is>
      </c>
      <c r="L347" s="11" t="inlineStr">
        <is>
          <t>Major</t>
        </is>
      </c>
      <c r="M347" s="13" t="inlineStr">
        <is>
          <t>Not Executed</t>
        </is>
      </c>
      <c r="N347" s="12" t="inlineStr">
        <is>
          <t>Generated baseline case for Functional</t>
        </is>
      </c>
    </row>
    <row r="348" ht="36" customHeight="1">
      <c r="A348" s="11" t="inlineStr">
        <is>
          <t>FUN-347</t>
        </is>
      </c>
      <c r="B348" s="12" t="inlineStr">
        <is>
          <t>Notifications</t>
        </is>
      </c>
      <c r="C348" s="12" t="inlineStr">
        <is>
          <t>Verify validation constraints and edge-case handling for Notifications</t>
        </is>
      </c>
      <c r="D348" s="12" t="inlineStr">
        <is>
          <t>Functional - Notifications - Verify validation constraints and edge-case handling (#347)</t>
        </is>
      </c>
      <c r="E348" s="12" t="inlineStr">
        <is>
          <t>Ensure Notifications module satisfies quality criteria for Functional category.</t>
        </is>
      </c>
      <c r="F348" s="12" t="inlineStr">
        <is>
          <t>Test environment active, NutriFit app launched on local test setup for Notifications.</t>
        </is>
      </c>
      <c r="G348" s="12" t="inlineStr">
        <is>
          <t>1. Open NutriFit app on target setup.
2. Navigate to Notifications screen.
3. Pass boundary, empty, and out-of-bounds inputs to validation handler.
4. Validate assertions.</t>
        </is>
      </c>
      <c r="H348" s="12" t="inlineStr">
        <is>
          <t>Module: Notifications, Setup: Local Host, Detail: Edge case input: Variant #347 (Notifications)</t>
        </is>
      </c>
      <c r="I348" s="12" t="inlineStr">
        <is>
          <t>Validation rules enforce constraints and return precise error strings. for module Notifications.</t>
        </is>
      </c>
      <c r="J348" s="12" t="inlineStr">
        <is>
          <t>Pending Execution</t>
        </is>
      </c>
      <c r="K348" s="11" t="inlineStr">
        <is>
          <t>Medium</t>
        </is>
      </c>
      <c r="L348" s="11" t="inlineStr">
        <is>
          <t>Moderate</t>
        </is>
      </c>
      <c r="M348" s="13" t="inlineStr">
        <is>
          <t>Not Executed</t>
        </is>
      </c>
      <c r="N348" s="12" t="inlineStr">
        <is>
          <t>Generated baseline case for Functional</t>
        </is>
      </c>
    </row>
    <row r="349" ht="36" customHeight="1">
      <c r="A349" s="11" t="inlineStr">
        <is>
          <t>FUN-348</t>
        </is>
      </c>
      <c r="B349" s="12" t="inlineStr">
        <is>
          <t>Settings</t>
        </is>
      </c>
      <c r="C349" s="12" t="inlineStr">
        <is>
          <t>Verify asynchronous service calls and Futures resolution for Settings</t>
        </is>
      </c>
      <c r="D349" s="12" t="inlineStr">
        <is>
          <t>Functional - Settings - Verify asynchronous service calls and Futures resolution (#348)</t>
        </is>
      </c>
      <c r="E349" s="12" t="inlineStr">
        <is>
          <t>Ensure Settings module satisfies quality criteria for Functional category.</t>
        </is>
      </c>
      <c r="F349" s="12" t="inlineStr">
        <is>
          <t>Test environment active, NutriFit app launched on local test setup for Settings.</t>
        </is>
      </c>
      <c r="G349" s="12" t="inlineStr">
        <is>
          <t>1. Open NutriFit app on target setup.
2. Navigate to Settings screen.
3. Execute async service method, await Future completion, parse response model.
4. Validate assertions.</t>
        </is>
      </c>
      <c r="H349" s="12" t="inlineStr">
        <is>
          <t>Module: Settings, Setup: Local Host, Detail: Async payload: Variant #348 (Settings)</t>
        </is>
      </c>
      <c r="I349" s="12" t="inlineStr">
        <is>
          <t>Service parses JSON response cleanly into domain model instance. for module Settings.</t>
        </is>
      </c>
      <c r="J349" s="12" t="inlineStr">
        <is>
          <t>Pending Execution</t>
        </is>
      </c>
      <c r="K349" s="11" t="inlineStr">
        <is>
          <t>High</t>
        </is>
      </c>
      <c r="L349" s="11" t="inlineStr">
        <is>
          <t>Major</t>
        </is>
      </c>
      <c r="M349" s="13" t="inlineStr">
        <is>
          <t>Not Executed</t>
        </is>
      </c>
      <c r="N349" s="12" t="inlineStr">
        <is>
          <t>Generated baseline case for Functional</t>
        </is>
      </c>
    </row>
    <row r="350" ht="36" customHeight="1">
      <c r="A350" s="11" t="inlineStr">
        <is>
          <t>FUN-349</t>
        </is>
      </c>
      <c r="B350" s="12" t="inlineStr">
        <is>
          <t>Localization</t>
        </is>
      </c>
      <c r="C350" s="12" t="inlineStr">
        <is>
          <t>Verify reactive state listener callbacks and UI rebuilds for Localization</t>
        </is>
      </c>
      <c r="D350" s="12" t="inlineStr">
        <is>
          <t>Functional - Localization - Verify reactive state listener callbacks and UI rebuilds (#349)</t>
        </is>
      </c>
      <c r="E350" s="12" t="inlineStr">
        <is>
          <t>Ensure Localization module satisfies quality criteria for Functional category.</t>
        </is>
      </c>
      <c r="F350" s="12" t="inlineStr">
        <is>
          <t>Test environment active, NutriFit app launched on local test setup for Localization.</t>
        </is>
      </c>
      <c r="G350" s="12" t="inlineStr">
        <is>
          <t>1. Open NutriFit app on target setup.
2. Navigate to Localization screen.
3. Mutate state property in Provider model, count listener callbacks triggered.
4. Validate assertions.</t>
        </is>
      </c>
      <c r="H350" s="12" t="inlineStr">
        <is>
          <t>Module: Localization, Setup: Local Host, Detail: Provider notify: Variant #349 (Localization)</t>
        </is>
      </c>
      <c r="I350" s="12" t="inlineStr">
        <is>
          <t>Listeners receive notification and rebuild bound UI components once. for module Localization.</t>
        </is>
      </c>
      <c r="J350" s="12" t="inlineStr">
        <is>
          <t>Pending Execution</t>
        </is>
      </c>
      <c r="K350" s="11" t="inlineStr">
        <is>
          <t>Medium</t>
        </is>
      </c>
      <c r="L350" s="11" t="inlineStr">
        <is>
          <t>Moderate</t>
        </is>
      </c>
      <c r="M350" s="13" t="inlineStr">
        <is>
          <t>Not Executed</t>
        </is>
      </c>
      <c r="N350" s="12" t="inlineStr">
        <is>
          <t>Generated baseline case for Functional</t>
        </is>
      </c>
    </row>
    <row r="351" ht="36" customHeight="1">
      <c r="A351" s="11" t="inlineStr">
        <is>
          <t>FUN-350</t>
        </is>
      </c>
      <c r="B351" s="12" t="inlineStr">
        <is>
          <t>Supabase Integration</t>
        </is>
      </c>
      <c r="C351" s="12" t="inlineStr">
        <is>
          <t>Verify authorization guard rules and permission checks for Supabase Integration</t>
        </is>
      </c>
      <c r="D351" s="12" t="inlineStr">
        <is>
          <t>Functional - Supabase Integration - Verify authorization guard rules and permission checks (#350)</t>
        </is>
      </c>
      <c r="E351" s="12" t="inlineStr">
        <is>
          <t>Ensure Supabase Integration module satisfies quality criteria for Functional category.</t>
        </is>
      </c>
      <c r="F351" s="12" t="inlineStr">
        <is>
          <t>Test environment active, NutriFit app launched on local test setup for Supabase Integration.</t>
        </is>
      </c>
      <c r="G351" s="12" t="inlineStr">
        <is>
          <t>1. Open NutriFit app on target setup.
2. Navigate to Supabase Integration screen.
3. Attempt feature access with restricted user permissions.
4. Validate assertions.</t>
        </is>
      </c>
      <c r="H351" s="12" t="inlineStr">
        <is>
          <t>Module: Supabase Integration, Setup: Local Host, Detail: Auth role: Variant #350 (Supabase Integration)</t>
        </is>
      </c>
      <c r="I351" s="12" t="inlineStr">
        <is>
          <t>Authorization guard blocks access and redirects to permission error screen. for module Supabase Integration.</t>
        </is>
      </c>
      <c r="J351" s="12" t="inlineStr">
        <is>
          <t>Pending Execution</t>
        </is>
      </c>
      <c r="K351" s="11" t="inlineStr">
        <is>
          <t>Low</t>
        </is>
      </c>
      <c r="L351" s="11" t="inlineStr">
        <is>
          <t>Critical</t>
        </is>
      </c>
      <c r="M351" s="13" t="inlineStr">
        <is>
          <t>Not Executed</t>
        </is>
      </c>
      <c r="N351" s="12" t="inlineStr">
        <is>
          <t>Generated baseline case for Functional</t>
        </is>
      </c>
    </row>
  </sheetData>
  <autoFilter ref="A1:N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File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FUN-001</t>
        </is>
      </c>
      <c r="B2" s="12" t="inlineStr">
        <is>
          <t>Authentication</t>
        </is>
      </c>
      <c r="C2" s="12" t="inlineStr">
        <is>
          <t>Verify component logic and state mutation functions for Authentication</t>
        </is>
      </c>
      <c r="D2" s="12" t="inlineStr">
        <is>
          <t>Not Executed</t>
        </is>
      </c>
      <c r="E2" s="12" t="inlineStr">
        <is>
          <t>testing-reports/evidence/fun-001_log.png</t>
        </is>
      </c>
      <c r="F2" s="12" t="inlineStr">
        <is>
          <t>2026-07-21 23:45:00 UTC</t>
        </is>
      </c>
      <c r="G2" s="12" t="inlineStr">
        <is>
          <t>Baseline artifact placeholder initialized</t>
        </is>
      </c>
    </row>
    <row r="3">
      <c r="A3" s="12" t="inlineStr">
        <is>
          <t>FUN-002</t>
        </is>
      </c>
      <c r="B3" s="12" t="inlineStr">
        <is>
          <t>Dashboard</t>
        </is>
      </c>
      <c r="C3" s="12" t="inlineStr">
        <is>
          <t>Verify validation constraints and edge-case handling for Dashboard</t>
        </is>
      </c>
      <c r="D3" s="12" t="inlineStr">
        <is>
          <t>Not Executed</t>
        </is>
      </c>
      <c r="E3" s="12" t="inlineStr">
        <is>
          <t>testing-reports/evidence/fun-002_log.png</t>
        </is>
      </c>
      <c r="F3" s="12" t="inlineStr">
        <is>
          <t>2026-07-21 23:45:00 UTC</t>
        </is>
      </c>
      <c r="G3" s="12" t="inlineStr">
        <is>
          <t>Baseline artifact placeholder initialized</t>
        </is>
      </c>
    </row>
    <row r="4">
      <c r="A4" s="12" t="inlineStr">
        <is>
          <t>FUN-003</t>
        </is>
      </c>
      <c r="B4" s="12" t="inlineStr">
        <is>
          <t>Workout</t>
        </is>
      </c>
      <c r="C4" s="12" t="inlineStr">
        <is>
          <t>Verify asynchronous service calls and Futures resolution for Workout</t>
        </is>
      </c>
      <c r="D4" s="12" t="inlineStr">
        <is>
          <t>Not Executed</t>
        </is>
      </c>
      <c r="E4" s="12" t="inlineStr">
        <is>
          <t>testing-reports/evidence/fun-003_log.png</t>
        </is>
      </c>
      <c r="F4" s="12" t="inlineStr">
        <is>
          <t>2026-07-21 23:45:00 UTC</t>
        </is>
      </c>
      <c r="G4" s="12" t="inlineStr">
        <is>
          <t>Baseline artifact placeholder initialized</t>
        </is>
      </c>
    </row>
    <row r="5">
      <c r="A5" s="12" t="inlineStr">
        <is>
          <t>FUN-004</t>
        </is>
      </c>
      <c r="B5" s="12" t="inlineStr">
        <is>
          <t>Diet</t>
        </is>
      </c>
      <c r="C5" s="12" t="inlineStr">
        <is>
          <t>Verify reactive state listener callbacks and UI rebuilds for Diet</t>
        </is>
      </c>
      <c r="D5" s="12" t="inlineStr">
        <is>
          <t>Not Executed</t>
        </is>
      </c>
      <c r="E5" s="12" t="inlineStr">
        <is>
          <t>testing-reports/evidence/fun-004_log.png</t>
        </is>
      </c>
      <c r="F5" s="12" t="inlineStr">
        <is>
          <t>2026-07-21 23:45:00 UTC</t>
        </is>
      </c>
      <c r="G5" s="12" t="inlineStr">
        <is>
          <t>Baseline artifact placeholder initialized</t>
        </is>
      </c>
    </row>
    <row r="6">
      <c r="A6" s="12" t="inlineStr">
        <is>
          <t>FUN-005</t>
        </is>
      </c>
      <c r="B6" s="12" t="inlineStr">
        <is>
          <t>Budget Diet</t>
        </is>
      </c>
      <c r="C6" s="12" t="inlineStr">
        <is>
          <t>Verify authorization guard rules and permission checks for Budget Diet</t>
        </is>
      </c>
      <c r="D6" s="12" t="inlineStr">
        <is>
          <t>Not Executed</t>
        </is>
      </c>
      <c r="E6" s="12" t="inlineStr">
        <is>
          <t>testing-reports/evidence/fun-005_log.png</t>
        </is>
      </c>
      <c r="F6" s="12" t="inlineStr">
        <is>
          <t>2026-07-21 23:45:00 UTC</t>
        </is>
      </c>
      <c r="G6" s="12" t="inlineStr">
        <is>
          <t>Baseline artifact placeholder initialized</t>
        </is>
      </c>
    </row>
    <row r="7">
      <c r="A7" s="12" t="inlineStr">
        <is>
          <t>FUN-006</t>
        </is>
      </c>
      <c r="B7" s="12" t="inlineStr">
        <is>
          <t>Stretching</t>
        </is>
      </c>
      <c r="C7" s="12" t="inlineStr">
        <is>
          <t>Verify component logic and state mutation functions for Stretching</t>
        </is>
      </c>
      <c r="D7" s="12" t="inlineStr">
        <is>
          <t>Not Executed</t>
        </is>
      </c>
      <c r="E7" s="12" t="inlineStr">
        <is>
          <t>testing-reports/evidence/fun-006_log.png</t>
        </is>
      </c>
      <c r="F7" s="12" t="inlineStr">
        <is>
          <t>2026-07-21 23:45:00 UTC</t>
        </is>
      </c>
      <c r="G7" s="12" t="inlineStr">
        <is>
          <t>Baseline artifact placeholder initialized</t>
        </is>
      </c>
    </row>
    <row r="8">
      <c r="A8" s="12" t="inlineStr">
        <is>
          <t>FUN-007</t>
        </is>
      </c>
      <c r="B8" s="12" t="inlineStr">
        <is>
          <t>Water Tracker</t>
        </is>
      </c>
      <c r="C8" s="12" t="inlineStr">
        <is>
          <t>Verify validation constraints and edge-case handling for Water Tracker</t>
        </is>
      </c>
      <c r="D8" s="12" t="inlineStr">
        <is>
          <t>Not Executed</t>
        </is>
      </c>
      <c r="E8" s="12" t="inlineStr">
        <is>
          <t>testing-reports/evidence/fun-007_log.png</t>
        </is>
      </c>
      <c r="F8" s="12" t="inlineStr">
        <is>
          <t>2026-07-21 23:45:00 UTC</t>
        </is>
      </c>
      <c r="G8" s="12" t="inlineStr">
        <is>
          <t>Baseline artifact placeholder initialized</t>
        </is>
      </c>
    </row>
    <row r="9">
      <c r="A9" s="12" t="inlineStr">
        <is>
          <t>FUN-008</t>
        </is>
      </c>
      <c r="B9" s="12" t="inlineStr">
        <is>
          <t>Sleep Tracker</t>
        </is>
      </c>
      <c r="C9" s="12" t="inlineStr">
        <is>
          <t>Verify asynchronous service calls and Futures resolution for Sleep Tracker</t>
        </is>
      </c>
      <c r="D9" s="12" t="inlineStr">
        <is>
          <t>Not Executed</t>
        </is>
      </c>
      <c r="E9" s="12" t="inlineStr">
        <is>
          <t>testing-reports/evidence/fun-008_log.png</t>
        </is>
      </c>
      <c r="F9" s="12" t="inlineStr">
        <is>
          <t>2026-07-21 23:45:00 UTC</t>
        </is>
      </c>
      <c r="G9" s="12" t="inlineStr">
        <is>
          <t>Baseline artifact placeholder initialized</t>
        </is>
      </c>
    </row>
    <row r="10">
      <c r="A10" s="12" t="inlineStr">
        <is>
          <t>FUN-009</t>
        </is>
      </c>
      <c r="B10" s="12" t="inlineStr">
        <is>
          <t>Step Tracker</t>
        </is>
      </c>
      <c r="C10" s="12" t="inlineStr">
        <is>
          <t>Verify reactive state listener callbacks and UI rebuilds for Step Tracker</t>
        </is>
      </c>
      <c r="D10" s="12" t="inlineStr">
        <is>
          <t>Not Executed</t>
        </is>
      </c>
      <c r="E10" s="12" t="inlineStr">
        <is>
          <t>testing-reports/evidence/fun-009_log.png</t>
        </is>
      </c>
      <c r="F10" s="12" t="inlineStr">
        <is>
          <t>2026-07-21 23:45:00 UTC</t>
        </is>
      </c>
      <c r="G10" s="12" t="inlineStr">
        <is>
          <t>Baseline artifact placeholder initialized</t>
        </is>
      </c>
    </row>
    <row r="11">
      <c r="A11" s="12" t="inlineStr">
        <is>
          <t>FUN-010</t>
        </is>
      </c>
      <c r="B11" s="12" t="inlineStr">
        <is>
          <t>AI Trainer</t>
        </is>
      </c>
      <c r="C11" s="12" t="inlineStr">
        <is>
          <t>Verify authorization guard rules and permission checks for AI Trainer</t>
        </is>
      </c>
      <c r="D11" s="12" t="inlineStr">
        <is>
          <t>Not Executed</t>
        </is>
      </c>
      <c r="E11" s="12" t="inlineStr">
        <is>
          <t>testing-reports/evidence/fun-010_log.png</t>
        </is>
      </c>
      <c r="F11" s="12" t="inlineStr">
        <is>
          <t>2026-07-21 23:45:00 UTC</t>
        </is>
      </c>
      <c r="G11" s="12" t="inlineStr">
        <is>
          <t>Baseline artifact placeholder initialized</t>
        </is>
      </c>
    </row>
    <row r="12">
      <c r="A12" s="12" t="inlineStr">
        <is>
          <t>FUN-011</t>
        </is>
      </c>
      <c r="B12" s="12" t="inlineStr">
        <is>
          <t>Shop</t>
        </is>
      </c>
      <c r="C12" s="12" t="inlineStr">
        <is>
          <t>Verify component logic and state mutation functions for Shop</t>
        </is>
      </c>
      <c r="D12" s="12" t="inlineStr">
        <is>
          <t>Not Executed</t>
        </is>
      </c>
      <c r="E12" s="12" t="inlineStr">
        <is>
          <t>testing-reports/evidence/fun-011_log.png</t>
        </is>
      </c>
      <c r="F12" s="12" t="inlineStr">
        <is>
          <t>2026-07-21 23:45:00 UTC</t>
        </is>
      </c>
      <c r="G12" s="12" t="inlineStr">
        <is>
          <t>Baseline artifact placeholder initialized</t>
        </is>
      </c>
    </row>
    <row r="13">
      <c r="A13" s="12" t="inlineStr">
        <is>
          <t>FUN-012</t>
        </is>
      </c>
      <c r="B13" s="12" t="inlineStr">
        <is>
          <t>Cart</t>
        </is>
      </c>
      <c r="C13" s="12" t="inlineStr">
        <is>
          <t>Verify validation constraints and edge-case handling for Cart</t>
        </is>
      </c>
      <c r="D13" s="12" t="inlineStr">
        <is>
          <t>Not Executed</t>
        </is>
      </c>
      <c r="E13" s="12" t="inlineStr">
        <is>
          <t>testing-reports/evidence/fun-012_log.png</t>
        </is>
      </c>
      <c r="F13" s="12" t="inlineStr">
        <is>
          <t>2026-07-21 23:45:00 UTC</t>
        </is>
      </c>
      <c r="G13" s="12" t="inlineStr">
        <is>
          <t>Baseline artifact placeholder initialized</t>
        </is>
      </c>
    </row>
    <row r="14">
      <c r="A14" s="12" t="inlineStr">
        <is>
          <t>FUN-013</t>
        </is>
      </c>
      <c r="B14" s="12" t="inlineStr">
        <is>
          <t>Checkout</t>
        </is>
      </c>
      <c r="C14" s="12" t="inlineStr">
        <is>
          <t>Verify asynchronous service calls and Futures resolution for Checkout</t>
        </is>
      </c>
      <c r="D14" s="12" t="inlineStr">
        <is>
          <t>Not Executed</t>
        </is>
      </c>
      <c r="E14" s="12" t="inlineStr">
        <is>
          <t>testing-reports/evidence/fun-013_log.png</t>
        </is>
      </c>
      <c r="F14" s="12" t="inlineStr">
        <is>
          <t>2026-07-21 23:45:00 UTC</t>
        </is>
      </c>
      <c r="G14" s="12" t="inlineStr">
        <is>
          <t>Baseline artifact placeholder initialized</t>
        </is>
      </c>
    </row>
    <row r="15">
      <c r="A15" s="12" t="inlineStr">
        <is>
          <t>FUN-014</t>
        </is>
      </c>
      <c r="B15" s="12" t="inlineStr">
        <is>
          <t>Address</t>
        </is>
      </c>
      <c r="C15" s="12" t="inlineStr">
        <is>
          <t>Verify reactive state listener callbacks and UI rebuilds for Address</t>
        </is>
      </c>
      <c r="D15" s="12" t="inlineStr">
        <is>
          <t>Not Executed</t>
        </is>
      </c>
      <c r="E15" s="12" t="inlineStr">
        <is>
          <t>testing-reports/evidence/fun-014_log.png</t>
        </is>
      </c>
      <c r="F15" s="12" t="inlineStr">
        <is>
          <t>2026-07-21 23:45:00 UTC</t>
        </is>
      </c>
      <c r="G15" s="12" t="inlineStr">
        <is>
          <t>Baseline artifact placeholder initialized</t>
        </is>
      </c>
    </row>
    <row r="16">
      <c r="A16" s="12" t="inlineStr">
        <is>
          <t>FUN-015</t>
        </is>
      </c>
      <c r="B16" s="12" t="inlineStr">
        <is>
          <t>Orders</t>
        </is>
      </c>
      <c r="C16" s="12" t="inlineStr">
        <is>
          <t>Verify authorization guard rules and permission checks for Orders</t>
        </is>
      </c>
      <c r="D16" s="12" t="inlineStr">
        <is>
          <t>Not Executed</t>
        </is>
      </c>
      <c r="E16" s="12" t="inlineStr">
        <is>
          <t>testing-reports/evidence/fun-015_log.png</t>
        </is>
      </c>
      <c r="F16" s="12" t="inlineStr">
        <is>
          <t>2026-07-21 23:45:00 UTC</t>
        </is>
      </c>
      <c r="G16" s="12" t="inlineStr">
        <is>
          <t>Baseline artifact placeholder initialized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2026-07-21T18:15:05Z</dcterms:created>
  <dcterms:modified xsi:type="dcterms:W3CDTF">2026-07-21T18:15:05Z</dcterms:modified>
</cp:coreProperties>
</file>