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Summary" sheetId="1" state="visible" r:id="rId1"/>
    <sheet name="Selenium Tests" sheetId="2" state="visible" r:id="rId2"/>
    <sheet name="Appium E2E Tests" sheetId="3" state="visible" r:id="rId3"/>
    <sheet name="Flutter Tests" sheetId="4" state="visible" r:id="rId4"/>
    <sheet name="Functional Tests" sheetId="5" state="visible" r:id="rId5"/>
    <sheet name="Load Tests" sheetId="6" state="visible" r:id="rId6"/>
    <sheet name="Safe Vulnerability Checks" sheetId="7" state="visible" r:id="rId7"/>
    <sheet name="Failed Tests" sheetId="8" state="visible" r:id="rId8"/>
    <sheet name="Execution Evidence" sheetId="9" state="visible" r:id="rId9"/>
  </sheets>
  <definedNames>
    <definedName name="_xlnm._FilterDatabase" localSheetId="1" hidden="1">'Selenium Tests'!$A$1:$P$101</definedName>
    <definedName name="_xlnm._FilterDatabase" localSheetId="2" hidden="1">'Appium E2E Tests'!$A$1:$P$91</definedName>
    <definedName name="_xlnm._FilterDatabase" localSheetId="3" hidden="1">'Flutter Tests'!$A$1:$P$61</definedName>
    <definedName name="_xlnm._FilterDatabase" localSheetId="4" hidden="1">'Functional Tests'!$A$1:$P$51</definedName>
    <definedName name="_xlnm._FilterDatabase" localSheetId="5" hidden="1">'Load Tests'!$A$1:$P$31</definedName>
    <definedName name="_xlnm._FilterDatabase" localSheetId="6" hidden="1">'Safe Vulnerability Checks'!$A$1:$P$31</definedName>
    <definedName name="_xlnm._FilterDatabase" localSheetId="7" hidden="1">'Failed Tests'!$A$1:$P$2</definedName>
    <definedName name="_xlnm._FilterDatabase" localSheetId="8" hidden="1">'Execution Evidence'!$A$1:$I$21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Segoe UI"/>
      <b val="1"/>
      <color rgb="000A5C36"/>
      <sz val="16"/>
    </font>
    <font>
      <name val="Segoe UI"/>
      <i val="1"/>
      <color rgb="00555555"/>
      <sz val="10"/>
    </font>
    <font>
      <name val="Segoe UI"/>
      <b val="1"/>
      <color rgb="00555555"/>
      <sz val="9"/>
    </font>
    <font>
      <name val="Segoe UI"/>
      <b val="1"/>
      <color rgb="000A5C36"/>
      <sz val="14"/>
    </font>
    <font>
      <name val="Segoe UI"/>
      <b val="1"/>
      <color rgb="000A5C36"/>
      <sz val="12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  <font>
      <name val="Segoe UI"/>
      <b val="1"/>
      <sz val="15"/>
    </font>
    <font>
      <name val="Segoe UI"/>
      <sz val="9"/>
    </font>
    <font>
      <name val="Segoe UI"/>
      <b val="1"/>
      <color rgb="005F6368"/>
    </font>
  </fonts>
  <fills count="7">
    <fill>
      <patternFill/>
    </fill>
    <fill>
      <patternFill patternType="gray125"/>
    </fill>
    <fill>
      <patternFill patternType="solid">
        <fgColor rgb="00F5F7FA"/>
        <bgColor rgb="00F5F7FA"/>
      </patternFill>
    </fill>
    <fill>
      <patternFill patternType="solid">
        <fgColor rgb="0010A866"/>
        <bgColor rgb="0010A866"/>
      </patternFill>
    </fill>
    <fill>
      <patternFill patternType="solid">
        <fgColor rgb="00F0F9F4"/>
        <bgColor rgb="00F0F9F4"/>
      </patternFill>
    </fill>
    <fill>
      <patternFill patternType="solid">
        <fgColor rgb="00F1F3F4"/>
        <bgColor rgb="00F1F3F4"/>
      </patternFill>
    </fill>
    <fill>
      <patternFill patternType="solid">
        <fgColor rgb="00D93025"/>
        <bgColor rgb="00D93025"/>
      </patternFill>
    </fill>
  </fills>
  <borders count="3">
    <border>
      <left/>
      <right/>
      <top/>
      <bottom/>
      <diagonal/>
    </border>
    <border>
      <left style="medium">
        <color rgb="0010A866"/>
      </left>
      <right style="medium">
        <color rgb="0010A866"/>
      </right>
      <top style="medium">
        <color rgb="0010A866"/>
      </top>
      <bottom style="medium">
        <color rgb="0010A866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3" borderId="0" applyAlignment="1" pivotButton="0" quotePrefix="0" xfId="0">
      <alignment horizontal="center" vertical="center"/>
    </xf>
    <xf numFmtId="0" fontId="7" fillId="0" borderId="2" pivotButton="0" quotePrefix="0" xfId="0"/>
    <xf numFmtId="0" fontId="7" fillId="0" borderId="2" applyAlignment="1" pivotButton="0" quotePrefix="0" xfId="0">
      <alignment horizontal="center" vertical="center"/>
    </xf>
    <xf numFmtId="0" fontId="8" fillId="4" borderId="2" pivotButton="0" quotePrefix="0" xfId="0"/>
    <xf numFmtId="0" fontId="8" fillId="4" borderId="2" applyAlignment="1" pivotButton="0" quotePrefix="0" xfId="0">
      <alignment horizontal="center" vertical="center"/>
    </xf>
    <xf numFmtId="0" fontId="9" fillId="4" borderId="2" applyAlignment="1" pivotButton="0" quotePrefix="0" xfId="0">
      <alignment horizontal="center" vertical="center"/>
    </xf>
    <xf numFmtId="0" fontId="10" fillId="0" borderId="2" pivotButton="0" quotePrefix="0" xfId="0"/>
    <xf numFmtId="0" fontId="10" fillId="0" borderId="2" applyAlignment="1" pivotButton="0" quotePrefix="0" xfId="0">
      <alignment horizontal="center" vertical="center"/>
    </xf>
    <xf numFmtId="0" fontId="8" fillId="0" borderId="0" pivotButton="0" quotePrefix="0" xfId="0"/>
    <xf numFmtId="0" fontId="6" fillId="3" borderId="0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top" wrapText="1"/>
    </xf>
    <xf numFmtId="0" fontId="10" fillId="0" borderId="2" applyAlignment="1" pivotButton="0" quotePrefix="0" xfId="0">
      <alignment vertical="top" wrapText="1"/>
    </xf>
    <xf numFmtId="0" fontId="11" fillId="5" borderId="2" applyAlignment="1" pivotButton="0" quotePrefix="0" xfId="0">
      <alignment horizontal="center" vertical="top" wrapText="1"/>
    </xf>
    <xf numFmtId="0" fontId="6" fillId="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  <col width="16" customWidth="1" min="8" max="8"/>
  </cols>
  <sheetData>
    <row r="1" ht="25" customHeight="1">
      <c r="A1" s="1" t="inlineStr">
        <is>
          <t>NutriFit Application - Complete QA Test Case Report</t>
        </is>
      </c>
    </row>
    <row r="2" ht="18" customHeight="1">
      <c r="A2" s="2" t="inlineStr">
        <is>
          <t>Automated &amp; Manual Quality Assurance Suite | Target: Web &amp; Android | Total Test Cases: 360</t>
        </is>
      </c>
    </row>
    <row r="4">
      <c r="A4" s="3" t="inlineStr">
        <is>
          <t>Total Test Cases</t>
        </is>
      </c>
      <c r="B4" s="3" t="inlineStr">
        <is>
          <t>Passed</t>
        </is>
      </c>
      <c r="C4" s="3" t="inlineStr">
        <is>
          <t>Failed</t>
        </is>
      </c>
      <c r="D4" s="3" t="inlineStr">
        <is>
          <t>Skipped</t>
        </is>
      </c>
      <c r="E4" s="3" t="inlineStr">
        <is>
          <t>Blocked</t>
        </is>
      </c>
      <c r="F4" s="3" t="inlineStr">
        <is>
          <t>Not Executed</t>
        </is>
      </c>
      <c r="G4" s="3" t="inlineStr">
        <is>
          <t>Execution Progress</t>
        </is>
      </c>
    </row>
    <row r="5">
      <c r="A5" s="4">
        <f>SUM(B9:B14)</f>
        <v/>
      </c>
      <c r="B5" s="4">
        <f>COUNTIF('Selenium Tests'!N:N, "Passed") + COUNTIF('Appium E2E Tests'!N:N, "Passed") + COUNTIF('Flutter Tests'!N:N, "Passed") + COUNTIF('Functional Tests'!N:N, "Passed") + COUNTIF('Load Tests'!N:N, "Passed") + COUNTIF('Safe Vulnerability Checks'!N:N, "Passed")</f>
        <v/>
      </c>
      <c r="C5" s="4">
        <f>COUNTIF('Selenium Tests'!N:N, "Failed") + COUNTIF('Appium E2E Tests'!N:N, "Failed") + COUNTIF('Flutter Tests'!N:N, "Failed") + COUNTIF('Functional Tests'!N:N, "Failed") + COUNTIF('Load Tests'!N:N, "Failed") + COUNTIF('Safe Vulnerability Checks'!N:N, "Failed")</f>
        <v/>
      </c>
      <c r="D5" s="4">
        <f>COUNTIF('Selenium Tests'!N:N, "Skipped") + COUNTIF('Appium E2E Tests'!N:N, "Skipped") + COUNTIF('Flutter Tests'!N:N, "Skipped") + COUNTIF('Functional Tests'!N:N, "Skipped") + COUNTIF('Load Tests'!N:N, "Skipped") + COUNTIF('Safe Vulnerability Checks'!N:N, "Skipped")</f>
        <v/>
      </c>
      <c r="E5" s="4">
        <f>COUNTIF('Selenium Tests'!N:N, "Blocked") + COUNTIF('Appium E2E Tests'!N:N, "Blocked") + COUNTIF('Flutter Tests'!N:N, "Blocked") + COUNTIF('Functional Tests'!N:N, "Blocked") + COUNTIF('Load Tests'!N:N, "Blocked") + COUNTIF('Safe Vulnerability Checks'!N:N, "Blocked")</f>
        <v/>
      </c>
      <c r="F5" s="4">
        <f>COUNTIF('Selenium Tests'!N:N, "Not Executed") + COUNTIF('Appium E2E Tests'!N:N, "Not Executed") + COUNTIF('Flutter Tests'!N:N, "Not Executed") + COUNTIF('Functional Tests'!N:N, "Not Executed") + COUNTIF('Load Tests'!N:N, "Not Executed") + COUNTIF('Safe Vulnerability Checks'!N:N, "Not Executed")</f>
        <v/>
      </c>
      <c r="G5" s="4">
        <f>IF(B4=0, "0%", TEXT((B4-G4)/B4, "0.0%"))</f>
        <v/>
      </c>
    </row>
    <row r="7">
      <c r="A7" s="5" t="inlineStr">
        <is>
          <t>1. Testing Type Breakdown</t>
        </is>
      </c>
    </row>
    <row r="8" ht="24" customHeight="1">
      <c r="A8" s="6" t="inlineStr">
        <is>
          <t>Testing Type</t>
        </is>
      </c>
      <c r="B8" s="6" t="inlineStr">
        <is>
          <t>Total Cases</t>
        </is>
      </c>
      <c r="C8" s="6" t="inlineStr">
        <is>
          <t>Passed</t>
        </is>
      </c>
      <c r="D8" s="6" t="inlineStr">
        <is>
          <t>Failed</t>
        </is>
      </c>
      <c r="E8" s="6" t="inlineStr">
        <is>
          <t>Skipped</t>
        </is>
      </c>
      <c r="F8" s="6" t="inlineStr">
        <is>
          <t>Blocked</t>
        </is>
      </c>
      <c r="G8" s="6" t="inlineStr">
        <is>
          <t>Not Executed</t>
        </is>
      </c>
      <c r="H8" s="6" t="inlineStr">
        <is>
          <t>Pass Rate %</t>
        </is>
      </c>
    </row>
    <row r="9">
      <c r="A9" s="7" t="inlineStr">
        <is>
          <t>Selenium Web UI Testing</t>
        </is>
      </c>
      <c r="B9" s="8" t="n">
        <v>100</v>
      </c>
      <c r="C9" s="8">
        <f>COUNTIF('Selenium Tests'!N:N, "Passed")</f>
        <v/>
      </c>
      <c r="D9" s="8">
        <f>COUNTIF('Selenium Tests'!N:N, "Failed")</f>
        <v/>
      </c>
      <c r="E9" s="8">
        <f>COUNTIF('Selenium Tests'!N:N, "Skipped")</f>
        <v/>
      </c>
      <c r="F9" s="8">
        <f>COUNTIF('Selenium Tests'!N:N, "Blocked")</f>
        <v/>
      </c>
      <c r="G9" s="8">
        <f>COUNTIF('Selenium Tests'!N:N, "Not Executed")</f>
        <v/>
      </c>
      <c r="H9" s="8">
        <f>IF(B9=0, "0%", TEXT(C9/B9, "0.0%"))</f>
        <v/>
      </c>
    </row>
    <row r="10">
      <c r="A10" s="7" t="inlineStr">
        <is>
          <t>Appium Android E2E Testing</t>
        </is>
      </c>
      <c r="B10" s="8" t="n">
        <v>90</v>
      </c>
      <c r="C10" s="8">
        <f>COUNTIF('Appium E2E Tests'!N:N, "Passed")</f>
        <v/>
      </c>
      <c r="D10" s="8">
        <f>COUNTIF('Appium E2E Tests'!N:N, "Failed")</f>
        <v/>
      </c>
      <c r="E10" s="8">
        <f>COUNTIF('Appium E2E Tests'!N:N, "Skipped")</f>
        <v/>
      </c>
      <c r="F10" s="8">
        <f>COUNTIF('Appium E2E Tests'!N:N, "Blocked")</f>
        <v/>
      </c>
      <c r="G10" s="8">
        <f>COUNTIF('Appium E2E Tests'!N:N, "Not Executed")</f>
        <v/>
      </c>
      <c r="H10" s="8">
        <f>IF(B10=0, "0%", TEXT(C10/B10, "0.0%"))</f>
        <v/>
      </c>
    </row>
    <row r="11">
      <c r="A11" s="7" t="inlineStr">
        <is>
          <t>Flutter Unit and Widget Testing</t>
        </is>
      </c>
      <c r="B11" s="8" t="n">
        <v>60</v>
      </c>
      <c r="C11" s="8">
        <f>COUNTIF('Flutter Tests'!N:N, "Passed")</f>
        <v/>
      </c>
      <c r="D11" s="8">
        <f>COUNTIF('Flutter Tests'!N:N, "Failed")</f>
        <v/>
      </c>
      <c r="E11" s="8">
        <f>COUNTIF('Flutter Tests'!N:N, "Skipped")</f>
        <v/>
      </c>
      <c r="F11" s="8">
        <f>COUNTIF('Flutter Tests'!N:N, "Blocked")</f>
        <v/>
      </c>
      <c r="G11" s="8">
        <f>COUNTIF('Flutter Tests'!N:N, "Not Executed")</f>
        <v/>
      </c>
      <c r="H11" s="8">
        <f>IF(B11=0, "0%", TEXT(C11/B11, "0.0%"))</f>
        <v/>
      </c>
    </row>
    <row r="12">
      <c r="A12" s="7" t="inlineStr">
        <is>
          <t>Functional and Integration Testing</t>
        </is>
      </c>
      <c r="B12" s="8" t="n">
        <v>50</v>
      </c>
      <c r="C12" s="8">
        <f>COUNTIF('Functional Tests'!N:N, "Passed")</f>
        <v/>
      </c>
      <c r="D12" s="8">
        <f>COUNTIF('Functional Tests'!N:N, "Failed")</f>
        <v/>
      </c>
      <c r="E12" s="8">
        <f>COUNTIF('Functional Tests'!N:N, "Skipped")</f>
        <v/>
      </c>
      <c r="F12" s="8">
        <f>COUNTIF('Functional Tests'!N:N, "Blocked")</f>
        <v/>
      </c>
      <c r="G12" s="8">
        <f>COUNTIF('Functional Tests'!N:N, "Not Executed")</f>
        <v/>
      </c>
      <c r="H12" s="8">
        <f>IF(B12=0, "0%", TEXT(C12/B12, "0.0%"))</f>
        <v/>
      </c>
    </row>
    <row r="13">
      <c r="A13" s="7" t="inlineStr">
        <is>
          <t>Load and Performance Testing</t>
        </is>
      </c>
      <c r="B13" s="8" t="n">
        <v>30</v>
      </c>
      <c r="C13" s="8">
        <f>COUNTIF('Load Tests'!N:N, "Passed")</f>
        <v/>
      </c>
      <c r="D13" s="8">
        <f>COUNTIF('Load Tests'!N:N, "Failed")</f>
        <v/>
      </c>
      <c r="E13" s="8">
        <f>COUNTIF('Load Tests'!N:N, "Skipped")</f>
        <v/>
      </c>
      <c r="F13" s="8">
        <f>COUNTIF('Load Tests'!N:N, "Blocked")</f>
        <v/>
      </c>
      <c r="G13" s="8">
        <f>COUNTIF('Load Tests'!N:N, "Not Executed")</f>
        <v/>
      </c>
      <c r="H13" s="8">
        <f>IF(B13=0, "0%", TEXT(C13/B13, "0.0%"))</f>
        <v/>
      </c>
    </row>
    <row r="14">
      <c r="A14" s="7" t="inlineStr">
        <is>
          <t>Safe Vulnerability and Configuration Checks</t>
        </is>
      </c>
      <c r="B14" s="8" t="n">
        <v>30</v>
      </c>
      <c r="C14" s="8">
        <f>COUNTIF('Safe Vulnerability Checks'!N:N, "Passed")</f>
        <v/>
      </c>
      <c r="D14" s="8">
        <f>COUNTIF('Safe Vulnerability Checks'!N:N, "Failed")</f>
        <v/>
      </c>
      <c r="E14" s="8">
        <f>COUNTIF('Safe Vulnerability Checks'!N:N, "Skipped")</f>
        <v/>
      </c>
      <c r="F14" s="8">
        <f>COUNTIF('Safe Vulnerability Checks'!N:N, "Blocked")</f>
        <v/>
      </c>
      <c r="G14" s="8">
        <f>COUNTIF('Safe Vulnerability Checks'!N:N, "Not Executed")</f>
        <v/>
      </c>
      <c r="H14" s="8">
        <f>IF(B14=0, "0%", TEXT(C14/B14, "0.0%"))</f>
        <v/>
      </c>
    </row>
    <row r="15">
      <c r="A15" s="9" t="inlineStr">
        <is>
          <t>Total Suite</t>
        </is>
      </c>
      <c r="B15" s="10">
        <f>SUM(B9:B14)</f>
        <v/>
      </c>
      <c r="C15" s="10">
        <f>SUM(C9:C14)</f>
        <v/>
      </c>
      <c r="D15" s="10">
        <f>SUM(D9:D14)</f>
        <v/>
      </c>
      <c r="E15" s="10">
        <f>SUM(E9:E14)</f>
        <v/>
      </c>
      <c r="F15" s="10">
        <f>SUM(F9:F14)</f>
        <v/>
      </c>
      <c r="G15" s="11">
        <f>SUM(G9:G14)</f>
        <v/>
      </c>
      <c r="H15" s="10">
        <f>IF(B15=0, "0%", TEXT(C15/B15, "0.0%"))</f>
        <v/>
      </c>
    </row>
    <row r="17">
      <c r="A17" s="5" t="inlineStr">
        <is>
          <t>2. Module-Wise Test Coverage Summary (All 37 Modules)</t>
        </is>
      </c>
    </row>
    <row r="18">
      <c r="A18" s="6" t="inlineStr">
        <is>
          <t>Module Name</t>
        </is>
      </c>
      <c r="B18" s="6" t="inlineStr">
        <is>
          <t>Total Cases</t>
        </is>
      </c>
      <c r="C18" s="6" t="inlineStr">
        <is>
          <t>Passed</t>
        </is>
      </c>
      <c r="D18" s="6" t="inlineStr">
        <is>
          <t>Failed</t>
        </is>
      </c>
      <c r="E18" s="6" t="inlineStr">
        <is>
          <t>Skipped</t>
        </is>
      </c>
      <c r="F18" s="6" t="inlineStr">
        <is>
          <t>Blocked</t>
        </is>
      </c>
      <c r="G18" s="6" t="inlineStr">
        <is>
          <t>Not Executed</t>
        </is>
      </c>
    </row>
    <row r="19">
      <c r="A19" s="12" t="inlineStr">
        <is>
          <t>Splash</t>
        </is>
      </c>
      <c r="B19" s="13">
        <f>COUNTIF('Selenium Tests'!C:C, A19)+COUNTIF('Appium E2E Tests'!C:C, A19)+COUNTIF('Flutter Tests'!C:C, A19)+COUNTIF('Functional Tests'!C:C, A19)+COUNTIF('Load Tests'!C:C, A19)+COUNTIF('Safe Vulnerability Checks'!C:C, A19)</f>
        <v/>
      </c>
      <c r="C19" s="13">
        <f>COUNTIFS('Selenium Tests'!C:C, A19, 'Selenium Tests'!N:N, "Passed")+COUNTIFS('Appium E2E Tests'!C:C, A19, 'Appium E2E Tests'!N:N, "Passed")+COUNTIFS('Flutter Tests'!C:C, A19, 'Flutter Tests'!N:N, "Passed")+COUNTIFS('Functional Tests'!C:C, A19, 'Functional Tests'!N:N, "Passed")+COUNTIFS('Load Tests'!C:C, A19, 'Load Tests'!N:N, "Passed")+COUNTIFS('Safe Vulnerability Checks'!C:C, A19, 'Safe Vulnerability Checks'!N:N, "Passed")</f>
        <v/>
      </c>
      <c r="D19" s="13">
        <f>COUNTIFS('Selenium Tests'!C:C, A19, 'Selenium Tests'!N:N, "Failed")+COUNTIFS('Appium E2E Tests'!C:C, A19, 'Appium E2E Tests'!N:N, "Failed")+COUNTIFS('Flutter Tests'!C:C, A19, 'Flutter Tests'!N:N, "Failed")+COUNTIFS('Functional Tests'!C:C, A19, 'Functional Tests'!N:N, "Failed")+COUNTIFS('Load Tests'!C:C, A19, 'Load Tests'!N:N, "Failed")+COUNTIFS('Safe Vulnerability Checks'!C:C, A19, 'Safe Vulnerability Checks'!N:N, "Failed")</f>
        <v/>
      </c>
      <c r="E19" s="13">
        <f>COUNTIFS('Selenium Tests'!C:C, A19, 'Selenium Tests'!N:N, "Skipped")+COUNTIFS('Appium E2E Tests'!C:C, A19, 'Appium E2E Tests'!N:N, "Skipped")+COUNTIFS('Flutter Tests'!C:C, A19, 'Flutter Tests'!N:N, "Skipped")+COUNTIFS('Functional Tests'!C:C, A19, 'Functional Tests'!N:N, "Skipped")+COUNTIFS('Load Tests'!C:C, A19, 'Load Tests'!N:N, "Skipped")+COUNTIFS('Safe Vulnerability Checks'!C:C, A19, 'Safe Vulnerability Checks'!N:N, "Skipped")</f>
        <v/>
      </c>
      <c r="F19" s="13">
        <f>COUNTIFS('Selenium Tests'!C:C, A19, 'Selenium Tests'!N:N, "Blocked")+COUNTIFS('Appium E2E Tests'!C:C, A19, 'Appium E2E Tests'!N:N, "Blocked")+COUNTIFS('Flutter Tests'!C:C, A19, 'Flutter Tests'!N:N, "Blocked")+COUNTIFS('Functional Tests'!C:C, A19, 'Functional Tests'!N:N, "Blocked")+COUNTIFS('Load Tests'!C:C, A19, 'Load Tests'!N:N, "Blocked")+COUNTIFS('Safe Vulnerability Checks'!C:C, A19, 'Safe Vulnerability Checks'!N:N, "Blocked")</f>
        <v/>
      </c>
      <c r="G19" s="13">
        <f>COUNTIFS('Selenium Tests'!C:C, A19, 'Selenium Tests'!N:N, "Not Executed")+COUNTIFS('Appium E2E Tests'!C:C, A19, 'Appium E2E Tests'!N:N, "Not Executed")+COUNTIFS('Flutter Tests'!C:C, A19, 'Flutter Tests'!N:N, "Not Executed")+COUNTIFS('Functional Tests'!C:C, A19, 'Functional Tests'!N:N, "Not Executed")+COUNTIFS('Load Tests'!C:C, A19, 'Load Tests'!N:N, "Not Executed")+COUNTIFS('Safe Vulnerability Checks'!C:C, A19, 'Safe Vulnerability Checks'!N:N, "Not Executed")</f>
        <v/>
      </c>
    </row>
    <row r="20">
      <c r="A20" s="12" t="inlineStr">
        <is>
          <t>Login</t>
        </is>
      </c>
      <c r="B20" s="13">
        <f>COUNTIF('Selenium Tests'!C:C, A20)+COUNTIF('Appium E2E Tests'!C:C, A20)+COUNTIF('Flutter Tests'!C:C, A20)+COUNTIF('Functional Tests'!C:C, A20)+COUNTIF('Load Tests'!C:C, A20)+COUNTIF('Safe Vulnerability Checks'!C:C, A20)</f>
        <v/>
      </c>
      <c r="C20" s="13">
        <f>COUNTIFS('Selenium Tests'!C:C, A20, 'Selenium Tests'!N:N, "Passed")+COUNTIFS('Appium E2E Tests'!C:C, A20, 'Appium E2E Tests'!N:N, "Passed")+COUNTIFS('Flutter Tests'!C:C, A20, 'Flutter Tests'!N:N, "Passed")+COUNTIFS('Functional Tests'!C:C, A20, 'Functional Tests'!N:N, "Passed")+COUNTIFS('Load Tests'!C:C, A20, 'Load Tests'!N:N, "Passed")+COUNTIFS('Safe Vulnerability Checks'!C:C, A20, 'Safe Vulnerability Checks'!N:N, "Passed")</f>
        <v/>
      </c>
      <c r="D20" s="13">
        <f>COUNTIFS('Selenium Tests'!C:C, A20, 'Selenium Tests'!N:N, "Failed")+COUNTIFS('Appium E2E Tests'!C:C, A20, 'Appium E2E Tests'!N:N, "Failed")+COUNTIFS('Flutter Tests'!C:C, A20, 'Flutter Tests'!N:N, "Failed")+COUNTIFS('Functional Tests'!C:C, A20, 'Functional Tests'!N:N, "Failed")+COUNTIFS('Load Tests'!C:C, A20, 'Load Tests'!N:N, "Failed")+COUNTIFS('Safe Vulnerability Checks'!C:C, A20, 'Safe Vulnerability Checks'!N:N, "Failed")</f>
        <v/>
      </c>
      <c r="E20" s="13">
        <f>COUNTIFS('Selenium Tests'!C:C, A20, 'Selenium Tests'!N:N, "Skipped")+COUNTIFS('Appium E2E Tests'!C:C, A20, 'Appium E2E Tests'!N:N, "Skipped")+COUNTIFS('Flutter Tests'!C:C, A20, 'Flutter Tests'!N:N, "Skipped")+COUNTIFS('Functional Tests'!C:C, A20, 'Functional Tests'!N:N, "Skipped")+COUNTIFS('Load Tests'!C:C, A20, 'Load Tests'!N:N, "Skipped")+COUNTIFS('Safe Vulnerability Checks'!C:C, A20, 'Safe Vulnerability Checks'!N:N, "Skipped")</f>
        <v/>
      </c>
      <c r="F20" s="13">
        <f>COUNTIFS('Selenium Tests'!C:C, A20, 'Selenium Tests'!N:N, "Blocked")+COUNTIFS('Appium E2E Tests'!C:C, A20, 'Appium E2E Tests'!N:N, "Blocked")+COUNTIFS('Flutter Tests'!C:C, A20, 'Flutter Tests'!N:N, "Blocked")+COUNTIFS('Functional Tests'!C:C, A20, 'Functional Tests'!N:N, "Blocked")+COUNTIFS('Load Tests'!C:C, A20, 'Load Tests'!N:N, "Blocked")+COUNTIFS('Safe Vulnerability Checks'!C:C, A20, 'Safe Vulnerability Checks'!N:N, "Blocked")</f>
        <v/>
      </c>
      <c r="G20" s="13">
        <f>COUNTIFS('Selenium Tests'!C:C, A20, 'Selenium Tests'!N:N, "Not Executed")+COUNTIFS('Appium E2E Tests'!C:C, A20, 'Appium E2E Tests'!N:N, "Not Executed")+COUNTIFS('Flutter Tests'!C:C, A20, 'Flutter Tests'!N:N, "Not Executed")+COUNTIFS('Functional Tests'!C:C, A20, 'Functional Tests'!N:N, "Not Executed")+COUNTIFS('Load Tests'!C:C, A20, 'Load Tests'!N:N, "Not Executed")+COUNTIFS('Safe Vulnerability Checks'!C:C, A20, 'Safe Vulnerability Checks'!N:N, "Not Executed")</f>
        <v/>
      </c>
    </row>
    <row r="21">
      <c r="A21" s="12" t="inlineStr">
        <is>
          <t>Signup</t>
        </is>
      </c>
      <c r="B21" s="13">
        <f>COUNTIF('Selenium Tests'!C:C, A21)+COUNTIF('Appium E2E Tests'!C:C, A21)+COUNTIF('Flutter Tests'!C:C, A21)+COUNTIF('Functional Tests'!C:C, A21)+COUNTIF('Load Tests'!C:C, A21)+COUNTIF('Safe Vulnerability Checks'!C:C, A21)</f>
        <v/>
      </c>
      <c r="C21" s="13">
        <f>COUNTIFS('Selenium Tests'!C:C, A21, 'Selenium Tests'!N:N, "Passed")+COUNTIFS('Appium E2E Tests'!C:C, A21, 'Appium E2E Tests'!N:N, "Passed")+COUNTIFS('Flutter Tests'!C:C, A21, 'Flutter Tests'!N:N, "Passed")+COUNTIFS('Functional Tests'!C:C, A21, 'Functional Tests'!N:N, "Passed")+COUNTIFS('Load Tests'!C:C, A21, 'Load Tests'!N:N, "Passed")+COUNTIFS('Safe Vulnerability Checks'!C:C, A21, 'Safe Vulnerability Checks'!N:N, "Passed")</f>
        <v/>
      </c>
      <c r="D21" s="13">
        <f>COUNTIFS('Selenium Tests'!C:C, A21, 'Selenium Tests'!N:N, "Failed")+COUNTIFS('Appium E2E Tests'!C:C, A21, 'Appium E2E Tests'!N:N, "Failed")+COUNTIFS('Flutter Tests'!C:C, A21, 'Flutter Tests'!N:N, "Failed")+COUNTIFS('Functional Tests'!C:C, A21, 'Functional Tests'!N:N, "Failed")+COUNTIFS('Load Tests'!C:C, A21, 'Load Tests'!N:N, "Failed")+COUNTIFS('Safe Vulnerability Checks'!C:C, A21, 'Safe Vulnerability Checks'!N:N, "Failed")</f>
        <v/>
      </c>
      <c r="E21" s="13">
        <f>COUNTIFS('Selenium Tests'!C:C, A21, 'Selenium Tests'!N:N, "Skipped")+COUNTIFS('Appium E2E Tests'!C:C, A21, 'Appium E2E Tests'!N:N, "Skipped")+COUNTIFS('Flutter Tests'!C:C, A21, 'Flutter Tests'!N:N, "Skipped")+COUNTIFS('Functional Tests'!C:C, A21, 'Functional Tests'!N:N, "Skipped")+COUNTIFS('Load Tests'!C:C, A21, 'Load Tests'!N:N, "Skipped")+COUNTIFS('Safe Vulnerability Checks'!C:C, A21, 'Safe Vulnerability Checks'!N:N, "Skipped")</f>
        <v/>
      </c>
      <c r="F21" s="13">
        <f>COUNTIFS('Selenium Tests'!C:C, A21, 'Selenium Tests'!N:N, "Blocked")+COUNTIFS('Appium E2E Tests'!C:C, A21, 'Appium E2E Tests'!N:N, "Blocked")+COUNTIFS('Flutter Tests'!C:C, A21, 'Flutter Tests'!N:N, "Blocked")+COUNTIFS('Functional Tests'!C:C, A21, 'Functional Tests'!N:N, "Blocked")+COUNTIFS('Load Tests'!C:C, A21, 'Load Tests'!N:N, "Blocked")+COUNTIFS('Safe Vulnerability Checks'!C:C, A21, 'Safe Vulnerability Checks'!N:N, "Blocked")</f>
        <v/>
      </c>
      <c r="G21" s="13">
        <f>COUNTIFS('Selenium Tests'!C:C, A21, 'Selenium Tests'!N:N, "Not Executed")+COUNTIFS('Appium E2E Tests'!C:C, A21, 'Appium E2E Tests'!N:N, "Not Executed")+COUNTIFS('Flutter Tests'!C:C, A21, 'Flutter Tests'!N:N, "Not Executed")+COUNTIFS('Functional Tests'!C:C, A21, 'Functional Tests'!N:N, "Not Executed")+COUNTIFS('Load Tests'!C:C, A21, 'Load Tests'!N:N, "Not Executed")+COUNTIFS('Safe Vulnerability Checks'!C:C, A21, 'Safe Vulnerability Checks'!N:N, "Not Executed")</f>
        <v/>
      </c>
    </row>
    <row r="22">
      <c r="A22" s="12" t="inlineStr">
        <is>
          <t>Forgot Password</t>
        </is>
      </c>
      <c r="B22" s="13">
        <f>COUNTIF('Selenium Tests'!C:C, A22)+COUNTIF('Appium E2E Tests'!C:C, A22)+COUNTIF('Flutter Tests'!C:C, A22)+COUNTIF('Functional Tests'!C:C, A22)+COUNTIF('Load Tests'!C:C, A22)+COUNTIF('Safe Vulnerability Checks'!C:C, A22)</f>
        <v/>
      </c>
      <c r="C22" s="13">
        <f>COUNTIFS('Selenium Tests'!C:C, A22, 'Selenium Tests'!N:N, "Passed")+COUNTIFS('Appium E2E Tests'!C:C, A22, 'Appium E2E Tests'!N:N, "Passed")+COUNTIFS('Flutter Tests'!C:C, A22, 'Flutter Tests'!N:N, "Passed")+COUNTIFS('Functional Tests'!C:C, A22, 'Functional Tests'!N:N, "Passed")+COUNTIFS('Load Tests'!C:C, A22, 'Load Tests'!N:N, "Passed")+COUNTIFS('Safe Vulnerability Checks'!C:C, A22, 'Safe Vulnerability Checks'!N:N, "Passed")</f>
        <v/>
      </c>
      <c r="D22" s="13">
        <f>COUNTIFS('Selenium Tests'!C:C, A22, 'Selenium Tests'!N:N, "Failed")+COUNTIFS('Appium E2E Tests'!C:C, A22, 'Appium E2E Tests'!N:N, "Failed")+COUNTIFS('Flutter Tests'!C:C, A22, 'Flutter Tests'!N:N, "Failed")+COUNTIFS('Functional Tests'!C:C, A22, 'Functional Tests'!N:N, "Failed")+COUNTIFS('Load Tests'!C:C, A22, 'Load Tests'!N:N, "Failed")+COUNTIFS('Safe Vulnerability Checks'!C:C, A22, 'Safe Vulnerability Checks'!N:N, "Failed")</f>
        <v/>
      </c>
      <c r="E22" s="13">
        <f>COUNTIFS('Selenium Tests'!C:C, A22, 'Selenium Tests'!N:N, "Skipped")+COUNTIFS('Appium E2E Tests'!C:C, A22, 'Appium E2E Tests'!N:N, "Skipped")+COUNTIFS('Flutter Tests'!C:C, A22, 'Flutter Tests'!N:N, "Skipped")+COUNTIFS('Functional Tests'!C:C, A22, 'Functional Tests'!N:N, "Skipped")+COUNTIFS('Load Tests'!C:C, A22, 'Load Tests'!N:N, "Skipped")+COUNTIFS('Safe Vulnerability Checks'!C:C, A22, 'Safe Vulnerability Checks'!N:N, "Skipped")</f>
        <v/>
      </c>
      <c r="F22" s="13">
        <f>COUNTIFS('Selenium Tests'!C:C, A22, 'Selenium Tests'!N:N, "Blocked")+COUNTIFS('Appium E2E Tests'!C:C, A22, 'Appium E2E Tests'!N:N, "Blocked")+COUNTIFS('Flutter Tests'!C:C, A22, 'Flutter Tests'!N:N, "Blocked")+COUNTIFS('Functional Tests'!C:C, A22, 'Functional Tests'!N:N, "Blocked")+COUNTIFS('Load Tests'!C:C, A22, 'Load Tests'!N:N, "Blocked")+COUNTIFS('Safe Vulnerability Checks'!C:C, A22, 'Safe Vulnerability Checks'!N:N, "Blocked")</f>
        <v/>
      </c>
      <c r="G22" s="13">
        <f>COUNTIFS('Selenium Tests'!C:C, A22, 'Selenium Tests'!N:N, "Not Executed")+COUNTIFS('Appium E2E Tests'!C:C, A22, 'Appium E2E Tests'!N:N, "Not Executed")+COUNTIFS('Flutter Tests'!C:C, A22, 'Flutter Tests'!N:N, "Not Executed")+COUNTIFS('Functional Tests'!C:C, A22, 'Functional Tests'!N:N, "Not Executed")+COUNTIFS('Load Tests'!C:C, A22, 'Load Tests'!N:N, "Not Executed")+COUNTIFS('Safe Vulnerability Checks'!C:C, A22, 'Safe Vulnerability Checks'!N:N, "Not Executed")</f>
        <v/>
      </c>
    </row>
    <row r="23">
      <c r="A23" s="12" t="inlineStr">
        <is>
          <t>Email Verification</t>
        </is>
      </c>
      <c r="B23" s="13">
        <f>COUNTIF('Selenium Tests'!C:C, A23)+COUNTIF('Appium E2E Tests'!C:C, A23)+COUNTIF('Flutter Tests'!C:C, A23)+COUNTIF('Functional Tests'!C:C, A23)+COUNTIF('Load Tests'!C:C, A23)+COUNTIF('Safe Vulnerability Checks'!C:C, A23)</f>
        <v/>
      </c>
      <c r="C23" s="13">
        <f>COUNTIFS('Selenium Tests'!C:C, A23, 'Selenium Tests'!N:N, "Passed")+COUNTIFS('Appium E2E Tests'!C:C, A23, 'Appium E2E Tests'!N:N, "Passed")+COUNTIFS('Flutter Tests'!C:C, A23, 'Flutter Tests'!N:N, "Passed")+COUNTIFS('Functional Tests'!C:C, A23, 'Functional Tests'!N:N, "Passed")+COUNTIFS('Load Tests'!C:C, A23, 'Load Tests'!N:N, "Passed")+COUNTIFS('Safe Vulnerability Checks'!C:C, A23, 'Safe Vulnerability Checks'!N:N, "Passed")</f>
        <v/>
      </c>
      <c r="D23" s="13">
        <f>COUNTIFS('Selenium Tests'!C:C, A23, 'Selenium Tests'!N:N, "Failed")+COUNTIFS('Appium E2E Tests'!C:C, A23, 'Appium E2E Tests'!N:N, "Failed")+COUNTIFS('Flutter Tests'!C:C, A23, 'Flutter Tests'!N:N, "Failed")+COUNTIFS('Functional Tests'!C:C, A23, 'Functional Tests'!N:N, "Failed")+COUNTIFS('Load Tests'!C:C, A23, 'Load Tests'!N:N, "Failed")+COUNTIFS('Safe Vulnerability Checks'!C:C, A23, 'Safe Vulnerability Checks'!N:N, "Failed")</f>
        <v/>
      </c>
      <c r="E23" s="13">
        <f>COUNTIFS('Selenium Tests'!C:C, A23, 'Selenium Tests'!N:N, "Skipped")+COUNTIFS('Appium E2E Tests'!C:C, A23, 'Appium E2E Tests'!N:N, "Skipped")+COUNTIFS('Flutter Tests'!C:C, A23, 'Flutter Tests'!N:N, "Skipped")+COUNTIFS('Functional Tests'!C:C, A23, 'Functional Tests'!N:N, "Skipped")+COUNTIFS('Load Tests'!C:C, A23, 'Load Tests'!N:N, "Skipped")+COUNTIFS('Safe Vulnerability Checks'!C:C, A23, 'Safe Vulnerability Checks'!N:N, "Skipped")</f>
        <v/>
      </c>
      <c r="F23" s="13">
        <f>COUNTIFS('Selenium Tests'!C:C, A23, 'Selenium Tests'!N:N, "Blocked")+COUNTIFS('Appium E2E Tests'!C:C, A23, 'Appium E2E Tests'!N:N, "Blocked")+COUNTIFS('Flutter Tests'!C:C, A23, 'Flutter Tests'!N:N, "Blocked")+COUNTIFS('Functional Tests'!C:C, A23, 'Functional Tests'!N:N, "Blocked")+COUNTIFS('Load Tests'!C:C, A23, 'Load Tests'!N:N, "Blocked")+COUNTIFS('Safe Vulnerability Checks'!C:C, A23, 'Safe Vulnerability Checks'!N:N, "Blocked")</f>
        <v/>
      </c>
      <c r="G23" s="13">
        <f>COUNTIFS('Selenium Tests'!C:C, A23, 'Selenium Tests'!N:N, "Not Executed")+COUNTIFS('Appium E2E Tests'!C:C, A23, 'Appium E2E Tests'!N:N, "Not Executed")+COUNTIFS('Flutter Tests'!C:C, A23, 'Flutter Tests'!N:N, "Not Executed")+COUNTIFS('Functional Tests'!C:C, A23, 'Functional Tests'!N:N, "Not Executed")+COUNTIFS('Load Tests'!C:C, A23, 'Load Tests'!N:N, "Not Executed")+COUNTIFS('Safe Vulnerability Checks'!C:C, A23, 'Safe Vulnerability Checks'!N:N, "Not Executed")</f>
        <v/>
      </c>
    </row>
    <row r="24">
      <c r="A24" s="12" t="inlineStr">
        <is>
          <t>Onboarding</t>
        </is>
      </c>
      <c r="B24" s="13">
        <f>COUNTIF('Selenium Tests'!C:C, A24)+COUNTIF('Appium E2E Tests'!C:C, A24)+COUNTIF('Flutter Tests'!C:C, A24)+COUNTIF('Functional Tests'!C:C, A24)+COUNTIF('Load Tests'!C:C, A24)+COUNTIF('Safe Vulnerability Checks'!C:C, A24)</f>
        <v/>
      </c>
      <c r="C24" s="13">
        <f>COUNTIFS('Selenium Tests'!C:C, A24, 'Selenium Tests'!N:N, "Passed")+COUNTIFS('Appium E2E Tests'!C:C, A24, 'Appium E2E Tests'!N:N, "Passed")+COUNTIFS('Flutter Tests'!C:C, A24, 'Flutter Tests'!N:N, "Passed")+COUNTIFS('Functional Tests'!C:C, A24, 'Functional Tests'!N:N, "Passed")+COUNTIFS('Load Tests'!C:C, A24, 'Load Tests'!N:N, "Passed")+COUNTIFS('Safe Vulnerability Checks'!C:C, A24, 'Safe Vulnerability Checks'!N:N, "Passed")</f>
        <v/>
      </c>
      <c r="D24" s="13">
        <f>COUNTIFS('Selenium Tests'!C:C, A24, 'Selenium Tests'!N:N, "Failed")+COUNTIFS('Appium E2E Tests'!C:C, A24, 'Appium E2E Tests'!N:N, "Failed")+COUNTIFS('Flutter Tests'!C:C, A24, 'Flutter Tests'!N:N, "Failed")+COUNTIFS('Functional Tests'!C:C, A24, 'Functional Tests'!N:N, "Failed")+COUNTIFS('Load Tests'!C:C, A24, 'Load Tests'!N:N, "Failed")+COUNTIFS('Safe Vulnerability Checks'!C:C, A24, 'Safe Vulnerability Checks'!N:N, "Failed")</f>
        <v/>
      </c>
      <c r="E24" s="13">
        <f>COUNTIFS('Selenium Tests'!C:C, A24, 'Selenium Tests'!N:N, "Skipped")+COUNTIFS('Appium E2E Tests'!C:C, A24, 'Appium E2E Tests'!N:N, "Skipped")+COUNTIFS('Flutter Tests'!C:C, A24, 'Flutter Tests'!N:N, "Skipped")+COUNTIFS('Functional Tests'!C:C, A24, 'Functional Tests'!N:N, "Skipped")+COUNTIFS('Load Tests'!C:C, A24, 'Load Tests'!N:N, "Skipped")+COUNTIFS('Safe Vulnerability Checks'!C:C, A24, 'Safe Vulnerability Checks'!N:N, "Skipped")</f>
        <v/>
      </c>
      <c r="F24" s="13">
        <f>COUNTIFS('Selenium Tests'!C:C, A24, 'Selenium Tests'!N:N, "Blocked")+COUNTIFS('Appium E2E Tests'!C:C, A24, 'Appium E2E Tests'!N:N, "Blocked")+COUNTIFS('Flutter Tests'!C:C, A24, 'Flutter Tests'!N:N, "Blocked")+COUNTIFS('Functional Tests'!C:C, A24, 'Functional Tests'!N:N, "Blocked")+COUNTIFS('Load Tests'!C:C, A24, 'Load Tests'!N:N, "Blocked")+COUNTIFS('Safe Vulnerability Checks'!C:C, A24, 'Safe Vulnerability Checks'!N:N, "Blocked")</f>
        <v/>
      </c>
      <c r="G24" s="13">
        <f>COUNTIFS('Selenium Tests'!C:C, A24, 'Selenium Tests'!N:N, "Not Executed")+COUNTIFS('Appium E2E Tests'!C:C, A24, 'Appium E2E Tests'!N:N, "Not Executed")+COUNTIFS('Flutter Tests'!C:C, A24, 'Flutter Tests'!N:N, "Not Executed")+COUNTIFS('Functional Tests'!C:C, A24, 'Functional Tests'!N:N, "Not Executed")+COUNTIFS('Load Tests'!C:C, A24, 'Load Tests'!N:N, "Not Executed")+COUNTIFS('Safe Vulnerability Checks'!C:C, A24, 'Safe Vulnerability Checks'!N:N, "Not Executed")</f>
        <v/>
      </c>
    </row>
    <row r="25">
      <c r="A25" s="12" t="inlineStr">
        <is>
          <t>Dashboard</t>
        </is>
      </c>
      <c r="B25" s="13">
        <f>COUNTIF('Selenium Tests'!C:C, A25)+COUNTIF('Appium E2E Tests'!C:C, A25)+COUNTIF('Flutter Tests'!C:C, A25)+COUNTIF('Functional Tests'!C:C, A25)+COUNTIF('Load Tests'!C:C, A25)+COUNTIF('Safe Vulnerability Checks'!C:C, A25)</f>
        <v/>
      </c>
      <c r="C25" s="13">
        <f>COUNTIFS('Selenium Tests'!C:C, A25, 'Selenium Tests'!N:N, "Passed")+COUNTIFS('Appium E2E Tests'!C:C, A25, 'Appium E2E Tests'!N:N, "Passed")+COUNTIFS('Flutter Tests'!C:C, A25, 'Flutter Tests'!N:N, "Passed")+COUNTIFS('Functional Tests'!C:C, A25, 'Functional Tests'!N:N, "Passed")+COUNTIFS('Load Tests'!C:C, A25, 'Load Tests'!N:N, "Passed")+COUNTIFS('Safe Vulnerability Checks'!C:C, A25, 'Safe Vulnerability Checks'!N:N, "Passed")</f>
        <v/>
      </c>
      <c r="D25" s="13">
        <f>COUNTIFS('Selenium Tests'!C:C, A25, 'Selenium Tests'!N:N, "Failed")+COUNTIFS('Appium E2E Tests'!C:C, A25, 'Appium E2E Tests'!N:N, "Failed")+COUNTIFS('Flutter Tests'!C:C, A25, 'Flutter Tests'!N:N, "Failed")+COUNTIFS('Functional Tests'!C:C, A25, 'Functional Tests'!N:N, "Failed")+COUNTIFS('Load Tests'!C:C, A25, 'Load Tests'!N:N, "Failed")+COUNTIFS('Safe Vulnerability Checks'!C:C, A25, 'Safe Vulnerability Checks'!N:N, "Failed")</f>
        <v/>
      </c>
      <c r="E25" s="13">
        <f>COUNTIFS('Selenium Tests'!C:C, A25, 'Selenium Tests'!N:N, "Skipped")+COUNTIFS('Appium E2E Tests'!C:C, A25, 'Appium E2E Tests'!N:N, "Skipped")+COUNTIFS('Flutter Tests'!C:C, A25, 'Flutter Tests'!N:N, "Skipped")+COUNTIFS('Functional Tests'!C:C, A25, 'Functional Tests'!N:N, "Skipped")+COUNTIFS('Load Tests'!C:C, A25, 'Load Tests'!N:N, "Skipped")+COUNTIFS('Safe Vulnerability Checks'!C:C, A25, 'Safe Vulnerability Checks'!N:N, "Skipped")</f>
        <v/>
      </c>
      <c r="F25" s="13">
        <f>COUNTIFS('Selenium Tests'!C:C, A25, 'Selenium Tests'!N:N, "Blocked")+COUNTIFS('Appium E2E Tests'!C:C, A25, 'Appium E2E Tests'!N:N, "Blocked")+COUNTIFS('Flutter Tests'!C:C, A25, 'Flutter Tests'!N:N, "Blocked")+COUNTIFS('Functional Tests'!C:C, A25, 'Functional Tests'!N:N, "Blocked")+COUNTIFS('Load Tests'!C:C, A25, 'Load Tests'!N:N, "Blocked")+COUNTIFS('Safe Vulnerability Checks'!C:C, A25, 'Safe Vulnerability Checks'!N:N, "Blocked")</f>
        <v/>
      </c>
      <c r="G25" s="13">
        <f>COUNTIFS('Selenium Tests'!C:C, A25, 'Selenium Tests'!N:N, "Not Executed")+COUNTIFS('Appium E2E Tests'!C:C, A25, 'Appium E2E Tests'!N:N, "Not Executed")+COUNTIFS('Flutter Tests'!C:C, A25, 'Flutter Tests'!N:N, "Not Executed")+COUNTIFS('Functional Tests'!C:C, A25, 'Functional Tests'!N:N, "Not Executed")+COUNTIFS('Load Tests'!C:C, A25, 'Load Tests'!N:N, "Not Executed")+COUNTIFS('Safe Vulnerability Checks'!C:C, A25, 'Safe Vulnerability Checks'!N:N, "Not Executed")</f>
        <v/>
      </c>
    </row>
    <row r="26">
      <c r="A26" s="12" t="inlineStr">
        <is>
          <t>Profile</t>
        </is>
      </c>
      <c r="B26" s="13">
        <f>COUNTIF('Selenium Tests'!C:C, A26)+COUNTIF('Appium E2E Tests'!C:C, A26)+COUNTIF('Flutter Tests'!C:C, A26)+COUNTIF('Functional Tests'!C:C, A26)+COUNTIF('Load Tests'!C:C, A26)+COUNTIF('Safe Vulnerability Checks'!C:C, A26)</f>
        <v/>
      </c>
      <c r="C26" s="13">
        <f>COUNTIFS('Selenium Tests'!C:C, A26, 'Selenium Tests'!N:N, "Passed")+COUNTIFS('Appium E2E Tests'!C:C, A26, 'Appium E2E Tests'!N:N, "Passed")+COUNTIFS('Flutter Tests'!C:C, A26, 'Flutter Tests'!N:N, "Passed")+COUNTIFS('Functional Tests'!C:C, A26, 'Functional Tests'!N:N, "Passed")+COUNTIFS('Load Tests'!C:C, A26, 'Load Tests'!N:N, "Passed")+COUNTIFS('Safe Vulnerability Checks'!C:C, A26, 'Safe Vulnerability Checks'!N:N, "Passed")</f>
        <v/>
      </c>
      <c r="D26" s="13">
        <f>COUNTIFS('Selenium Tests'!C:C, A26, 'Selenium Tests'!N:N, "Failed")+COUNTIFS('Appium E2E Tests'!C:C, A26, 'Appium E2E Tests'!N:N, "Failed")+COUNTIFS('Flutter Tests'!C:C, A26, 'Flutter Tests'!N:N, "Failed")+COUNTIFS('Functional Tests'!C:C, A26, 'Functional Tests'!N:N, "Failed")+COUNTIFS('Load Tests'!C:C, A26, 'Load Tests'!N:N, "Failed")+COUNTIFS('Safe Vulnerability Checks'!C:C, A26, 'Safe Vulnerability Checks'!N:N, "Failed")</f>
        <v/>
      </c>
      <c r="E26" s="13">
        <f>COUNTIFS('Selenium Tests'!C:C, A26, 'Selenium Tests'!N:N, "Skipped")+COUNTIFS('Appium E2E Tests'!C:C, A26, 'Appium E2E Tests'!N:N, "Skipped")+COUNTIFS('Flutter Tests'!C:C, A26, 'Flutter Tests'!N:N, "Skipped")+COUNTIFS('Functional Tests'!C:C, A26, 'Functional Tests'!N:N, "Skipped")+COUNTIFS('Load Tests'!C:C, A26, 'Load Tests'!N:N, "Skipped")+COUNTIFS('Safe Vulnerability Checks'!C:C, A26, 'Safe Vulnerability Checks'!N:N, "Skipped")</f>
        <v/>
      </c>
      <c r="F26" s="13">
        <f>COUNTIFS('Selenium Tests'!C:C, A26, 'Selenium Tests'!N:N, "Blocked")+COUNTIFS('Appium E2E Tests'!C:C, A26, 'Appium E2E Tests'!N:N, "Blocked")+COUNTIFS('Flutter Tests'!C:C, A26, 'Flutter Tests'!N:N, "Blocked")+COUNTIFS('Functional Tests'!C:C, A26, 'Functional Tests'!N:N, "Blocked")+COUNTIFS('Load Tests'!C:C, A26, 'Load Tests'!N:N, "Blocked")+COUNTIFS('Safe Vulnerability Checks'!C:C, A26, 'Safe Vulnerability Checks'!N:N, "Blocked")</f>
        <v/>
      </c>
      <c r="G26" s="13">
        <f>COUNTIFS('Selenium Tests'!C:C, A26, 'Selenium Tests'!N:N, "Not Executed")+COUNTIFS('Appium E2E Tests'!C:C, A26, 'Appium E2E Tests'!N:N, "Not Executed")+COUNTIFS('Flutter Tests'!C:C, A26, 'Flutter Tests'!N:N, "Not Executed")+COUNTIFS('Functional Tests'!C:C, A26, 'Functional Tests'!N:N, "Not Executed")+COUNTIFS('Load Tests'!C:C, A26, 'Load Tests'!N:N, "Not Executed")+COUNTIFS('Safe Vulnerability Checks'!C:C, A26, 'Safe Vulnerability Checks'!N:N, "Not Executed")</f>
        <v/>
      </c>
    </row>
    <row r="27">
      <c r="A27" s="12" t="inlineStr">
        <is>
          <t>Language Settings</t>
        </is>
      </c>
      <c r="B27" s="13">
        <f>COUNTIF('Selenium Tests'!C:C, A27)+COUNTIF('Appium E2E Tests'!C:C, A27)+COUNTIF('Flutter Tests'!C:C, A27)+COUNTIF('Functional Tests'!C:C, A27)+COUNTIF('Load Tests'!C:C, A27)+COUNTIF('Safe Vulnerability Checks'!C:C, A27)</f>
        <v/>
      </c>
      <c r="C27" s="13">
        <f>COUNTIFS('Selenium Tests'!C:C, A27, 'Selenium Tests'!N:N, "Passed")+COUNTIFS('Appium E2E Tests'!C:C, A27, 'Appium E2E Tests'!N:N, "Passed")+COUNTIFS('Flutter Tests'!C:C, A27, 'Flutter Tests'!N:N, "Passed")+COUNTIFS('Functional Tests'!C:C, A27, 'Functional Tests'!N:N, "Passed")+COUNTIFS('Load Tests'!C:C, A27, 'Load Tests'!N:N, "Passed")+COUNTIFS('Safe Vulnerability Checks'!C:C, A27, 'Safe Vulnerability Checks'!N:N, "Passed")</f>
        <v/>
      </c>
      <c r="D27" s="13">
        <f>COUNTIFS('Selenium Tests'!C:C, A27, 'Selenium Tests'!N:N, "Failed")+COUNTIFS('Appium E2E Tests'!C:C, A27, 'Appium E2E Tests'!N:N, "Failed")+COUNTIFS('Flutter Tests'!C:C, A27, 'Flutter Tests'!N:N, "Failed")+COUNTIFS('Functional Tests'!C:C, A27, 'Functional Tests'!N:N, "Failed")+COUNTIFS('Load Tests'!C:C, A27, 'Load Tests'!N:N, "Failed")+COUNTIFS('Safe Vulnerability Checks'!C:C, A27, 'Safe Vulnerability Checks'!N:N, "Failed")</f>
        <v/>
      </c>
      <c r="E27" s="13">
        <f>COUNTIFS('Selenium Tests'!C:C, A27, 'Selenium Tests'!N:N, "Skipped")+COUNTIFS('Appium E2E Tests'!C:C, A27, 'Appium E2E Tests'!N:N, "Skipped")+COUNTIFS('Flutter Tests'!C:C, A27, 'Flutter Tests'!N:N, "Skipped")+COUNTIFS('Functional Tests'!C:C, A27, 'Functional Tests'!N:N, "Skipped")+COUNTIFS('Load Tests'!C:C, A27, 'Load Tests'!N:N, "Skipped")+COUNTIFS('Safe Vulnerability Checks'!C:C, A27, 'Safe Vulnerability Checks'!N:N, "Skipped")</f>
        <v/>
      </c>
      <c r="F27" s="13">
        <f>COUNTIFS('Selenium Tests'!C:C, A27, 'Selenium Tests'!N:N, "Blocked")+COUNTIFS('Appium E2E Tests'!C:C, A27, 'Appium E2E Tests'!N:N, "Blocked")+COUNTIFS('Flutter Tests'!C:C, A27, 'Flutter Tests'!N:N, "Blocked")+COUNTIFS('Functional Tests'!C:C, A27, 'Functional Tests'!N:N, "Blocked")+COUNTIFS('Load Tests'!C:C, A27, 'Load Tests'!N:N, "Blocked")+COUNTIFS('Safe Vulnerability Checks'!C:C, A27, 'Safe Vulnerability Checks'!N:N, "Blocked")</f>
        <v/>
      </c>
      <c r="G27" s="13">
        <f>COUNTIFS('Selenium Tests'!C:C, A27, 'Selenium Tests'!N:N, "Not Executed")+COUNTIFS('Appium E2E Tests'!C:C, A27, 'Appium E2E Tests'!N:N, "Not Executed")+COUNTIFS('Flutter Tests'!C:C, A27, 'Flutter Tests'!N:N, "Not Executed")+COUNTIFS('Functional Tests'!C:C, A27, 'Functional Tests'!N:N, "Not Executed")+COUNTIFS('Load Tests'!C:C, A27, 'Load Tests'!N:N, "Not Executed")+COUNTIFS('Safe Vulnerability Checks'!C:C, A27, 'Safe Vulnerability Checks'!N:N, "Not Executed")</f>
        <v/>
      </c>
    </row>
    <row r="28">
      <c r="A28" s="12" t="inlineStr">
        <is>
          <t>AI Trainer</t>
        </is>
      </c>
      <c r="B28" s="13">
        <f>COUNTIF('Selenium Tests'!C:C, A28)+COUNTIF('Appium E2E Tests'!C:C, A28)+COUNTIF('Flutter Tests'!C:C, A28)+COUNTIF('Functional Tests'!C:C, A28)+COUNTIF('Load Tests'!C:C, A28)+COUNTIF('Safe Vulnerability Checks'!C:C, A28)</f>
        <v/>
      </c>
      <c r="C28" s="13">
        <f>COUNTIFS('Selenium Tests'!C:C, A28, 'Selenium Tests'!N:N, "Passed")+COUNTIFS('Appium E2E Tests'!C:C, A28, 'Appium E2E Tests'!N:N, "Passed")+COUNTIFS('Flutter Tests'!C:C, A28, 'Flutter Tests'!N:N, "Passed")+COUNTIFS('Functional Tests'!C:C, A28, 'Functional Tests'!N:N, "Passed")+COUNTIFS('Load Tests'!C:C, A28, 'Load Tests'!N:N, "Passed")+COUNTIFS('Safe Vulnerability Checks'!C:C, A28, 'Safe Vulnerability Checks'!N:N, "Passed")</f>
        <v/>
      </c>
      <c r="D28" s="13">
        <f>COUNTIFS('Selenium Tests'!C:C, A28, 'Selenium Tests'!N:N, "Failed")+COUNTIFS('Appium E2E Tests'!C:C, A28, 'Appium E2E Tests'!N:N, "Failed")+COUNTIFS('Flutter Tests'!C:C, A28, 'Flutter Tests'!N:N, "Failed")+COUNTIFS('Functional Tests'!C:C, A28, 'Functional Tests'!N:N, "Failed")+COUNTIFS('Load Tests'!C:C, A28, 'Load Tests'!N:N, "Failed")+COUNTIFS('Safe Vulnerability Checks'!C:C, A28, 'Safe Vulnerability Checks'!N:N, "Failed")</f>
        <v/>
      </c>
      <c r="E28" s="13">
        <f>COUNTIFS('Selenium Tests'!C:C, A28, 'Selenium Tests'!N:N, "Skipped")+COUNTIFS('Appium E2E Tests'!C:C, A28, 'Appium E2E Tests'!N:N, "Skipped")+COUNTIFS('Flutter Tests'!C:C, A28, 'Flutter Tests'!N:N, "Skipped")+COUNTIFS('Functional Tests'!C:C, A28, 'Functional Tests'!N:N, "Skipped")+COUNTIFS('Load Tests'!C:C, A28, 'Load Tests'!N:N, "Skipped")+COUNTIFS('Safe Vulnerability Checks'!C:C, A28, 'Safe Vulnerability Checks'!N:N, "Skipped")</f>
        <v/>
      </c>
      <c r="F28" s="13">
        <f>COUNTIFS('Selenium Tests'!C:C, A28, 'Selenium Tests'!N:N, "Blocked")+COUNTIFS('Appium E2E Tests'!C:C, A28, 'Appium E2E Tests'!N:N, "Blocked")+COUNTIFS('Flutter Tests'!C:C, A28, 'Flutter Tests'!N:N, "Blocked")+COUNTIFS('Functional Tests'!C:C, A28, 'Functional Tests'!N:N, "Blocked")+COUNTIFS('Load Tests'!C:C, A28, 'Load Tests'!N:N, "Blocked")+COUNTIFS('Safe Vulnerability Checks'!C:C, A28, 'Safe Vulnerability Checks'!N:N, "Blocked")</f>
        <v/>
      </c>
      <c r="G28" s="13">
        <f>COUNTIFS('Selenium Tests'!C:C, A28, 'Selenium Tests'!N:N, "Not Executed")+COUNTIFS('Appium E2E Tests'!C:C, A28, 'Appium E2E Tests'!N:N, "Not Executed")+COUNTIFS('Flutter Tests'!C:C, A28, 'Flutter Tests'!N:N, "Not Executed")+COUNTIFS('Functional Tests'!C:C, A28, 'Functional Tests'!N:N, "Not Executed")+COUNTIFS('Load Tests'!C:C, A28, 'Load Tests'!N:N, "Not Executed")+COUNTIFS('Safe Vulnerability Checks'!C:C, A28, 'Safe Vulnerability Checks'!N:N, "Not Executed")</f>
        <v/>
      </c>
    </row>
    <row r="29">
      <c r="A29" s="12" t="inlineStr">
        <is>
          <t>Workout Plan</t>
        </is>
      </c>
      <c r="B29" s="13">
        <f>COUNTIF('Selenium Tests'!C:C, A29)+COUNTIF('Appium E2E Tests'!C:C, A29)+COUNTIF('Flutter Tests'!C:C, A29)+COUNTIF('Functional Tests'!C:C, A29)+COUNTIF('Load Tests'!C:C, A29)+COUNTIF('Safe Vulnerability Checks'!C:C, A29)</f>
        <v/>
      </c>
      <c r="C29" s="13">
        <f>COUNTIFS('Selenium Tests'!C:C, A29, 'Selenium Tests'!N:N, "Passed")+COUNTIFS('Appium E2E Tests'!C:C, A29, 'Appium E2E Tests'!N:N, "Passed")+COUNTIFS('Flutter Tests'!C:C, A29, 'Flutter Tests'!N:N, "Passed")+COUNTIFS('Functional Tests'!C:C, A29, 'Functional Tests'!N:N, "Passed")+COUNTIFS('Load Tests'!C:C, A29, 'Load Tests'!N:N, "Passed")+COUNTIFS('Safe Vulnerability Checks'!C:C, A29, 'Safe Vulnerability Checks'!N:N, "Passed")</f>
        <v/>
      </c>
      <c r="D29" s="13">
        <f>COUNTIFS('Selenium Tests'!C:C, A29, 'Selenium Tests'!N:N, "Failed")+COUNTIFS('Appium E2E Tests'!C:C, A29, 'Appium E2E Tests'!N:N, "Failed")+COUNTIFS('Flutter Tests'!C:C, A29, 'Flutter Tests'!N:N, "Failed")+COUNTIFS('Functional Tests'!C:C, A29, 'Functional Tests'!N:N, "Failed")+COUNTIFS('Load Tests'!C:C, A29, 'Load Tests'!N:N, "Failed")+COUNTIFS('Safe Vulnerability Checks'!C:C, A29, 'Safe Vulnerability Checks'!N:N, "Failed")</f>
        <v/>
      </c>
      <c r="E29" s="13">
        <f>COUNTIFS('Selenium Tests'!C:C, A29, 'Selenium Tests'!N:N, "Skipped")+COUNTIFS('Appium E2E Tests'!C:C, A29, 'Appium E2E Tests'!N:N, "Skipped")+COUNTIFS('Flutter Tests'!C:C, A29, 'Flutter Tests'!N:N, "Skipped")+COUNTIFS('Functional Tests'!C:C, A29, 'Functional Tests'!N:N, "Skipped")+COUNTIFS('Load Tests'!C:C, A29, 'Load Tests'!N:N, "Skipped")+COUNTIFS('Safe Vulnerability Checks'!C:C, A29, 'Safe Vulnerability Checks'!N:N, "Skipped")</f>
        <v/>
      </c>
      <c r="F29" s="13">
        <f>COUNTIFS('Selenium Tests'!C:C, A29, 'Selenium Tests'!N:N, "Blocked")+COUNTIFS('Appium E2E Tests'!C:C, A29, 'Appium E2E Tests'!N:N, "Blocked")+COUNTIFS('Flutter Tests'!C:C, A29, 'Flutter Tests'!N:N, "Blocked")+COUNTIFS('Functional Tests'!C:C, A29, 'Functional Tests'!N:N, "Blocked")+COUNTIFS('Load Tests'!C:C, A29, 'Load Tests'!N:N, "Blocked")+COUNTIFS('Safe Vulnerability Checks'!C:C, A29, 'Safe Vulnerability Checks'!N:N, "Blocked")</f>
        <v/>
      </c>
      <c r="G29" s="13">
        <f>COUNTIFS('Selenium Tests'!C:C, A29, 'Selenium Tests'!N:N, "Not Executed")+COUNTIFS('Appium E2E Tests'!C:C, A29, 'Appium E2E Tests'!N:N, "Not Executed")+COUNTIFS('Flutter Tests'!C:C, A29, 'Flutter Tests'!N:N, "Not Executed")+COUNTIFS('Functional Tests'!C:C, A29, 'Functional Tests'!N:N, "Not Executed")+COUNTIFS('Load Tests'!C:C, A29, 'Load Tests'!N:N, "Not Executed")+COUNTIFS('Safe Vulnerability Checks'!C:C, A29, 'Safe Vulnerability Checks'!N:N, "Not Executed")</f>
        <v/>
      </c>
    </row>
    <row r="30">
      <c r="A30" s="12" t="inlineStr">
        <is>
          <t>Diet Plan</t>
        </is>
      </c>
      <c r="B30" s="13">
        <f>COUNTIF('Selenium Tests'!C:C, A30)+COUNTIF('Appium E2E Tests'!C:C, A30)+COUNTIF('Flutter Tests'!C:C, A30)+COUNTIF('Functional Tests'!C:C, A30)+COUNTIF('Load Tests'!C:C, A30)+COUNTIF('Safe Vulnerability Checks'!C:C, A30)</f>
        <v/>
      </c>
      <c r="C30" s="13">
        <f>COUNTIFS('Selenium Tests'!C:C, A30, 'Selenium Tests'!N:N, "Passed")+COUNTIFS('Appium E2E Tests'!C:C, A30, 'Appium E2E Tests'!N:N, "Passed")+COUNTIFS('Flutter Tests'!C:C, A30, 'Flutter Tests'!N:N, "Passed")+COUNTIFS('Functional Tests'!C:C, A30, 'Functional Tests'!N:N, "Passed")+COUNTIFS('Load Tests'!C:C, A30, 'Load Tests'!N:N, "Passed")+COUNTIFS('Safe Vulnerability Checks'!C:C, A30, 'Safe Vulnerability Checks'!N:N, "Passed")</f>
        <v/>
      </c>
      <c r="D30" s="13">
        <f>COUNTIFS('Selenium Tests'!C:C, A30, 'Selenium Tests'!N:N, "Failed")+COUNTIFS('Appium E2E Tests'!C:C, A30, 'Appium E2E Tests'!N:N, "Failed")+COUNTIFS('Flutter Tests'!C:C, A30, 'Flutter Tests'!N:N, "Failed")+COUNTIFS('Functional Tests'!C:C, A30, 'Functional Tests'!N:N, "Failed")+COUNTIFS('Load Tests'!C:C, A30, 'Load Tests'!N:N, "Failed")+COUNTIFS('Safe Vulnerability Checks'!C:C, A30, 'Safe Vulnerability Checks'!N:N, "Failed")</f>
        <v/>
      </c>
      <c r="E30" s="13">
        <f>COUNTIFS('Selenium Tests'!C:C, A30, 'Selenium Tests'!N:N, "Skipped")+COUNTIFS('Appium E2E Tests'!C:C, A30, 'Appium E2E Tests'!N:N, "Skipped")+COUNTIFS('Flutter Tests'!C:C, A30, 'Flutter Tests'!N:N, "Skipped")+COUNTIFS('Functional Tests'!C:C, A30, 'Functional Tests'!N:N, "Skipped")+COUNTIFS('Load Tests'!C:C, A30, 'Load Tests'!N:N, "Skipped")+COUNTIFS('Safe Vulnerability Checks'!C:C, A30, 'Safe Vulnerability Checks'!N:N, "Skipped")</f>
        <v/>
      </c>
      <c r="F30" s="13">
        <f>COUNTIFS('Selenium Tests'!C:C, A30, 'Selenium Tests'!N:N, "Blocked")+COUNTIFS('Appium E2E Tests'!C:C, A30, 'Appium E2E Tests'!N:N, "Blocked")+COUNTIFS('Flutter Tests'!C:C, A30, 'Flutter Tests'!N:N, "Blocked")+COUNTIFS('Functional Tests'!C:C, A30, 'Functional Tests'!N:N, "Blocked")+COUNTIFS('Load Tests'!C:C, A30, 'Load Tests'!N:N, "Blocked")+COUNTIFS('Safe Vulnerability Checks'!C:C, A30, 'Safe Vulnerability Checks'!N:N, "Blocked")</f>
        <v/>
      </c>
      <c r="G30" s="13">
        <f>COUNTIFS('Selenium Tests'!C:C, A30, 'Selenium Tests'!N:N, "Not Executed")+COUNTIFS('Appium E2E Tests'!C:C, A30, 'Appium E2E Tests'!N:N, "Not Executed")+COUNTIFS('Flutter Tests'!C:C, A30, 'Flutter Tests'!N:N, "Not Executed")+COUNTIFS('Functional Tests'!C:C, A30, 'Functional Tests'!N:N, "Not Executed")+COUNTIFS('Load Tests'!C:C, A30, 'Load Tests'!N:N, "Not Executed")+COUNTIFS('Safe Vulnerability Checks'!C:C, A30, 'Safe Vulnerability Checks'!N:N, "Not Executed")</f>
        <v/>
      </c>
    </row>
    <row r="31">
      <c r="A31" s="12" t="inlineStr">
        <is>
          <t>Budget Diet Plan</t>
        </is>
      </c>
      <c r="B31" s="13">
        <f>COUNTIF('Selenium Tests'!C:C, A31)+COUNTIF('Appium E2E Tests'!C:C, A31)+COUNTIF('Flutter Tests'!C:C, A31)+COUNTIF('Functional Tests'!C:C, A31)+COUNTIF('Load Tests'!C:C, A31)+COUNTIF('Safe Vulnerability Checks'!C:C, A31)</f>
        <v/>
      </c>
      <c r="C31" s="13">
        <f>COUNTIFS('Selenium Tests'!C:C, A31, 'Selenium Tests'!N:N, "Passed")+COUNTIFS('Appium E2E Tests'!C:C, A31, 'Appium E2E Tests'!N:N, "Passed")+COUNTIFS('Flutter Tests'!C:C, A31, 'Flutter Tests'!N:N, "Passed")+COUNTIFS('Functional Tests'!C:C, A31, 'Functional Tests'!N:N, "Passed")+COUNTIFS('Load Tests'!C:C, A31, 'Load Tests'!N:N, "Passed")+COUNTIFS('Safe Vulnerability Checks'!C:C, A31, 'Safe Vulnerability Checks'!N:N, "Passed")</f>
        <v/>
      </c>
      <c r="D31" s="13">
        <f>COUNTIFS('Selenium Tests'!C:C, A31, 'Selenium Tests'!N:N, "Failed")+COUNTIFS('Appium E2E Tests'!C:C, A31, 'Appium E2E Tests'!N:N, "Failed")+COUNTIFS('Flutter Tests'!C:C, A31, 'Flutter Tests'!N:N, "Failed")+COUNTIFS('Functional Tests'!C:C, A31, 'Functional Tests'!N:N, "Failed")+COUNTIFS('Load Tests'!C:C, A31, 'Load Tests'!N:N, "Failed")+COUNTIFS('Safe Vulnerability Checks'!C:C, A31, 'Safe Vulnerability Checks'!N:N, "Failed")</f>
        <v/>
      </c>
      <c r="E31" s="13">
        <f>COUNTIFS('Selenium Tests'!C:C, A31, 'Selenium Tests'!N:N, "Skipped")+COUNTIFS('Appium E2E Tests'!C:C, A31, 'Appium E2E Tests'!N:N, "Skipped")+COUNTIFS('Flutter Tests'!C:C, A31, 'Flutter Tests'!N:N, "Skipped")+COUNTIFS('Functional Tests'!C:C, A31, 'Functional Tests'!N:N, "Skipped")+COUNTIFS('Load Tests'!C:C, A31, 'Load Tests'!N:N, "Skipped")+COUNTIFS('Safe Vulnerability Checks'!C:C, A31, 'Safe Vulnerability Checks'!N:N, "Skipped")</f>
        <v/>
      </c>
      <c r="F31" s="13">
        <f>COUNTIFS('Selenium Tests'!C:C, A31, 'Selenium Tests'!N:N, "Blocked")+COUNTIFS('Appium E2E Tests'!C:C, A31, 'Appium E2E Tests'!N:N, "Blocked")+COUNTIFS('Flutter Tests'!C:C, A31, 'Flutter Tests'!N:N, "Blocked")+COUNTIFS('Functional Tests'!C:C, A31, 'Functional Tests'!N:N, "Blocked")+COUNTIFS('Load Tests'!C:C, A31, 'Load Tests'!N:N, "Blocked")+COUNTIFS('Safe Vulnerability Checks'!C:C, A31, 'Safe Vulnerability Checks'!N:N, "Blocked")</f>
        <v/>
      </c>
      <c r="G31" s="13">
        <f>COUNTIFS('Selenium Tests'!C:C, A31, 'Selenium Tests'!N:N, "Not Executed")+COUNTIFS('Appium E2E Tests'!C:C, A31, 'Appium E2E Tests'!N:N, "Not Executed")+COUNTIFS('Flutter Tests'!C:C, A31, 'Flutter Tests'!N:N, "Not Executed")+COUNTIFS('Functional Tests'!C:C, A31, 'Functional Tests'!N:N, "Not Executed")+COUNTIFS('Load Tests'!C:C, A31, 'Load Tests'!N:N, "Not Executed")+COUNTIFS('Safe Vulnerability Checks'!C:C, A31, 'Safe Vulnerability Checks'!N:N, "Not Executed")</f>
        <v/>
      </c>
    </row>
    <row r="32">
      <c r="A32" s="12" t="inlineStr">
        <is>
          <t>Stretching and Warm-up</t>
        </is>
      </c>
      <c r="B32" s="13">
        <f>COUNTIF('Selenium Tests'!C:C, A32)+COUNTIF('Appium E2E Tests'!C:C, A32)+COUNTIF('Flutter Tests'!C:C, A32)+COUNTIF('Functional Tests'!C:C, A32)+COUNTIF('Load Tests'!C:C, A32)+COUNTIF('Safe Vulnerability Checks'!C:C, A32)</f>
        <v/>
      </c>
      <c r="C32" s="13">
        <f>COUNTIFS('Selenium Tests'!C:C, A32, 'Selenium Tests'!N:N, "Passed")+COUNTIFS('Appium E2E Tests'!C:C, A32, 'Appium E2E Tests'!N:N, "Passed")+COUNTIFS('Flutter Tests'!C:C, A32, 'Flutter Tests'!N:N, "Passed")+COUNTIFS('Functional Tests'!C:C, A32, 'Functional Tests'!N:N, "Passed")+COUNTIFS('Load Tests'!C:C, A32, 'Load Tests'!N:N, "Passed")+COUNTIFS('Safe Vulnerability Checks'!C:C, A32, 'Safe Vulnerability Checks'!N:N, "Passed")</f>
        <v/>
      </c>
      <c r="D32" s="13">
        <f>COUNTIFS('Selenium Tests'!C:C, A32, 'Selenium Tests'!N:N, "Failed")+COUNTIFS('Appium E2E Tests'!C:C, A32, 'Appium E2E Tests'!N:N, "Failed")+COUNTIFS('Flutter Tests'!C:C, A32, 'Flutter Tests'!N:N, "Failed")+COUNTIFS('Functional Tests'!C:C, A32, 'Functional Tests'!N:N, "Failed")+COUNTIFS('Load Tests'!C:C, A32, 'Load Tests'!N:N, "Failed")+COUNTIFS('Safe Vulnerability Checks'!C:C, A32, 'Safe Vulnerability Checks'!N:N, "Failed")</f>
        <v/>
      </c>
      <c r="E32" s="13">
        <f>COUNTIFS('Selenium Tests'!C:C, A32, 'Selenium Tests'!N:N, "Skipped")+COUNTIFS('Appium E2E Tests'!C:C, A32, 'Appium E2E Tests'!N:N, "Skipped")+COUNTIFS('Flutter Tests'!C:C, A32, 'Flutter Tests'!N:N, "Skipped")+COUNTIFS('Functional Tests'!C:C, A32, 'Functional Tests'!N:N, "Skipped")+COUNTIFS('Load Tests'!C:C, A32, 'Load Tests'!N:N, "Skipped")+COUNTIFS('Safe Vulnerability Checks'!C:C, A32, 'Safe Vulnerability Checks'!N:N, "Skipped")</f>
        <v/>
      </c>
      <c r="F32" s="13">
        <f>COUNTIFS('Selenium Tests'!C:C, A32, 'Selenium Tests'!N:N, "Blocked")+COUNTIFS('Appium E2E Tests'!C:C, A32, 'Appium E2E Tests'!N:N, "Blocked")+COUNTIFS('Flutter Tests'!C:C, A32, 'Flutter Tests'!N:N, "Blocked")+COUNTIFS('Functional Tests'!C:C, A32, 'Functional Tests'!N:N, "Blocked")+COUNTIFS('Load Tests'!C:C, A32, 'Load Tests'!N:N, "Blocked")+COUNTIFS('Safe Vulnerability Checks'!C:C, A32, 'Safe Vulnerability Checks'!N:N, "Blocked")</f>
        <v/>
      </c>
      <c r="G32" s="13">
        <f>COUNTIFS('Selenium Tests'!C:C, A32, 'Selenium Tests'!N:N, "Not Executed")+COUNTIFS('Appium E2E Tests'!C:C, A32, 'Appium E2E Tests'!N:N, "Not Executed")+COUNTIFS('Flutter Tests'!C:C, A32, 'Flutter Tests'!N:N, "Not Executed")+COUNTIFS('Functional Tests'!C:C, A32, 'Functional Tests'!N:N, "Not Executed")+COUNTIFS('Load Tests'!C:C, A32, 'Load Tests'!N:N, "Not Executed")+COUNTIFS('Safe Vulnerability Checks'!C:C, A32, 'Safe Vulnerability Checks'!N:N, "Not Executed")</f>
        <v/>
      </c>
    </row>
    <row r="33">
      <c r="A33" s="12" t="inlineStr">
        <is>
          <t>Water Tracker</t>
        </is>
      </c>
      <c r="B33" s="13">
        <f>COUNTIF('Selenium Tests'!C:C, A33)+COUNTIF('Appium E2E Tests'!C:C, A33)+COUNTIF('Flutter Tests'!C:C, A33)+COUNTIF('Functional Tests'!C:C, A33)+COUNTIF('Load Tests'!C:C, A33)+COUNTIF('Safe Vulnerability Checks'!C:C, A33)</f>
        <v/>
      </c>
      <c r="C33" s="13">
        <f>COUNTIFS('Selenium Tests'!C:C, A33, 'Selenium Tests'!N:N, "Passed")+COUNTIFS('Appium E2E Tests'!C:C, A33, 'Appium E2E Tests'!N:N, "Passed")+COUNTIFS('Flutter Tests'!C:C, A33, 'Flutter Tests'!N:N, "Passed")+COUNTIFS('Functional Tests'!C:C, A33, 'Functional Tests'!N:N, "Passed")+COUNTIFS('Load Tests'!C:C, A33, 'Load Tests'!N:N, "Passed")+COUNTIFS('Safe Vulnerability Checks'!C:C, A33, 'Safe Vulnerability Checks'!N:N, "Passed")</f>
        <v/>
      </c>
      <c r="D33" s="13">
        <f>COUNTIFS('Selenium Tests'!C:C, A33, 'Selenium Tests'!N:N, "Failed")+COUNTIFS('Appium E2E Tests'!C:C, A33, 'Appium E2E Tests'!N:N, "Failed")+COUNTIFS('Flutter Tests'!C:C, A33, 'Flutter Tests'!N:N, "Failed")+COUNTIFS('Functional Tests'!C:C, A33, 'Functional Tests'!N:N, "Failed")+COUNTIFS('Load Tests'!C:C, A33, 'Load Tests'!N:N, "Failed")+COUNTIFS('Safe Vulnerability Checks'!C:C, A33, 'Safe Vulnerability Checks'!N:N, "Failed")</f>
        <v/>
      </c>
      <c r="E33" s="13">
        <f>COUNTIFS('Selenium Tests'!C:C, A33, 'Selenium Tests'!N:N, "Skipped")+COUNTIFS('Appium E2E Tests'!C:C, A33, 'Appium E2E Tests'!N:N, "Skipped")+COUNTIFS('Flutter Tests'!C:C, A33, 'Flutter Tests'!N:N, "Skipped")+COUNTIFS('Functional Tests'!C:C, A33, 'Functional Tests'!N:N, "Skipped")+COUNTIFS('Load Tests'!C:C, A33, 'Load Tests'!N:N, "Skipped")+COUNTIFS('Safe Vulnerability Checks'!C:C, A33, 'Safe Vulnerability Checks'!N:N, "Skipped")</f>
        <v/>
      </c>
      <c r="F33" s="13">
        <f>COUNTIFS('Selenium Tests'!C:C, A33, 'Selenium Tests'!N:N, "Blocked")+COUNTIFS('Appium E2E Tests'!C:C, A33, 'Appium E2E Tests'!N:N, "Blocked")+COUNTIFS('Flutter Tests'!C:C, A33, 'Flutter Tests'!N:N, "Blocked")+COUNTIFS('Functional Tests'!C:C, A33, 'Functional Tests'!N:N, "Blocked")+COUNTIFS('Load Tests'!C:C, A33, 'Load Tests'!N:N, "Blocked")+COUNTIFS('Safe Vulnerability Checks'!C:C, A33, 'Safe Vulnerability Checks'!N:N, "Blocked")</f>
        <v/>
      </c>
      <c r="G33" s="13">
        <f>COUNTIFS('Selenium Tests'!C:C, A33, 'Selenium Tests'!N:N, "Not Executed")+COUNTIFS('Appium E2E Tests'!C:C, A33, 'Appium E2E Tests'!N:N, "Not Executed")+COUNTIFS('Flutter Tests'!C:C, A33, 'Flutter Tests'!N:N, "Not Executed")+COUNTIFS('Functional Tests'!C:C, A33, 'Functional Tests'!N:N, "Not Executed")+COUNTIFS('Load Tests'!C:C, A33, 'Load Tests'!N:N, "Not Executed")+COUNTIFS('Safe Vulnerability Checks'!C:C, A33, 'Safe Vulnerability Checks'!N:N, "Not Executed")</f>
        <v/>
      </c>
    </row>
    <row r="34">
      <c r="A34" s="12" t="inlineStr">
        <is>
          <t>Sleep Tracker</t>
        </is>
      </c>
      <c r="B34" s="13">
        <f>COUNTIF('Selenium Tests'!C:C, A34)+COUNTIF('Appium E2E Tests'!C:C, A34)+COUNTIF('Flutter Tests'!C:C, A34)+COUNTIF('Functional Tests'!C:C, A34)+COUNTIF('Load Tests'!C:C, A34)+COUNTIF('Safe Vulnerability Checks'!C:C, A34)</f>
        <v/>
      </c>
      <c r="C34" s="13">
        <f>COUNTIFS('Selenium Tests'!C:C, A34, 'Selenium Tests'!N:N, "Passed")+COUNTIFS('Appium E2E Tests'!C:C, A34, 'Appium E2E Tests'!N:N, "Passed")+COUNTIFS('Flutter Tests'!C:C, A34, 'Flutter Tests'!N:N, "Passed")+COUNTIFS('Functional Tests'!C:C, A34, 'Functional Tests'!N:N, "Passed")+COUNTIFS('Load Tests'!C:C, A34, 'Load Tests'!N:N, "Passed")+COUNTIFS('Safe Vulnerability Checks'!C:C, A34, 'Safe Vulnerability Checks'!N:N, "Passed")</f>
        <v/>
      </c>
      <c r="D34" s="13">
        <f>COUNTIFS('Selenium Tests'!C:C, A34, 'Selenium Tests'!N:N, "Failed")+COUNTIFS('Appium E2E Tests'!C:C, A34, 'Appium E2E Tests'!N:N, "Failed")+COUNTIFS('Flutter Tests'!C:C, A34, 'Flutter Tests'!N:N, "Failed")+COUNTIFS('Functional Tests'!C:C, A34, 'Functional Tests'!N:N, "Failed")+COUNTIFS('Load Tests'!C:C, A34, 'Load Tests'!N:N, "Failed")+COUNTIFS('Safe Vulnerability Checks'!C:C, A34, 'Safe Vulnerability Checks'!N:N, "Failed")</f>
        <v/>
      </c>
      <c r="E34" s="13">
        <f>COUNTIFS('Selenium Tests'!C:C, A34, 'Selenium Tests'!N:N, "Skipped")+COUNTIFS('Appium E2E Tests'!C:C, A34, 'Appium E2E Tests'!N:N, "Skipped")+COUNTIFS('Flutter Tests'!C:C, A34, 'Flutter Tests'!N:N, "Skipped")+COUNTIFS('Functional Tests'!C:C, A34, 'Functional Tests'!N:N, "Skipped")+COUNTIFS('Load Tests'!C:C, A34, 'Load Tests'!N:N, "Skipped")+COUNTIFS('Safe Vulnerability Checks'!C:C, A34, 'Safe Vulnerability Checks'!N:N, "Skipped")</f>
        <v/>
      </c>
      <c r="F34" s="13">
        <f>COUNTIFS('Selenium Tests'!C:C, A34, 'Selenium Tests'!N:N, "Blocked")+COUNTIFS('Appium E2E Tests'!C:C, A34, 'Appium E2E Tests'!N:N, "Blocked")+COUNTIFS('Flutter Tests'!C:C, A34, 'Flutter Tests'!N:N, "Blocked")+COUNTIFS('Functional Tests'!C:C, A34, 'Functional Tests'!N:N, "Blocked")+COUNTIFS('Load Tests'!C:C, A34, 'Load Tests'!N:N, "Blocked")+COUNTIFS('Safe Vulnerability Checks'!C:C, A34, 'Safe Vulnerability Checks'!N:N, "Blocked")</f>
        <v/>
      </c>
      <c r="G34" s="13">
        <f>COUNTIFS('Selenium Tests'!C:C, A34, 'Selenium Tests'!N:N, "Not Executed")+COUNTIFS('Appium E2E Tests'!C:C, A34, 'Appium E2E Tests'!N:N, "Not Executed")+COUNTIFS('Flutter Tests'!C:C, A34, 'Flutter Tests'!N:N, "Not Executed")+COUNTIFS('Functional Tests'!C:C, A34, 'Functional Tests'!N:N, "Not Executed")+COUNTIFS('Load Tests'!C:C, A34, 'Load Tests'!N:N, "Not Executed")+COUNTIFS('Safe Vulnerability Checks'!C:C, A34, 'Safe Vulnerability Checks'!N:N, "Not Executed")</f>
        <v/>
      </c>
    </row>
    <row r="35">
      <c r="A35" s="12" t="inlineStr">
        <is>
          <t>Step Tracker</t>
        </is>
      </c>
      <c r="B35" s="13">
        <f>COUNTIF('Selenium Tests'!C:C, A35)+COUNTIF('Appium E2E Tests'!C:C, A35)+COUNTIF('Flutter Tests'!C:C, A35)+COUNTIF('Functional Tests'!C:C, A35)+COUNTIF('Load Tests'!C:C, A35)+COUNTIF('Safe Vulnerability Checks'!C:C, A35)</f>
        <v/>
      </c>
      <c r="C35" s="13">
        <f>COUNTIFS('Selenium Tests'!C:C, A35, 'Selenium Tests'!N:N, "Passed")+COUNTIFS('Appium E2E Tests'!C:C, A35, 'Appium E2E Tests'!N:N, "Passed")+COUNTIFS('Flutter Tests'!C:C, A35, 'Flutter Tests'!N:N, "Passed")+COUNTIFS('Functional Tests'!C:C, A35, 'Functional Tests'!N:N, "Passed")+COUNTIFS('Load Tests'!C:C, A35, 'Load Tests'!N:N, "Passed")+COUNTIFS('Safe Vulnerability Checks'!C:C, A35, 'Safe Vulnerability Checks'!N:N, "Passed")</f>
        <v/>
      </c>
      <c r="D35" s="13">
        <f>COUNTIFS('Selenium Tests'!C:C, A35, 'Selenium Tests'!N:N, "Failed")+COUNTIFS('Appium E2E Tests'!C:C, A35, 'Appium E2E Tests'!N:N, "Failed")+COUNTIFS('Flutter Tests'!C:C, A35, 'Flutter Tests'!N:N, "Failed")+COUNTIFS('Functional Tests'!C:C, A35, 'Functional Tests'!N:N, "Failed")+COUNTIFS('Load Tests'!C:C, A35, 'Load Tests'!N:N, "Failed")+COUNTIFS('Safe Vulnerability Checks'!C:C, A35, 'Safe Vulnerability Checks'!N:N, "Failed")</f>
        <v/>
      </c>
      <c r="E35" s="13">
        <f>COUNTIFS('Selenium Tests'!C:C, A35, 'Selenium Tests'!N:N, "Skipped")+COUNTIFS('Appium E2E Tests'!C:C, A35, 'Appium E2E Tests'!N:N, "Skipped")+COUNTIFS('Flutter Tests'!C:C, A35, 'Flutter Tests'!N:N, "Skipped")+COUNTIFS('Functional Tests'!C:C, A35, 'Functional Tests'!N:N, "Skipped")+COUNTIFS('Load Tests'!C:C, A35, 'Load Tests'!N:N, "Skipped")+COUNTIFS('Safe Vulnerability Checks'!C:C, A35, 'Safe Vulnerability Checks'!N:N, "Skipped")</f>
        <v/>
      </c>
      <c r="F35" s="13">
        <f>COUNTIFS('Selenium Tests'!C:C, A35, 'Selenium Tests'!N:N, "Blocked")+COUNTIFS('Appium E2E Tests'!C:C, A35, 'Appium E2E Tests'!N:N, "Blocked")+COUNTIFS('Flutter Tests'!C:C, A35, 'Flutter Tests'!N:N, "Blocked")+COUNTIFS('Functional Tests'!C:C, A35, 'Functional Tests'!N:N, "Blocked")+COUNTIFS('Load Tests'!C:C, A35, 'Load Tests'!N:N, "Blocked")+COUNTIFS('Safe Vulnerability Checks'!C:C, A35, 'Safe Vulnerability Checks'!N:N, "Blocked")</f>
        <v/>
      </c>
      <c r="G35" s="13">
        <f>COUNTIFS('Selenium Tests'!C:C, A35, 'Selenium Tests'!N:N, "Not Executed")+COUNTIFS('Appium E2E Tests'!C:C, A35, 'Appium E2E Tests'!N:N, "Not Executed")+COUNTIFS('Flutter Tests'!C:C, A35, 'Flutter Tests'!N:N, "Not Executed")+COUNTIFS('Functional Tests'!C:C, A35, 'Functional Tests'!N:N, "Not Executed")+COUNTIFS('Load Tests'!C:C, A35, 'Load Tests'!N:N, "Not Executed")+COUNTIFS('Safe Vulnerability Checks'!C:C, A35, 'Safe Vulnerability Checks'!N:N, "Not Executed")</f>
        <v/>
      </c>
    </row>
    <row r="36">
      <c r="A36" s="12" t="inlineStr">
        <is>
          <t>Calorie Calculator</t>
        </is>
      </c>
      <c r="B36" s="13">
        <f>COUNTIF('Selenium Tests'!C:C, A36)+COUNTIF('Appium E2E Tests'!C:C, A36)+COUNTIF('Flutter Tests'!C:C, A36)+COUNTIF('Functional Tests'!C:C, A36)+COUNTIF('Load Tests'!C:C, A36)+COUNTIF('Safe Vulnerability Checks'!C:C, A36)</f>
        <v/>
      </c>
      <c r="C36" s="13">
        <f>COUNTIFS('Selenium Tests'!C:C, A36, 'Selenium Tests'!N:N, "Passed")+COUNTIFS('Appium E2E Tests'!C:C, A36, 'Appium E2E Tests'!N:N, "Passed")+COUNTIFS('Flutter Tests'!C:C, A36, 'Flutter Tests'!N:N, "Passed")+COUNTIFS('Functional Tests'!C:C, A36, 'Functional Tests'!N:N, "Passed")+COUNTIFS('Load Tests'!C:C, A36, 'Load Tests'!N:N, "Passed")+COUNTIFS('Safe Vulnerability Checks'!C:C, A36, 'Safe Vulnerability Checks'!N:N, "Passed")</f>
        <v/>
      </c>
      <c r="D36" s="13">
        <f>COUNTIFS('Selenium Tests'!C:C, A36, 'Selenium Tests'!N:N, "Failed")+COUNTIFS('Appium E2E Tests'!C:C, A36, 'Appium E2E Tests'!N:N, "Failed")+COUNTIFS('Flutter Tests'!C:C, A36, 'Flutter Tests'!N:N, "Failed")+COUNTIFS('Functional Tests'!C:C, A36, 'Functional Tests'!N:N, "Failed")+COUNTIFS('Load Tests'!C:C, A36, 'Load Tests'!N:N, "Failed")+COUNTIFS('Safe Vulnerability Checks'!C:C, A36, 'Safe Vulnerability Checks'!N:N, "Failed")</f>
        <v/>
      </c>
      <c r="E36" s="13">
        <f>COUNTIFS('Selenium Tests'!C:C, A36, 'Selenium Tests'!N:N, "Skipped")+COUNTIFS('Appium E2E Tests'!C:C, A36, 'Appium E2E Tests'!N:N, "Skipped")+COUNTIFS('Flutter Tests'!C:C, A36, 'Flutter Tests'!N:N, "Skipped")+COUNTIFS('Functional Tests'!C:C, A36, 'Functional Tests'!N:N, "Skipped")+COUNTIFS('Load Tests'!C:C, A36, 'Load Tests'!N:N, "Skipped")+COUNTIFS('Safe Vulnerability Checks'!C:C, A36, 'Safe Vulnerability Checks'!N:N, "Skipped")</f>
        <v/>
      </c>
      <c r="F36" s="13">
        <f>COUNTIFS('Selenium Tests'!C:C, A36, 'Selenium Tests'!N:N, "Blocked")+COUNTIFS('Appium E2E Tests'!C:C, A36, 'Appium E2E Tests'!N:N, "Blocked")+COUNTIFS('Flutter Tests'!C:C, A36, 'Flutter Tests'!N:N, "Blocked")+COUNTIFS('Functional Tests'!C:C, A36, 'Functional Tests'!N:N, "Blocked")+COUNTIFS('Load Tests'!C:C, A36, 'Load Tests'!N:N, "Blocked")+COUNTIFS('Safe Vulnerability Checks'!C:C, A36, 'Safe Vulnerability Checks'!N:N, "Blocked")</f>
        <v/>
      </c>
      <c r="G36" s="13">
        <f>COUNTIFS('Selenium Tests'!C:C, A36, 'Selenium Tests'!N:N, "Not Executed")+COUNTIFS('Appium E2E Tests'!C:C, A36, 'Appium E2E Tests'!N:N, "Not Executed")+COUNTIFS('Flutter Tests'!C:C, A36, 'Flutter Tests'!N:N, "Not Executed")+COUNTIFS('Functional Tests'!C:C, A36, 'Functional Tests'!N:N, "Not Executed")+COUNTIFS('Load Tests'!C:C, A36, 'Load Tests'!N:N, "Not Executed")+COUNTIFS('Safe Vulnerability Checks'!C:C, A36, 'Safe Vulnerability Checks'!N:N, "Not Executed")</f>
        <v/>
      </c>
    </row>
    <row r="37">
      <c r="A37" s="12" t="inlineStr">
        <is>
          <t>Meal Reminder</t>
        </is>
      </c>
      <c r="B37" s="13">
        <f>COUNTIF('Selenium Tests'!C:C, A37)+COUNTIF('Appium E2E Tests'!C:C, A37)+COUNTIF('Flutter Tests'!C:C, A37)+COUNTIF('Functional Tests'!C:C, A37)+COUNTIF('Load Tests'!C:C, A37)+COUNTIF('Safe Vulnerability Checks'!C:C, A37)</f>
        <v/>
      </c>
      <c r="C37" s="13">
        <f>COUNTIFS('Selenium Tests'!C:C, A37, 'Selenium Tests'!N:N, "Passed")+COUNTIFS('Appium E2E Tests'!C:C, A37, 'Appium E2E Tests'!N:N, "Passed")+COUNTIFS('Flutter Tests'!C:C, A37, 'Flutter Tests'!N:N, "Passed")+COUNTIFS('Functional Tests'!C:C, A37, 'Functional Tests'!N:N, "Passed")+COUNTIFS('Load Tests'!C:C, A37, 'Load Tests'!N:N, "Passed")+COUNTIFS('Safe Vulnerability Checks'!C:C, A37, 'Safe Vulnerability Checks'!N:N, "Passed")</f>
        <v/>
      </c>
      <c r="D37" s="13">
        <f>COUNTIFS('Selenium Tests'!C:C, A37, 'Selenium Tests'!N:N, "Failed")+COUNTIFS('Appium E2E Tests'!C:C, A37, 'Appium E2E Tests'!N:N, "Failed")+COUNTIFS('Flutter Tests'!C:C, A37, 'Flutter Tests'!N:N, "Failed")+COUNTIFS('Functional Tests'!C:C, A37, 'Functional Tests'!N:N, "Failed")+COUNTIFS('Load Tests'!C:C, A37, 'Load Tests'!N:N, "Failed")+COUNTIFS('Safe Vulnerability Checks'!C:C, A37, 'Safe Vulnerability Checks'!N:N, "Failed")</f>
        <v/>
      </c>
      <c r="E37" s="13">
        <f>COUNTIFS('Selenium Tests'!C:C, A37, 'Selenium Tests'!N:N, "Skipped")+COUNTIFS('Appium E2E Tests'!C:C, A37, 'Appium E2E Tests'!N:N, "Skipped")+COUNTIFS('Flutter Tests'!C:C, A37, 'Flutter Tests'!N:N, "Skipped")+COUNTIFS('Functional Tests'!C:C, A37, 'Functional Tests'!N:N, "Skipped")+COUNTIFS('Load Tests'!C:C, A37, 'Load Tests'!N:N, "Skipped")+COUNTIFS('Safe Vulnerability Checks'!C:C, A37, 'Safe Vulnerability Checks'!N:N, "Skipped")</f>
        <v/>
      </c>
      <c r="F37" s="13">
        <f>COUNTIFS('Selenium Tests'!C:C, A37, 'Selenium Tests'!N:N, "Blocked")+COUNTIFS('Appium E2E Tests'!C:C, A37, 'Appium E2E Tests'!N:N, "Blocked")+COUNTIFS('Flutter Tests'!C:C, A37, 'Flutter Tests'!N:N, "Blocked")+COUNTIFS('Functional Tests'!C:C, A37, 'Functional Tests'!N:N, "Blocked")+COUNTIFS('Load Tests'!C:C, A37, 'Load Tests'!N:N, "Blocked")+COUNTIFS('Safe Vulnerability Checks'!C:C, A37, 'Safe Vulnerability Checks'!N:N, "Blocked")</f>
        <v/>
      </c>
      <c r="G37" s="13">
        <f>COUNTIFS('Selenium Tests'!C:C, A37, 'Selenium Tests'!N:N, "Not Executed")+COUNTIFS('Appium E2E Tests'!C:C, A37, 'Appium E2E Tests'!N:N, "Not Executed")+COUNTIFS('Flutter Tests'!C:C, A37, 'Flutter Tests'!N:N, "Not Executed")+COUNTIFS('Functional Tests'!C:C, A37, 'Functional Tests'!N:N, "Not Executed")+COUNTIFS('Load Tests'!C:C, A37, 'Load Tests'!N:N, "Not Executed")+COUNTIFS('Safe Vulnerability Checks'!C:C, A37, 'Safe Vulnerability Checks'!N:N, "Not Executed")</f>
        <v/>
      </c>
    </row>
    <row r="38">
      <c r="A38" s="12" t="inlineStr">
        <is>
          <t>Notifications</t>
        </is>
      </c>
      <c r="B38" s="13">
        <f>COUNTIF('Selenium Tests'!C:C, A38)+COUNTIF('Appium E2E Tests'!C:C, A38)+COUNTIF('Flutter Tests'!C:C, A38)+COUNTIF('Functional Tests'!C:C, A38)+COUNTIF('Load Tests'!C:C, A38)+COUNTIF('Safe Vulnerability Checks'!C:C, A38)</f>
        <v/>
      </c>
      <c r="C38" s="13">
        <f>COUNTIFS('Selenium Tests'!C:C, A38, 'Selenium Tests'!N:N, "Passed")+COUNTIFS('Appium E2E Tests'!C:C, A38, 'Appium E2E Tests'!N:N, "Passed")+COUNTIFS('Flutter Tests'!C:C, A38, 'Flutter Tests'!N:N, "Passed")+COUNTIFS('Functional Tests'!C:C, A38, 'Functional Tests'!N:N, "Passed")+COUNTIFS('Load Tests'!C:C, A38, 'Load Tests'!N:N, "Passed")+COUNTIFS('Safe Vulnerability Checks'!C:C, A38, 'Safe Vulnerability Checks'!N:N, "Passed")</f>
        <v/>
      </c>
      <c r="D38" s="13">
        <f>COUNTIFS('Selenium Tests'!C:C, A38, 'Selenium Tests'!N:N, "Failed")+COUNTIFS('Appium E2E Tests'!C:C, A38, 'Appium E2E Tests'!N:N, "Failed")+COUNTIFS('Flutter Tests'!C:C, A38, 'Flutter Tests'!N:N, "Failed")+COUNTIFS('Functional Tests'!C:C, A38, 'Functional Tests'!N:N, "Failed")+COUNTIFS('Load Tests'!C:C, A38, 'Load Tests'!N:N, "Failed")+COUNTIFS('Safe Vulnerability Checks'!C:C, A38, 'Safe Vulnerability Checks'!N:N, "Failed")</f>
        <v/>
      </c>
      <c r="E38" s="13">
        <f>COUNTIFS('Selenium Tests'!C:C, A38, 'Selenium Tests'!N:N, "Skipped")+COUNTIFS('Appium E2E Tests'!C:C, A38, 'Appium E2E Tests'!N:N, "Skipped")+COUNTIFS('Flutter Tests'!C:C, A38, 'Flutter Tests'!N:N, "Skipped")+COUNTIFS('Functional Tests'!C:C, A38, 'Functional Tests'!N:N, "Skipped")+COUNTIFS('Load Tests'!C:C, A38, 'Load Tests'!N:N, "Skipped")+COUNTIFS('Safe Vulnerability Checks'!C:C, A38, 'Safe Vulnerability Checks'!N:N, "Skipped")</f>
        <v/>
      </c>
      <c r="F38" s="13">
        <f>COUNTIFS('Selenium Tests'!C:C, A38, 'Selenium Tests'!N:N, "Blocked")+COUNTIFS('Appium E2E Tests'!C:C, A38, 'Appium E2E Tests'!N:N, "Blocked")+COUNTIFS('Flutter Tests'!C:C, A38, 'Flutter Tests'!N:N, "Blocked")+COUNTIFS('Functional Tests'!C:C, A38, 'Functional Tests'!N:N, "Blocked")+COUNTIFS('Load Tests'!C:C, A38, 'Load Tests'!N:N, "Blocked")+COUNTIFS('Safe Vulnerability Checks'!C:C, A38, 'Safe Vulnerability Checks'!N:N, "Blocked")</f>
        <v/>
      </c>
      <c r="G38" s="13">
        <f>COUNTIFS('Selenium Tests'!C:C, A38, 'Selenium Tests'!N:N, "Not Executed")+COUNTIFS('Appium E2E Tests'!C:C, A38, 'Appium E2E Tests'!N:N, "Not Executed")+COUNTIFS('Flutter Tests'!C:C, A38, 'Flutter Tests'!N:N, "Not Executed")+COUNTIFS('Functional Tests'!C:C, A38, 'Functional Tests'!N:N, "Not Executed")+COUNTIFS('Load Tests'!C:C, A38, 'Load Tests'!N:N, "Not Executed")+COUNTIFS('Safe Vulnerability Checks'!C:C, A38, 'Safe Vulnerability Checks'!N:N, "Not Executed")</f>
        <v/>
      </c>
    </row>
    <row r="39">
      <c r="A39" s="12" t="inlineStr">
        <is>
          <t>Shop</t>
        </is>
      </c>
      <c r="B39" s="13">
        <f>COUNTIF('Selenium Tests'!C:C, A39)+COUNTIF('Appium E2E Tests'!C:C, A39)+COUNTIF('Flutter Tests'!C:C, A39)+COUNTIF('Functional Tests'!C:C, A39)+COUNTIF('Load Tests'!C:C, A39)+COUNTIF('Safe Vulnerability Checks'!C:C, A39)</f>
        <v/>
      </c>
      <c r="C39" s="13">
        <f>COUNTIFS('Selenium Tests'!C:C, A39, 'Selenium Tests'!N:N, "Passed")+COUNTIFS('Appium E2E Tests'!C:C, A39, 'Appium E2E Tests'!N:N, "Passed")+COUNTIFS('Flutter Tests'!C:C, A39, 'Flutter Tests'!N:N, "Passed")+COUNTIFS('Functional Tests'!C:C, A39, 'Functional Tests'!N:N, "Passed")+COUNTIFS('Load Tests'!C:C, A39, 'Load Tests'!N:N, "Passed")+COUNTIFS('Safe Vulnerability Checks'!C:C, A39, 'Safe Vulnerability Checks'!N:N, "Passed")</f>
        <v/>
      </c>
      <c r="D39" s="13">
        <f>COUNTIFS('Selenium Tests'!C:C, A39, 'Selenium Tests'!N:N, "Failed")+COUNTIFS('Appium E2E Tests'!C:C, A39, 'Appium E2E Tests'!N:N, "Failed")+COUNTIFS('Flutter Tests'!C:C, A39, 'Flutter Tests'!N:N, "Failed")+COUNTIFS('Functional Tests'!C:C, A39, 'Functional Tests'!N:N, "Failed")+COUNTIFS('Load Tests'!C:C, A39, 'Load Tests'!N:N, "Failed")+COUNTIFS('Safe Vulnerability Checks'!C:C, A39, 'Safe Vulnerability Checks'!N:N, "Failed")</f>
        <v/>
      </c>
      <c r="E39" s="13">
        <f>COUNTIFS('Selenium Tests'!C:C, A39, 'Selenium Tests'!N:N, "Skipped")+COUNTIFS('Appium E2E Tests'!C:C, A39, 'Appium E2E Tests'!N:N, "Skipped")+COUNTIFS('Flutter Tests'!C:C, A39, 'Flutter Tests'!N:N, "Skipped")+COUNTIFS('Functional Tests'!C:C, A39, 'Functional Tests'!N:N, "Skipped")+COUNTIFS('Load Tests'!C:C, A39, 'Load Tests'!N:N, "Skipped")+COUNTIFS('Safe Vulnerability Checks'!C:C, A39, 'Safe Vulnerability Checks'!N:N, "Skipped")</f>
        <v/>
      </c>
      <c r="F39" s="13">
        <f>COUNTIFS('Selenium Tests'!C:C, A39, 'Selenium Tests'!N:N, "Blocked")+COUNTIFS('Appium E2E Tests'!C:C, A39, 'Appium E2E Tests'!N:N, "Blocked")+COUNTIFS('Flutter Tests'!C:C, A39, 'Flutter Tests'!N:N, "Blocked")+COUNTIFS('Functional Tests'!C:C, A39, 'Functional Tests'!N:N, "Blocked")+COUNTIFS('Load Tests'!C:C, A39, 'Load Tests'!N:N, "Blocked")+COUNTIFS('Safe Vulnerability Checks'!C:C, A39, 'Safe Vulnerability Checks'!N:N, "Blocked")</f>
        <v/>
      </c>
      <c r="G39" s="13">
        <f>COUNTIFS('Selenium Tests'!C:C, A39, 'Selenium Tests'!N:N, "Not Executed")+COUNTIFS('Appium E2E Tests'!C:C, A39, 'Appium E2E Tests'!N:N, "Not Executed")+COUNTIFS('Flutter Tests'!C:C, A39, 'Flutter Tests'!N:N, "Not Executed")+COUNTIFS('Functional Tests'!C:C, A39, 'Functional Tests'!N:N, "Not Executed")+COUNTIFS('Load Tests'!C:C, A39, 'Load Tests'!N:N, "Not Executed")+COUNTIFS('Safe Vulnerability Checks'!C:C, A39, 'Safe Vulnerability Checks'!N:N, "Not Executed")</f>
        <v/>
      </c>
    </row>
    <row r="40">
      <c r="A40" s="12" t="inlineStr">
        <is>
          <t>Product Search and Filters</t>
        </is>
      </c>
      <c r="B40" s="13">
        <f>COUNTIF('Selenium Tests'!C:C, A40)+COUNTIF('Appium E2E Tests'!C:C, A40)+COUNTIF('Flutter Tests'!C:C, A40)+COUNTIF('Functional Tests'!C:C, A40)+COUNTIF('Load Tests'!C:C, A40)+COUNTIF('Safe Vulnerability Checks'!C:C, A40)</f>
        <v/>
      </c>
      <c r="C40" s="13">
        <f>COUNTIFS('Selenium Tests'!C:C, A40, 'Selenium Tests'!N:N, "Passed")+COUNTIFS('Appium E2E Tests'!C:C, A40, 'Appium E2E Tests'!N:N, "Passed")+COUNTIFS('Flutter Tests'!C:C, A40, 'Flutter Tests'!N:N, "Passed")+COUNTIFS('Functional Tests'!C:C, A40, 'Functional Tests'!N:N, "Passed")+COUNTIFS('Load Tests'!C:C, A40, 'Load Tests'!N:N, "Passed")+COUNTIFS('Safe Vulnerability Checks'!C:C, A40, 'Safe Vulnerability Checks'!N:N, "Passed")</f>
        <v/>
      </c>
      <c r="D40" s="13">
        <f>COUNTIFS('Selenium Tests'!C:C, A40, 'Selenium Tests'!N:N, "Failed")+COUNTIFS('Appium E2E Tests'!C:C, A40, 'Appium E2E Tests'!N:N, "Failed")+COUNTIFS('Flutter Tests'!C:C, A40, 'Flutter Tests'!N:N, "Failed")+COUNTIFS('Functional Tests'!C:C, A40, 'Functional Tests'!N:N, "Failed")+COUNTIFS('Load Tests'!C:C, A40, 'Load Tests'!N:N, "Failed")+COUNTIFS('Safe Vulnerability Checks'!C:C, A40, 'Safe Vulnerability Checks'!N:N, "Failed")</f>
        <v/>
      </c>
      <c r="E40" s="13">
        <f>COUNTIFS('Selenium Tests'!C:C, A40, 'Selenium Tests'!N:N, "Skipped")+COUNTIFS('Appium E2E Tests'!C:C, A40, 'Appium E2E Tests'!N:N, "Skipped")+COUNTIFS('Flutter Tests'!C:C, A40, 'Flutter Tests'!N:N, "Skipped")+COUNTIFS('Functional Tests'!C:C, A40, 'Functional Tests'!N:N, "Skipped")+COUNTIFS('Load Tests'!C:C, A40, 'Load Tests'!N:N, "Skipped")+COUNTIFS('Safe Vulnerability Checks'!C:C, A40, 'Safe Vulnerability Checks'!N:N, "Skipped")</f>
        <v/>
      </c>
      <c r="F40" s="13">
        <f>COUNTIFS('Selenium Tests'!C:C, A40, 'Selenium Tests'!N:N, "Blocked")+COUNTIFS('Appium E2E Tests'!C:C, A40, 'Appium E2E Tests'!N:N, "Blocked")+COUNTIFS('Flutter Tests'!C:C, A40, 'Flutter Tests'!N:N, "Blocked")+COUNTIFS('Functional Tests'!C:C, A40, 'Functional Tests'!N:N, "Blocked")+COUNTIFS('Load Tests'!C:C, A40, 'Load Tests'!N:N, "Blocked")+COUNTIFS('Safe Vulnerability Checks'!C:C, A40, 'Safe Vulnerability Checks'!N:N, "Blocked")</f>
        <v/>
      </c>
      <c r="G40" s="13">
        <f>COUNTIFS('Selenium Tests'!C:C, A40, 'Selenium Tests'!N:N, "Not Executed")+COUNTIFS('Appium E2E Tests'!C:C, A40, 'Appium E2E Tests'!N:N, "Not Executed")+COUNTIFS('Flutter Tests'!C:C, A40, 'Flutter Tests'!N:N, "Not Executed")+COUNTIFS('Functional Tests'!C:C, A40, 'Functional Tests'!N:N, "Not Executed")+COUNTIFS('Load Tests'!C:C, A40, 'Load Tests'!N:N, "Not Executed")+COUNTIFS('Safe Vulnerability Checks'!C:C, A40, 'Safe Vulnerability Checks'!N:N, "Not Executed")</f>
        <v/>
      </c>
    </row>
    <row r="41">
      <c r="A41" s="12" t="inlineStr">
        <is>
          <t>Product Details</t>
        </is>
      </c>
      <c r="B41" s="13">
        <f>COUNTIF('Selenium Tests'!C:C, A41)+COUNTIF('Appium E2E Tests'!C:C, A41)+COUNTIF('Flutter Tests'!C:C, A41)+COUNTIF('Functional Tests'!C:C, A41)+COUNTIF('Load Tests'!C:C, A41)+COUNTIF('Safe Vulnerability Checks'!C:C, A41)</f>
        <v/>
      </c>
      <c r="C41" s="13">
        <f>COUNTIFS('Selenium Tests'!C:C, A41, 'Selenium Tests'!N:N, "Passed")+COUNTIFS('Appium E2E Tests'!C:C, A41, 'Appium E2E Tests'!N:N, "Passed")+COUNTIFS('Flutter Tests'!C:C, A41, 'Flutter Tests'!N:N, "Passed")+COUNTIFS('Functional Tests'!C:C, A41, 'Functional Tests'!N:N, "Passed")+COUNTIFS('Load Tests'!C:C, A41, 'Load Tests'!N:N, "Passed")+COUNTIFS('Safe Vulnerability Checks'!C:C, A41, 'Safe Vulnerability Checks'!N:N, "Passed")</f>
        <v/>
      </c>
      <c r="D41" s="13">
        <f>COUNTIFS('Selenium Tests'!C:C, A41, 'Selenium Tests'!N:N, "Failed")+COUNTIFS('Appium E2E Tests'!C:C, A41, 'Appium E2E Tests'!N:N, "Failed")+COUNTIFS('Flutter Tests'!C:C, A41, 'Flutter Tests'!N:N, "Failed")+COUNTIFS('Functional Tests'!C:C, A41, 'Functional Tests'!N:N, "Failed")+COUNTIFS('Load Tests'!C:C, A41, 'Load Tests'!N:N, "Failed")+COUNTIFS('Safe Vulnerability Checks'!C:C, A41, 'Safe Vulnerability Checks'!N:N, "Failed")</f>
        <v/>
      </c>
      <c r="E41" s="13">
        <f>COUNTIFS('Selenium Tests'!C:C, A41, 'Selenium Tests'!N:N, "Skipped")+COUNTIFS('Appium E2E Tests'!C:C, A41, 'Appium E2E Tests'!N:N, "Skipped")+COUNTIFS('Flutter Tests'!C:C, A41, 'Flutter Tests'!N:N, "Skipped")+COUNTIFS('Functional Tests'!C:C, A41, 'Functional Tests'!N:N, "Skipped")+COUNTIFS('Load Tests'!C:C, A41, 'Load Tests'!N:N, "Skipped")+COUNTIFS('Safe Vulnerability Checks'!C:C, A41, 'Safe Vulnerability Checks'!N:N, "Skipped")</f>
        <v/>
      </c>
      <c r="F41" s="13">
        <f>COUNTIFS('Selenium Tests'!C:C, A41, 'Selenium Tests'!N:N, "Blocked")+COUNTIFS('Appium E2E Tests'!C:C, A41, 'Appium E2E Tests'!N:N, "Blocked")+COUNTIFS('Flutter Tests'!C:C, A41, 'Flutter Tests'!N:N, "Blocked")+COUNTIFS('Functional Tests'!C:C, A41, 'Functional Tests'!N:N, "Blocked")+COUNTIFS('Load Tests'!C:C, A41, 'Load Tests'!N:N, "Blocked")+COUNTIFS('Safe Vulnerability Checks'!C:C, A41, 'Safe Vulnerability Checks'!N:N, "Blocked")</f>
        <v/>
      </c>
      <c r="G41" s="13">
        <f>COUNTIFS('Selenium Tests'!C:C, A41, 'Selenium Tests'!N:N, "Not Executed")+COUNTIFS('Appium E2E Tests'!C:C, A41, 'Appium E2E Tests'!N:N, "Not Executed")+COUNTIFS('Flutter Tests'!C:C, A41, 'Flutter Tests'!N:N, "Not Executed")+COUNTIFS('Functional Tests'!C:C, A41, 'Functional Tests'!N:N, "Not Executed")+COUNTIFS('Load Tests'!C:C, A41, 'Load Tests'!N:N, "Not Executed")+COUNTIFS('Safe Vulnerability Checks'!C:C, A41, 'Safe Vulnerability Checks'!N:N, "Not Executed")</f>
        <v/>
      </c>
    </row>
    <row r="42">
      <c r="A42" s="12" t="inlineStr">
        <is>
          <t>Wishlist</t>
        </is>
      </c>
      <c r="B42" s="13">
        <f>COUNTIF('Selenium Tests'!C:C, A42)+COUNTIF('Appium E2E Tests'!C:C, A42)+COUNTIF('Flutter Tests'!C:C, A42)+COUNTIF('Functional Tests'!C:C, A42)+COUNTIF('Load Tests'!C:C, A42)+COUNTIF('Safe Vulnerability Checks'!C:C, A42)</f>
        <v/>
      </c>
      <c r="C42" s="13">
        <f>COUNTIFS('Selenium Tests'!C:C, A42, 'Selenium Tests'!N:N, "Passed")+COUNTIFS('Appium E2E Tests'!C:C, A42, 'Appium E2E Tests'!N:N, "Passed")+COUNTIFS('Flutter Tests'!C:C, A42, 'Flutter Tests'!N:N, "Passed")+COUNTIFS('Functional Tests'!C:C, A42, 'Functional Tests'!N:N, "Passed")+COUNTIFS('Load Tests'!C:C, A42, 'Load Tests'!N:N, "Passed")+COUNTIFS('Safe Vulnerability Checks'!C:C, A42, 'Safe Vulnerability Checks'!N:N, "Passed")</f>
        <v/>
      </c>
      <c r="D42" s="13">
        <f>COUNTIFS('Selenium Tests'!C:C, A42, 'Selenium Tests'!N:N, "Failed")+COUNTIFS('Appium E2E Tests'!C:C, A42, 'Appium E2E Tests'!N:N, "Failed")+COUNTIFS('Flutter Tests'!C:C, A42, 'Flutter Tests'!N:N, "Failed")+COUNTIFS('Functional Tests'!C:C, A42, 'Functional Tests'!N:N, "Failed")+COUNTIFS('Load Tests'!C:C, A42, 'Load Tests'!N:N, "Failed")+COUNTIFS('Safe Vulnerability Checks'!C:C, A42, 'Safe Vulnerability Checks'!N:N, "Failed")</f>
        <v/>
      </c>
      <c r="E42" s="13">
        <f>COUNTIFS('Selenium Tests'!C:C, A42, 'Selenium Tests'!N:N, "Skipped")+COUNTIFS('Appium E2E Tests'!C:C, A42, 'Appium E2E Tests'!N:N, "Skipped")+COUNTIFS('Flutter Tests'!C:C, A42, 'Flutter Tests'!N:N, "Skipped")+COUNTIFS('Functional Tests'!C:C, A42, 'Functional Tests'!N:N, "Skipped")+COUNTIFS('Load Tests'!C:C, A42, 'Load Tests'!N:N, "Skipped")+COUNTIFS('Safe Vulnerability Checks'!C:C, A42, 'Safe Vulnerability Checks'!N:N, "Skipped")</f>
        <v/>
      </c>
      <c r="F42" s="13">
        <f>COUNTIFS('Selenium Tests'!C:C, A42, 'Selenium Tests'!N:N, "Blocked")+COUNTIFS('Appium E2E Tests'!C:C, A42, 'Appium E2E Tests'!N:N, "Blocked")+COUNTIFS('Flutter Tests'!C:C, A42, 'Flutter Tests'!N:N, "Blocked")+COUNTIFS('Functional Tests'!C:C, A42, 'Functional Tests'!N:N, "Blocked")+COUNTIFS('Load Tests'!C:C, A42, 'Load Tests'!N:N, "Blocked")+COUNTIFS('Safe Vulnerability Checks'!C:C, A42, 'Safe Vulnerability Checks'!N:N, "Blocked")</f>
        <v/>
      </c>
      <c r="G42" s="13">
        <f>COUNTIFS('Selenium Tests'!C:C, A42, 'Selenium Tests'!N:N, "Not Executed")+COUNTIFS('Appium E2E Tests'!C:C, A42, 'Appium E2E Tests'!N:N, "Not Executed")+COUNTIFS('Flutter Tests'!C:C, A42, 'Flutter Tests'!N:N, "Not Executed")+COUNTIFS('Functional Tests'!C:C, A42, 'Functional Tests'!N:N, "Not Executed")+COUNTIFS('Load Tests'!C:C, A42, 'Load Tests'!N:N, "Not Executed")+COUNTIFS('Safe Vulnerability Checks'!C:C, A42, 'Safe Vulnerability Checks'!N:N, "Not Executed")</f>
        <v/>
      </c>
    </row>
    <row r="43">
      <c r="A43" s="12" t="inlineStr">
        <is>
          <t>Cart</t>
        </is>
      </c>
      <c r="B43" s="13">
        <f>COUNTIF('Selenium Tests'!C:C, A43)+COUNTIF('Appium E2E Tests'!C:C, A43)+COUNTIF('Flutter Tests'!C:C, A43)+COUNTIF('Functional Tests'!C:C, A43)+COUNTIF('Load Tests'!C:C, A43)+COUNTIF('Safe Vulnerability Checks'!C:C, A43)</f>
        <v/>
      </c>
      <c r="C43" s="13">
        <f>COUNTIFS('Selenium Tests'!C:C, A43, 'Selenium Tests'!N:N, "Passed")+COUNTIFS('Appium E2E Tests'!C:C, A43, 'Appium E2E Tests'!N:N, "Passed")+COUNTIFS('Flutter Tests'!C:C, A43, 'Flutter Tests'!N:N, "Passed")+COUNTIFS('Functional Tests'!C:C, A43, 'Functional Tests'!N:N, "Passed")+COUNTIFS('Load Tests'!C:C, A43, 'Load Tests'!N:N, "Passed")+COUNTIFS('Safe Vulnerability Checks'!C:C, A43, 'Safe Vulnerability Checks'!N:N, "Passed")</f>
        <v/>
      </c>
      <c r="D43" s="13">
        <f>COUNTIFS('Selenium Tests'!C:C, A43, 'Selenium Tests'!N:N, "Failed")+COUNTIFS('Appium E2E Tests'!C:C, A43, 'Appium E2E Tests'!N:N, "Failed")+COUNTIFS('Flutter Tests'!C:C, A43, 'Flutter Tests'!N:N, "Failed")+COUNTIFS('Functional Tests'!C:C, A43, 'Functional Tests'!N:N, "Failed")+COUNTIFS('Load Tests'!C:C, A43, 'Load Tests'!N:N, "Failed")+COUNTIFS('Safe Vulnerability Checks'!C:C, A43, 'Safe Vulnerability Checks'!N:N, "Failed")</f>
        <v/>
      </c>
      <c r="E43" s="13">
        <f>COUNTIFS('Selenium Tests'!C:C, A43, 'Selenium Tests'!N:N, "Skipped")+COUNTIFS('Appium E2E Tests'!C:C, A43, 'Appium E2E Tests'!N:N, "Skipped")+COUNTIFS('Flutter Tests'!C:C, A43, 'Flutter Tests'!N:N, "Skipped")+COUNTIFS('Functional Tests'!C:C, A43, 'Functional Tests'!N:N, "Skipped")+COUNTIFS('Load Tests'!C:C, A43, 'Load Tests'!N:N, "Skipped")+COUNTIFS('Safe Vulnerability Checks'!C:C, A43, 'Safe Vulnerability Checks'!N:N, "Skipped")</f>
        <v/>
      </c>
      <c r="F43" s="13">
        <f>COUNTIFS('Selenium Tests'!C:C, A43, 'Selenium Tests'!N:N, "Blocked")+COUNTIFS('Appium E2E Tests'!C:C, A43, 'Appium E2E Tests'!N:N, "Blocked")+COUNTIFS('Flutter Tests'!C:C, A43, 'Flutter Tests'!N:N, "Blocked")+COUNTIFS('Functional Tests'!C:C, A43, 'Functional Tests'!N:N, "Blocked")+COUNTIFS('Load Tests'!C:C, A43, 'Load Tests'!N:N, "Blocked")+COUNTIFS('Safe Vulnerability Checks'!C:C, A43, 'Safe Vulnerability Checks'!N:N, "Blocked")</f>
        <v/>
      </c>
      <c r="G43" s="13">
        <f>COUNTIFS('Selenium Tests'!C:C, A43, 'Selenium Tests'!N:N, "Not Executed")+COUNTIFS('Appium E2E Tests'!C:C, A43, 'Appium E2E Tests'!N:N, "Not Executed")+COUNTIFS('Flutter Tests'!C:C, A43, 'Flutter Tests'!N:N, "Not Executed")+COUNTIFS('Functional Tests'!C:C, A43, 'Functional Tests'!N:N, "Not Executed")+COUNTIFS('Load Tests'!C:C, A43, 'Load Tests'!N:N, "Not Executed")+COUNTIFS('Safe Vulnerability Checks'!C:C, A43, 'Safe Vulnerability Checks'!N:N, "Not Executed")</f>
        <v/>
      </c>
    </row>
    <row r="44">
      <c r="A44" s="12" t="inlineStr">
        <is>
          <t>Checkout</t>
        </is>
      </c>
      <c r="B44" s="13">
        <f>COUNTIF('Selenium Tests'!C:C, A44)+COUNTIF('Appium E2E Tests'!C:C, A44)+COUNTIF('Flutter Tests'!C:C, A44)+COUNTIF('Functional Tests'!C:C, A44)+COUNTIF('Load Tests'!C:C, A44)+COUNTIF('Safe Vulnerability Checks'!C:C, A44)</f>
        <v/>
      </c>
      <c r="C44" s="13">
        <f>COUNTIFS('Selenium Tests'!C:C, A44, 'Selenium Tests'!N:N, "Passed")+COUNTIFS('Appium E2E Tests'!C:C, A44, 'Appium E2E Tests'!N:N, "Passed")+COUNTIFS('Flutter Tests'!C:C, A44, 'Flutter Tests'!N:N, "Passed")+COUNTIFS('Functional Tests'!C:C, A44, 'Functional Tests'!N:N, "Passed")+COUNTIFS('Load Tests'!C:C, A44, 'Load Tests'!N:N, "Passed")+COUNTIFS('Safe Vulnerability Checks'!C:C, A44, 'Safe Vulnerability Checks'!N:N, "Passed")</f>
        <v/>
      </c>
      <c r="D44" s="13">
        <f>COUNTIFS('Selenium Tests'!C:C, A44, 'Selenium Tests'!N:N, "Failed")+COUNTIFS('Appium E2E Tests'!C:C, A44, 'Appium E2E Tests'!N:N, "Failed")+COUNTIFS('Flutter Tests'!C:C, A44, 'Flutter Tests'!N:N, "Failed")+COUNTIFS('Functional Tests'!C:C, A44, 'Functional Tests'!N:N, "Failed")+COUNTIFS('Load Tests'!C:C, A44, 'Load Tests'!N:N, "Failed")+COUNTIFS('Safe Vulnerability Checks'!C:C, A44, 'Safe Vulnerability Checks'!N:N, "Failed")</f>
        <v/>
      </c>
      <c r="E44" s="13">
        <f>COUNTIFS('Selenium Tests'!C:C, A44, 'Selenium Tests'!N:N, "Skipped")+COUNTIFS('Appium E2E Tests'!C:C, A44, 'Appium E2E Tests'!N:N, "Skipped")+COUNTIFS('Flutter Tests'!C:C, A44, 'Flutter Tests'!N:N, "Skipped")+COUNTIFS('Functional Tests'!C:C, A44, 'Functional Tests'!N:N, "Skipped")+COUNTIFS('Load Tests'!C:C, A44, 'Load Tests'!N:N, "Skipped")+COUNTIFS('Safe Vulnerability Checks'!C:C, A44, 'Safe Vulnerability Checks'!N:N, "Skipped")</f>
        <v/>
      </c>
      <c r="F44" s="13">
        <f>COUNTIFS('Selenium Tests'!C:C, A44, 'Selenium Tests'!N:N, "Blocked")+COUNTIFS('Appium E2E Tests'!C:C, A44, 'Appium E2E Tests'!N:N, "Blocked")+COUNTIFS('Flutter Tests'!C:C, A44, 'Flutter Tests'!N:N, "Blocked")+COUNTIFS('Functional Tests'!C:C, A44, 'Functional Tests'!N:N, "Blocked")+COUNTIFS('Load Tests'!C:C, A44, 'Load Tests'!N:N, "Blocked")+COUNTIFS('Safe Vulnerability Checks'!C:C, A44, 'Safe Vulnerability Checks'!N:N, "Blocked")</f>
        <v/>
      </c>
      <c r="G44" s="13">
        <f>COUNTIFS('Selenium Tests'!C:C, A44, 'Selenium Tests'!N:N, "Not Executed")+COUNTIFS('Appium E2E Tests'!C:C, A44, 'Appium E2E Tests'!N:N, "Not Executed")+COUNTIFS('Flutter Tests'!C:C, A44, 'Flutter Tests'!N:N, "Not Executed")+COUNTIFS('Functional Tests'!C:C, A44, 'Functional Tests'!N:N, "Not Executed")+COUNTIFS('Load Tests'!C:C, A44, 'Load Tests'!N:N, "Not Executed")+COUNTIFS('Safe Vulnerability Checks'!C:C, A44, 'Safe Vulnerability Checks'!N:N, "Not Executed")</f>
        <v/>
      </c>
    </row>
    <row r="45">
      <c r="A45" s="12" t="inlineStr">
        <is>
          <t>Address Management</t>
        </is>
      </c>
      <c r="B45" s="13">
        <f>COUNTIF('Selenium Tests'!C:C, A45)+COUNTIF('Appium E2E Tests'!C:C, A45)+COUNTIF('Flutter Tests'!C:C, A45)+COUNTIF('Functional Tests'!C:C, A45)+COUNTIF('Load Tests'!C:C, A45)+COUNTIF('Safe Vulnerability Checks'!C:C, A45)</f>
        <v/>
      </c>
      <c r="C45" s="13">
        <f>COUNTIFS('Selenium Tests'!C:C, A45, 'Selenium Tests'!N:N, "Passed")+COUNTIFS('Appium E2E Tests'!C:C, A45, 'Appium E2E Tests'!N:N, "Passed")+COUNTIFS('Flutter Tests'!C:C, A45, 'Flutter Tests'!N:N, "Passed")+COUNTIFS('Functional Tests'!C:C, A45, 'Functional Tests'!N:N, "Passed")+COUNTIFS('Load Tests'!C:C, A45, 'Load Tests'!N:N, "Passed")+COUNTIFS('Safe Vulnerability Checks'!C:C, A45, 'Safe Vulnerability Checks'!N:N, "Passed")</f>
        <v/>
      </c>
      <c r="D45" s="13">
        <f>COUNTIFS('Selenium Tests'!C:C, A45, 'Selenium Tests'!N:N, "Failed")+COUNTIFS('Appium E2E Tests'!C:C, A45, 'Appium E2E Tests'!N:N, "Failed")+COUNTIFS('Flutter Tests'!C:C, A45, 'Flutter Tests'!N:N, "Failed")+COUNTIFS('Functional Tests'!C:C, A45, 'Functional Tests'!N:N, "Failed")+COUNTIFS('Load Tests'!C:C, A45, 'Load Tests'!N:N, "Failed")+COUNTIFS('Safe Vulnerability Checks'!C:C, A45, 'Safe Vulnerability Checks'!N:N, "Failed")</f>
        <v/>
      </c>
      <c r="E45" s="13">
        <f>COUNTIFS('Selenium Tests'!C:C, A45, 'Selenium Tests'!N:N, "Skipped")+COUNTIFS('Appium E2E Tests'!C:C, A45, 'Appium E2E Tests'!N:N, "Skipped")+COUNTIFS('Flutter Tests'!C:C, A45, 'Flutter Tests'!N:N, "Skipped")+COUNTIFS('Functional Tests'!C:C, A45, 'Functional Tests'!N:N, "Skipped")+COUNTIFS('Load Tests'!C:C, A45, 'Load Tests'!N:N, "Skipped")+COUNTIFS('Safe Vulnerability Checks'!C:C, A45, 'Safe Vulnerability Checks'!N:N, "Skipped")</f>
        <v/>
      </c>
      <c r="F45" s="13">
        <f>COUNTIFS('Selenium Tests'!C:C, A45, 'Selenium Tests'!N:N, "Blocked")+COUNTIFS('Appium E2E Tests'!C:C, A45, 'Appium E2E Tests'!N:N, "Blocked")+COUNTIFS('Flutter Tests'!C:C, A45, 'Flutter Tests'!N:N, "Blocked")+COUNTIFS('Functional Tests'!C:C, A45, 'Functional Tests'!N:N, "Blocked")+COUNTIFS('Load Tests'!C:C, A45, 'Load Tests'!N:N, "Blocked")+COUNTIFS('Safe Vulnerability Checks'!C:C, A45, 'Safe Vulnerability Checks'!N:N, "Blocked")</f>
        <v/>
      </c>
      <c r="G45" s="13">
        <f>COUNTIFS('Selenium Tests'!C:C, A45, 'Selenium Tests'!N:N, "Not Executed")+COUNTIFS('Appium E2E Tests'!C:C, A45, 'Appium E2E Tests'!N:N, "Not Executed")+COUNTIFS('Flutter Tests'!C:C, A45, 'Flutter Tests'!N:N, "Not Executed")+COUNTIFS('Functional Tests'!C:C, A45, 'Functional Tests'!N:N, "Not Executed")+COUNTIFS('Load Tests'!C:C, A45, 'Load Tests'!N:N, "Not Executed")+COUNTIFS('Safe Vulnerability Checks'!C:C, A45, 'Safe Vulnerability Checks'!N:N, "Not Executed")</f>
        <v/>
      </c>
    </row>
    <row r="46">
      <c r="A46" s="12" t="inlineStr">
        <is>
          <t>Payment Method</t>
        </is>
      </c>
      <c r="B46" s="13">
        <f>COUNTIF('Selenium Tests'!C:C, A46)+COUNTIF('Appium E2E Tests'!C:C, A46)+COUNTIF('Flutter Tests'!C:C, A46)+COUNTIF('Functional Tests'!C:C, A46)+COUNTIF('Load Tests'!C:C, A46)+COUNTIF('Safe Vulnerability Checks'!C:C, A46)</f>
        <v/>
      </c>
      <c r="C46" s="13">
        <f>COUNTIFS('Selenium Tests'!C:C, A46, 'Selenium Tests'!N:N, "Passed")+COUNTIFS('Appium E2E Tests'!C:C, A46, 'Appium E2E Tests'!N:N, "Passed")+COUNTIFS('Flutter Tests'!C:C, A46, 'Flutter Tests'!N:N, "Passed")+COUNTIFS('Functional Tests'!C:C, A46, 'Functional Tests'!N:N, "Passed")+COUNTIFS('Load Tests'!C:C, A46, 'Load Tests'!N:N, "Passed")+COUNTIFS('Safe Vulnerability Checks'!C:C, A46, 'Safe Vulnerability Checks'!N:N, "Passed")</f>
        <v/>
      </c>
      <c r="D46" s="13">
        <f>COUNTIFS('Selenium Tests'!C:C, A46, 'Selenium Tests'!N:N, "Failed")+COUNTIFS('Appium E2E Tests'!C:C, A46, 'Appium E2E Tests'!N:N, "Failed")+COUNTIFS('Flutter Tests'!C:C, A46, 'Flutter Tests'!N:N, "Failed")+COUNTIFS('Functional Tests'!C:C, A46, 'Functional Tests'!N:N, "Failed")+COUNTIFS('Load Tests'!C:C, A46, 'Load Tests'!N:N, "Failed")+COUNTIFS('Safe Vulnerability Checks'!C:C, A46, 'Safe Vulnerability Checks'!N:N, "Failed")</f>
        <v/>
      </c>
      <c r="E46" s="13">
        <f>COUNTIFS('Selenium Tests'!C:C, A46, 'Selenium Tests'!N:N, "Skipped")+COUNTIFS('Appium E2E Tests'!C:C, A46, 'Appium E2E Tests'!N:N, "Skipped")+COUNTIFS('Flutter Tests'!C:C, A46, 'Flutter Tests'!N:N, "Skipped")+COUNTIFS('Functional Tests'!C:C, A46, 'Functional Tests'!N:N, "Skipped")+COUNTIFS('Load Tests'!C:C, A46, 'Load Tests'!N:N, "Skipped")+COUNTIFS('Safe Vulnerability Checks'!C:C, A46, 'Safe Vulnerability Checks'!N:N, "Skipped")</f>
        <v/>
      </c>
      <c r="F46" s="13">
        <f>COUNTIFS('Selenium Tests'!C:C, A46, 'Selenium Tests'!N:N, "Blocked")+COUNTIFS('Appium E2E Tests'!C:C, A46, 'Appium E2E Tests'!N:N, "Blocked")+COUNTIFS('Flutter Tests'!C:C, A46, 'Flutter Tests'!N:N, "Blocked")+COUNTIFS('Functional Tests'!C:C, A46, 'Functional Tests'!N:N, "Blocked")+COUNTIFS('Load Tests'!C:C, A46, 'Load Tests'!N:N, "Blocked")+COUNTIFS('Safe Vulnerability Checks'!C:C, A46, 'Safe Vulnerability Checks'!N:N, "Blocked")</f>
        <v/>
      </c>
      <c r="G46" s="13">
        <f>COUNTIFS('Selenium Tests'!C:C, A46, 'Selenium Tests'!N:N, "Not Executed")+COUNTIFS('Appium E2E Tests'!C:C, A46, 'Appium E2E Tests'!N:N, "Not Executed")+COUNTIFS('Flutter Tests'!C:C, A46, 'Flutter Tests'!N:N, "Not Executed")+COUNTIFS('Functional Tests'!C:C, A46, 'Functional Tests'!N:N, "Not Executed")+COUNTIFS('Load Tests'!C:C, A46, 'Load Tests'!N:N, "Not Executed")+COUNTIFS('Safe Vulnerability Checks'!C:C, A46, 'Safe Vulnerability Checks'!N:N, "Not Executed")</f>
        <v/>
      </c>
    </row>
    <row r="47">
      <c r="A47" s="12" t="inlineStr">
        <is>
          <t>Place Order</t>
        </is>
      </c>
      <c r="B47" s="13">
        <f>COUNTIF('Selenium Tests'!C:C, A47)+COUNTIF('Appium E2E Tests'!C:C, A47)+COUNTIF('Flutter Tests'!C:C, A47)+COUNTIF('Functional Tests'!C:C, A47)+COUNTIF('Load Tests'!C:C, A47)+COUNTIF('Safe Vulnerability Checks'!C:C, A47)</f>
        <v/>
      </c>
      <c r="C47" s="13">
        <f>COUNTIFS('Selenium Tests'!C:C, A47, 'Selenium Tests'!N:N, "Passed")+COUNTIFS('Appium E2E Tests'!C:C, A47, 'Appium E2E Tests'!N:N, "Passed")+COUNTIFS('Flutter Tests'!C:C, A47, 'Flutter Tests'!N:N, "Passed")+COUNTIFS('Functional Tests'!C:C, A47, 'Functional Tests'!N:N, "Passed")+COUNTIFS('Load Tests'!C:C, A47, 'Load Tests'!N:N, "Passed")+COUNTIFS('Safe Vulnerability Checks'!C:C, A47, 'Safe Vulnerability Checks'!N:N, "Passed")</f>
        <v/>
      </c>
      <c r="D47" s="13">
        <f>COUNTIFS('Selenium Tests'!C:C, A47, 'Selenium Tests'!N:N, "Failed")+COUNTIFS('Appium E2E Tests'!C:C, A47, 'Appium E2E Tests'!N:N, "Failed")+COUNTIFS('Flutter Tests'!C:C, A47, 'Flutter Tests'!N:N, "Failed")+COUNTIFS('Functional Tests'!C:C, A47, 'Functional Tests'!N:N, "Failed")+COUNTIFS('Load Tests'!C:C, A47, 'Load Tests'!N:N, "Failed")+COUNTIFS('Safe Vulnerability Checks'!C:C, A47, 'Safe Vulnerability Checks'!N:N, "Failed")</f>
        <v/>
      </c>
      <c r="E47" s="13">
        <f>COUNTIFS('Selenium Tests'!C:C, A47, 'Selenium Tests'!N:N, "Skipped")+COUNTIFS('Appium E2E Tests'!C:C, A47, 'Appium E2E Tests'!N:N, "Skipped")+COUNTIFS('Flutter Tests'!C:C, A47, 'Flutter Tests'!N:N, "Skipped")+COUNTIFS('Functional Tests'!C:C, A47, 'Functional Tests'!N:N, "Skipped")+COUNTIFS('Load Tests'!C:C, A47, 'Load Tests'!N:N, "Skipped")+COUNTIFS('Safe Vulnerability Checks'!C:C, A47, 'Safe Vulnerability Checks'!N:N, "Skipped")</f>
        <v/>
      </c>
      <c r="F47" s="13">
        <f>COUNTIFS('Selenium Tests'!C:C, A47, 'Selenium Tests'!N:N, "Blocked")+COUNTIFS('Appium E2E Tests'!C:C, A47, 'Appium E2E Tests'!N:N, "Blocked")+COUNTIFS('Flutter Tests'!C:C, A47, 'Flutter Tests'!N:N, "Blocked")+COUNTIFS('Functional Tests'!C:C, A47, 'Functional Tests'!N:N, "Blocked")+COUNTIFS('Load Tests'!C:C, A47, 'Load Tests'!N:N, "Blocked")+COUNTIFS('Safe Vulnerability Checks'!C:C, A47, 'Safe Vulnerability Checks'!N:N, "Blocked")</f>
        <v/>
      </c>
      <c r="G47" s="13">
        <f>COUNTIFS('Selenium Tests'!C:C, A47, 'Selenium Tests'!N:N, "Not Executed")+COUNTIFS('Appium E2E Tests'!C:C, A47, 'Appium E2E Tests'!N:N, "Not Executed")+COUNTIFS('Flutter Tests'!C:C, A47, 'Flutter Tests'!N:N, "Not Executed")+COUNTIFS('Functional Tests'!C:C, A47, 'Functional Tests'!N:N, "Not Executed")+COUNTIFS('Load Tests'!C:C, A47, 'Load Tests'!N:N, "Not Executed")+COUNTIFS('Safe Vulnerability Checks'!C:C, A47, 'Safe Vulnerability Checks'!N:N, "Not Executed")</f>
        <v/>
      </c>
    </row>
    <row r="48">
      <c r="A48" s="12" t="inlineStr">
        <is>
          <t>My Orders</t>
        </is>
      </c>
      <c r="B48" s="13">
        <f>COUNTIF('Selenium Tests'!C:C, A48)+COUNTIF('Appium E2E Tests'!C:C, A48)+COUNTIF('Flutter Tests'!C:C, A48)+COUNTIF('Functional Tests'!C:C, A48)+COUNTIF('Load Tests'!C:C, A48)+COUNTIF('Safe Vulnerability Checks'!C:C, A48)</f>
        <v/>
      </c>
      <c r="C48" s="13">
        <f>COUNTIFS('Selenium Tests'!C:C, A48, 'Selenium Tests'!N:N, "Passed")+COUNTIFS('Appium E2E Tests'!C:C, A48, 'Appium E2E Tests'!N:N, "Passed")+COUNTIFS('Flutter Tests'!C:C, A48, 'Flutter Tests'!N:N, "Passed")+COUNTIFS('Functional Tests'!C:C, A48, 'Functional Tests'!N:N, "Passed")+COUNTIFS('Load Tests'!C:C, A48, 'Load Tests'!N:N, "Passed")+COUNTIFS('Safe Vulnerability Checks'!C:C, A48, 'Safe Vulnerability Checks'!N:N, "Passed")</f>
        <v/>
      </c>
      <c r="D48" s="13">
        <f>COUNTIFS('Selenium Tests'!C:C, A48, 'Selenium Tests'!N:N, "Failed")+COUNTIFS('Appium E2E Tests'!C:C, A48, 'Appium E2E Tests'!N:N, "Failed")+COUNTIFS('Flutter Tests'!C:C, A48, 'Flutter Tests'!N:N, "Failed")+COUNTIFS('Functional Tests'!C:C, A48, 'Functional Tests'!N:N, "Failed")+COUNTIFS('Load Tests'!C:C, A48, 'Load Tests'!N:N, "Failed")+COUNTIFS('Safe Vulnerability Checks'!C:C, A48, 'Safe Vulnerability Checks'!N:N, "Failed")</f>
        <v/>
      </c>
      <c r="E48" s="13">
        <f>COUNTIFS('Selenium Tests'!C:C, A48, 'Selenium Tests'!N:N, "Skipped")+COUNTIFS('Appium E2E Tests'!C:C, A48, 'Appium E2E Tests'!N:N, "Skipped")+COUNTIFS('Flutter Tests'!C:C, A48, 'Flutter Tests'!N:N, "Skipped")+COUNTIFS('Functional Tests'!C:C, A48, 'Functional Tests'!N:N, "Skipped")+COUNTIFS('Load Tests'!C:C, A48, 'Load Tests'!N:N, "Skipped")+COUNTIFS('Safe Vulnerability Checks'!C:C, A48, 'Safe Vulnerability Checks'!N:N, "Skipped")</f>
        <v/>
      </c>
      <c r="F48" s="13">
        <f>COUNTIFS('Selenium Tests'!C:C, A48, 'Selenium Tests'!N:N, "Blocked")+COUNTIFS('Appium E2E Tests'!C:C, A48, 'Appium E2E Tests'!N:N, "Blocked")+COUNTIFS('Flutter Tests'!C:C, A48, 'Flutter Tests'!N:N, "Blocked")+COUNTIFS('Functional Tests'!C:C, A48, 'Functional Tests'!N:N, "Blocked")+COUNTIFS('Load Tests'!C:C, A48, 'Load Tests'!N:N, "Blocked")+COUNTIFS('Safe Vulnerability Checks'!C:C, A48, 'Safe Vulnerability Checks'!N:N, "Blocked")</f>
        <v/>
      </c>
      <c r="G48" s="13">
        <f>COUNTIFS('Selenium Tests'!C:C, A48, 'Selenium Tests'!N:N, "Not Executed")+COUNTIFS('Appium E2E Tests'!C:C, A48, 'Appium E2E Tests'!N:N, "Not Executed")+COUNTIFS('Flutter Tests'!C:C, A48, 'Flutter Tests'!N:N, "Not Executed")+COUNTIFS('Functional Tests'!C:C, A48, 'Functional Tests'!N:N, "Not Executed")+COUNTIFS('Load Tests'!C:C, A48, 'Load Tests'!N:N, "Not Executed")+COUNTIFS('Safe Vulnerability Checks'!C:C, A48, 'Safe Vulnerability Checks'!N:N, "Not Executed")</f>
        <v/>
      </c>
    </row>
    <row r="49">
      <c r="A49" s="12" t="inlineStr">
        <is>
          <t>Order Details</t>
        </is>
      </c>
      <c r="B49" s="13">
        <f>COUNTIF('Selenium Tests'!C:C, A49)+COUNTIF('Appium E2E Tests'!C:C, A49)+COUNTIF('Flutter Tests'!C:C, A49)+COUNTIF('Functional Tests'!C:C, A49)+COUNTIF('Load Tests'!C:C, A49)+COUNTIF('Safe Vulnerability Checks'!C:C, A49)</f>
        <v/>
      </c>
      <c r="C49" s="13">
        <f>COUNTIFS('Selenium Tests'!C:C, A49, 'Selenium Tests'!N:N, "Passed")+COUNTIFS('Appium E2E Tests'!C:C, A49, 'Appium E2E Tests'!N:N, "Passed")+COUNTIFS('Flutter Tests'!C:C, A49, 'Flutter Tests'!N:N, "Passed")+COUNTIFS('Functional Tests'!C:C, A49, 'Functional Tests'!N:N, "Passed")+COUNTIFS('Load Tests'!C:C, A49, 'Load Tests'!N:N, "Passed")+COUNTIFS('Safe Vulnerability Checks'!C:C, A49, 'Safe Vulnerability Checks'!N:N, "Passed")</f>
        <v/>
      </c>
      <c r="D49" s="13">
        <f>COUNTIFS('Selenium Tests'!C:C, A49, 'Selenium Tests'!N:N, "Failed")+COUNTIFS('Appium E2E Tests'!C:C, A49, 'Appium E2E Tests'!N:N, "Failed")+COUNTIFS('Flutter Tests'!C:C, A49, 'Flutter Tests'!N:N, "Failed")+COUNTIFS('Functional Tests'!C:C, A49, 'Functional Tests'!N:N, "Failed")+COUNTIFS('Load Tests'!C:C, A49, 'Load Tests'!N:N, "Failed")+COUNTIFS('Safe Vulnerability Checks'!C:C, A49, 'Safe Vulnerability Checks'!N:N, "Failed")</f>
        <v/>
      </c>
      <c r="E49" s="13">
        <f>COUNTIFS('Selenium Tests'!C:C, A49, 'Selenium Tests'!N:N, "Skipped")+COUNTIFS('Appium E2E Tests'!C:C, A49, 'Appium E2E Tests'!N:N, "Skipped")+COUNTIFS('Flutter Tests'!C:C, A49, 'Flutter Tests'!N:N, "Skipped")+COUNTIFS('Functional Tests'!C:C, A49, 'Functional Tests'!N:N, "Skipped")+COUNTIFS('Load Tests'!C:C, A49, 'Load Tests'!N:N, "Skipped")+COUNTIFS('Safe Vulnerability Checks'!C:C, A49, 'Safe Vulnerability Checks'!N:N, "Skipped")</f>
        <v/>
      </c>
      <c r="F49" s="13">
        <f>COUNTIFS('Selenium Tests'!C:C, A49, 'Selenium Tests'!N:N, "Blocked")+COUNTIFS('Appium E2E Tests'!C:C, A49, 'Appium E2E Tests'!N:N, "Blocked")+COUNTIFS('Flutter Tests'!C:C, A49, 'Flutter Tests'!N:N, "Blocked")+COUNTIFS('Functional Tests'!C:C, A49, 'Functional Tests'!N:N, "Blocked")+COUNTIFS('Load Tests'!C:C, A49, 'Load Tests'!N:N, "Blocked")+COUNTIFS('Safe Vulnerability Checks'!C:C, A49, 'Safe Vulnerability Checks'!N:N, "Blocked")</f>
        <v/>
      </c>
      <c r="G49" s="13">
        <f>COUNTIFS('Selenium Tests'!C:C, A49, 'Selenium Tests'!N:N, "Not Executed")+COUNTIFS('Appium E2E Tests'!C:C, A49, 'Appium E2E Tests'!N:N, "Not Executed")+COUNTIFS('Flutter Tests'!C:C, A49, 'Flutter Tests'!N:N, "Not Executed")+COUNTIFS('Functional Tests'!C:C, A49, 'Functional Tests'!N:N, "Not Executed")+COUNTIFS('Load Tests'!C:C, A49, 'Load Tests'!N:N, "Not Executed")+COUNTIFS('Safe Vulnerability Checks'!C:C, A49, 'Safe Vulnerability Checks'!N:N, "Not Executed")</f>
        <v/>
      </c>
    </row>
    <row r="50">
      <c r="A50" s="12" t="inlineStr">
        <is>
          <t>Order Cancellation</t>
        </is>
      </c>
      <c r="B50" s="13">
        <f>COUNTIF('Selenium Tests'!C:C, A50)+COUNTIF('Appium E2E Tests'!C:C, A50)+COUNTIF('Flutter Tests'!C:C, A50)+COUNTIF('Functional Tests'!C:C, A50)+COUNTIF('Load Tests'!C:C, A50)+COUNTIF('Safe Vulnerability Checks'!C:C, A50)</f>
        <v/>
      </c>
      <c r="C50" s="13">
        <f>COUNTIFS('Selenium Tests'!C:C, A50, 'Selenium Tests'!N:N, "Passed")+COUNTIFS('Appium E2E Tests'!C:C, A50, 'Appium E2E Tests'!N:N, "Passed")+COUNTIFS('Flutter Tests'!C:C, A50, 'Flutter Tests'!N:N, "Passed")+COUNTIFS('Functional Tests'!C:C, A50, 'Functional Tests'!N:N, "Passed")+COUNTIFS('Load Tests'!C:C, A50, 'Load Tests'!N:N, "Passed")+COUNTIFS('Safe Vulnerability Checks'!C:C, A50, 'Safe Vulnerability Checks'!N:N, "Passed")</f>
        <v/>
      </c>
      <c r="D50" s="13">
        <f>COUNTIFS('Selenium Tests'!C:C, A50, 'Selenium Tests'!N:N, "Failed")+COUNTIFS('Appium E2E Tests'!C:C, A50, 'Appium E2E Tests'!N:N, "Failed")+COUNTIFS('Flutter Tests'!C:C, A50, 'Flutter Tests'!N:N, "Failed")+COUNTIFS('Functional Tests'!C:C, A50, 'Functional Tests'!N:N, "Failed")+COUNTIFS('Load Tests'!C:C, A50, 'Load Tests'!N:N, "Failed")+COUNTIFS('Safe Vulnerability Checks'!C:C, A50, 'Safe Vulnerability Checks'!N:N, "Failed")</f>
        <v/>
      </c>
      <c r="E50" s="13">
        <f>COUNTIFS('Selenium Tests'!C:C, A50, 'Selenium Tests'!N:N, "Skipped")+COUNTIFS('Appium E2E Tests'!C:C, A50, 'Appium E2E Tests'!N:N, "Skipped")+COUNTIFS('Flutter Tests'!C:C, A50, 'Flutter Tests'!N:N, "Skipped")+COUNTIFS('Functional Tests'!C:C, A50, 'Functional Tests'!N:N, "Skipped")+COUNTIFS('Load Tests'!C:C, A50, 'Load Tests'!N:N, "Skipped")+COUNTIFS('Safe Vulnerability Checks'!C:C, A50, 'Safe Vulnerability Checks'!N:N, "Skipped")</f>
        <v/>
      </c>
      <c r="F50" s="13">
        <f>COUNTIFS('Selenium Tests'!C:C, A50, 'Selenium Tests'!N:N, "Blocked")+COUNTIFS('Appium E2E Tests'!C:C, A50, 'Appium E2E Tests'!N:N, "Blocked")+COUNTIFS('Flutter Tests'!C:C, A50, 'Flutter Tests'!N:N, "Blocked")+COUNTIFS('Functional Tests'!C:C, A50, 'Functional Tests'!N:N, "Blocked")+COUNTIFS('Load Tests'!C:C, A50, 'Load Tests'!N:N, "Blocked")+COUNTIFS('Safe Vulnerability Checks'!C:C, A50, 'Safe Vulnerability Checks'!N:N, "Blocked")</f>
        <v/>
      </c>
      <c r="G50" s="13">
        <f>COUNTIFS('Selenium Tests'!C:C, A50, 'Selenium Tests'!N:N, "Not Executed")+COUNTIFS('Appium E2E Tests'!C:C, A50, 'Appium E2E Tests'!N:N, "Not Executed")+COUNTIFS('Flutter Tests'!C:C, A50, 'Flutter Tests'!N:N, "Not Executed")+COUNTIFS('Functional Tests'!C:C, A50, 'Functional Tests'!N:N, "Not Executed")+COUNTIFS('Load Tests'!C:C, A50, 'Load Tests'!N:N, "Not Executed")+COUNTIFS('Safe Vulnerability Checks'!C:C, A50, 'Safe Vulnerability Checks'!N:N, "Not Executed")</f>
        <v/>
      </c>
    </row>
    <row r="51">
      <c r="A51" s="12" t="inlineStr">
        <is>
          <t>Supabase Integration</t>
        </is>
      </c>
      <c r="B51" s="13">
        <f>COUNTIF('Selenium Tests'!C:C, A51)+COUNTIF('Appium E2E Tests'!C:C, A51)+COUNTIF('Flutter Tests'!C:C, A51)+COUNTIF('Functional Tests'!C:C, A51)+COUNTIF('Load Tests'!C:C, A51)+COUNTIF('Safe Vulnerability Checks'!C:C, A51)</f>
        <v/>
      </c>
      <c r="C51" s="13">
        <f>COUNTIFS('Selenium Tests'!C:C, A51, 'Selenium Tests'!N:N, "Passed")+COUNTIFS('Appium E2E Tests'!C:C, A51, 'Appium E2E Tests'!N:N, "Passed")+COUNTIFS('Flutter Tests'!C:C, A51, 'Flutter Tests'!N:N, "Passed")+COUNTIFS('Functional Tests'!C:C, A51, 'Functional Tests'!N:N, "Passed")+COUNTIFS('Load Tests'!C:C, A51, 'Load Tests'!N:N, "Passed")+COUNTIFS('Safe Vulnerability Checks'!C:C, A51, 'Safe Vulnerability Checks'!N:N, "Passed")</f>
        <v/>
      </c>
      <c r="D51" s="13">
        <f>COUNTIFS('Selenium Tests'!C:C, A51, 'Selenium Tests'!N:N, "Failed")+COUNTIFS('Appium E2E Tests'!C:C, A51, 'Appium E2E Tests'!N:N, "Failed")+COUNTIFS('Flutter Tests'!C:C, A51, 'Flutter Tests'!N:N, "Failed")+COUNTIFS('Functional Tests'!C:C, A51, 'Functional Tests'!N:N, "Failed")+COUNTIFS('Load Tests'!C:C, A51, 'Load Tests'!N:N, "Failed")+COUNTIFS('Safe Vulnerability Checks'!C:C, A51, 'Safe Vulnerability Checks'!N:N, "Failed")</f>
        <v/>
      </c>
      <c r="E51" s="13">
        <f>COUNTIFS('Selenium Tests'!C:C, A51, 'Selenium Tests'!N:N, "Skipped")+COUNTIFS('Appium E2E Tests'!C:C, A51, 'Appium E2E Tests'!N:N, "Skipped")+COUNTIFS('Flutter Tests'!C:C, A51, 'Flutter Tests'!N:N, "Skipped")+COUNTIFS('Functional Tests'!C:C, A51, 'Functional Tests'!N:N, "Skipped")+COUNTIFS('Load Tests'!C:C, A51, 'Load Tests'!N:N, "Skipped")+COUNTIFS('Safe Vulnerability Checks'!C:C, A51, 'Safe Vulnerability Checks'!N:N, "Skipped")</f>
        <v/>
      </c>
      <c r="F51" s="13">
        <f>COUNTIFS('Selenium Tests'!C:C, A51, 'Selenium Tests'!N:N, "Blocked")+COUNTIFS('Appium E2E Tests'!C:C, A51, 'Appium E2E Tests'!N:N, "Blocked")+COUNTIFS('Flutter Tests'!C:C, A51, 'Flutter Tests'!N:N, "Blocked")+COUNTIFS('Functional Tests'!C:C, A51, 'Functional Tests'!N:N, "Blocked")+COUNTIFS('Load Tests'!C:C, A51, 'Load Tests'!N:N, "Blocked")+COUNTIFS('Safe Vulnerability Checks'!C:C, A51, 'Safe Vulnerability Checks'!N:N, "Blocked")</f>
        <v/>
      </c>
      <c r="G51" s="13">
        <f>COUNTIFS('Selenium Tests'!C:C, A51, 'Selenium Tests'!N:N, "Not Executed")+COUNTIFS('Appium E2E Tests'!C:C, A51, 'Appium E2E Tests'!N:N, "Not Executed")+COUNTIFS('Flutter Tests'!C:C, A51, 'Flutter Tests'!N:N, "Not Executed")+COUNTIFS('Functional Tests'!C:C, A51, 'Functional Tests'!N:N, "Not Executed")+COUNTIFS('Load Tests'!C:C, A51, 'Load Tests'!N:N, "Not Executed")+COUNTIFS('Safe Vulnerability Checks'!C:C, A51, 'Safe Vulnerability Checks'!N:N, "Not Executed")</f>
        <v/>
      </c>
    </row>
    <row r="52">
      <c r="A52" s="12" t="inlineStr">
        <is>
          <t>Responsive Web UI</t>
        </is>
      </c>
      <c r="B52" s="13">
        <f>COUNTIF('Selenium Tests'!C:C, A52)+COUNTIF('Appium E2E Tests'!C:C, A52)+COUNTIF('Flutter Tests'!C:C, A52)+COUNTIF('Functional Tests'!C:C, A52)+COUNTIF('Load Tests'!C:C, A52)+COUNTIF('Safe Vulnerability Checks'!C:C, A52)</f>
        <v/>
      </c>
      <c r="C52" s="13">
        <f>COUNTIFS('Selenium Tests'!C:C, A52, 'Selenium Tests'!N:N, "Passed")+COUNTIFS('Appium E2E Tests'!C:C, A52, 'Appium E2E Tests'!N:N, "Passed")+COUNTIFS('Flutter Tests'!C:C, A52, 'Flutter Tests'!N:N, "Passed")+COUNTIFS('Functional Tests'!C:C, A52, 'Functional Tests'!N:N, "Passed")+COUNTIFS('Load Tests'!C:C, A52, 'Load Tests'!N:N, "Passed")+COUNTIFS('Safe Vulnerability Checks'!C:C, A52, 'Safe Vulnerability Checks'!N:N, "Passed")</f>
        <v/>
      </c>
      <c r="D52" s="13">
        <f>COUNTIFS('Selenium Tests'!C:C, A52, 'Selenium Tests'!N:N, "Failed")+COUNTIFS('Appium E2E Tests'!C:C, A52, 'Appium E2E Tests'!N:N, "Failed")+COUNTIFS('Flutter Tests'!C:C, A52, 'Flutter Tests'!N:N, "Failed")+COUNTIFS('Functional Tests'!C:C, A52, 'Functional Tests'!N:N, "Failed")+COUNTIFS('Load Tests'!C:C, A52, 'Load Tests'!N:N, "Failed")+COUNTIFS('Safe Vulnerability Checks'!C:C, A52, 'Safe Vulnerability Checks'!N:N, "Failed")</f>
        <v/>
      </c>
      <c r="E52" s="13">
        <f>COUNTIFS('Selenium Tests'!C:C, A52, 'Selenium Tests'!N:N, "Skipped")+COUNTIFS('Appium E2E Tests'!C:C, A52, 'Appium E2E Tests'!N:N, "Skipped")+COUNTIFS('Flutter Tests'!C:C, A52, 'Flutter Tests'!N:N, "Skipped")+COUNTIFS('Functional Tests'!C:C, A52, 'Functional Tests'!N:N, "Skipped")+COUNTIFS('Load Tests'!C:C, A52, 'Load Tests'!N:N, "Skipped")+COUNTIFS('Safe Vulnerability Checks'!C:C, A52, 'Safe Vulnerability Checks'!N:N, "Skipped")</f>
        <v/>
      </c>
      <c r="F52" s="13">
        <f>COUNTIFS('Selenium Tests'!C:C, A52, 'Selenium Tests'!N:N, "Blocked")+COUNTIFS('Appium E2E Tests'!C:C, A52, 'Appium E2E Tests'!N:N, "Blocked")+COUNTIFS('Flutter Tests'!C:C, A52, 'Flutter Tests'!N:N, "Blocked")+COUNTIFS('Functional Tests'!C:C, A52, 'Functional Tests'!N:N, "Blocked")+COUNTIFS('Load Tests'!C:C, A52, 'Load Tests'!N:N, "Blocked")+COUNTIFS('Safe Vulnerability Checks'!C:C, A52, 'Safe Vulnerability Checks'!N:N, "Blocked")</f>
        <v/>
      </c>
      <c r="G52" s="13">
        <f>COUNTIFS('Selenium Tests'!C:C, A52, 'Selenium Tests'!N:N, "Not Executed")+COUNTIFS('Appium E2E Tests'!C:C, A52, 'Appium E2E Tests'!N:N, "Not Executed")+COUNTIFS('Flutter Tests'!C:C, A52, 'Flutter Tests'!N:N, "Not Executed")+COUNTIFS('Functional Tests'!C:C, A52, 'Functional Tests'!N:N, "Not Executed")+COUNTIFS('Load Tests'!C:C, A52, 'Load Tests'!N:N, "Not Executed")+COUNTIFS('Safe Vulnerability Checks'!C:C, A52, 'Safe Vulnerability Checks'!N:N, "Not Executed")</f>
        <v/>
      </c>
    </row>
    <row r="53">
      <c r="A53" s="12" t="inlineStr">
        <is>
          <t>Android UI</t>
        </is>
      </c>
      <c r="B53" s="13">
        <f>COUNTIF('Selenium Tests'!C:C, A53)+COUNTIF('Appium E2E Tests'!C:C, A53)+COUNTIF('Flutter Tests'!C:C, A53)+COUNTIF('Functional Tests'!C:C, A53)+COUNTIF('Load Tests'!C:C, A53)+COUNTIF('Safe Vulnerability Checks'!C:C, A53)</f>
        <v/>
      </c>
      <c r="C53" s="13">
        <f>COUNTIFS('Selenium Tests'!C:C, A53, 'Selenium Tests'!N:N, "Passed")+COUNTIFS('Appium E2E Tests'!C:C, A53, 'Appium E2E Tests'!N:N, "Passed")+COUNTIFS('Flutter Tests'!C:C, A53, 'Flutter Tests'!N:N, "Passed")+COUNTIFS('Functional Tests'!C:C, A53, 'Functional Tests'!N:N, "Passed")+COUNTIFS('Load Tests'!C:C, A53, 'Load Tests'!N:N, "Passed")+COUNTIFS('Safe Vulnerability Checks'!C:C, A53, 'Safe Vulnerability Checks'!N:N, "Passed")</f>
        <v/>
      </c>
      <c r="D53" s="13">
        <f>COUNTIFS('Selenium Tests'!C:C, A53, 'Selenium Tests'!N:N, "Failed")+COUNTIFS('Appium E2E Tests'!C:C, A53, 'Appium E2E Tests'!N:N, "Failed")+COUNTIFS('Flutter Tests'!C:C, A53, 'Flutter Tests'!N:N, "Failed")+COUNTIFS('Functional Tests'!C:C, A53, 'Functional Tests'!N:N, "Failed")+COUNTIFS('Load Tests'!C:C, A53, 'Load Tests'!N:N, "Failed")+COUNTIFS('Safe Vulnerability Checks'!C:C, A53, 'Safe Vulnerability Checks'!N:N, "Failed")</f>
        <v/>
      </c>
      <c r="E53" s="13">
        <f>COUNTIFS('Selenium Tests'!C:C, A53, 'Selenium Tests'!N:N, "Skipped")+COUNTIFS('Appium E2E Tests'!C:C, A53, 'Appium E2E Tests'!N:N, "Skipped")+COUNTIFS('Flutter Tests'!C:C, A53, 'Flutter Tests'!N:N, "Skipped")+COUNTIFS('Functional Tests'!C:C, A53, 'Functional Tests'!N:N, "Skipped")+COUNTIFS('Load Tests'!C:C, A53, 'Load Tests'!N:N, "Skipped")+COUNTIFS('Safe Vulnerability Checks'!C:C, A53, 'Safe Vulnerability Checks'!N:N, "Skipped")</f>
        <v/>
      </c>
      <c r="F53" s="13">
        <f>COUNTIFS('Selenium Tests'!C:C, A53, 'Selenium Tests'!N:N, "Blocked")+COUNTIFS('Appium E2E Tests'!C:C, A53, 'Appium E2E Tests'!N:N, "Blocked")+COUNTIFS('Flutter Tests'!C:C, A53, 'Flutter Tests'!N:N, "Blocked")+COUNTIFS('Functional Tests'!C:C, A53, 'Functional Tests'!N:N, "Blocked")+COUNTIFS('Load Tests'!C:C, A53, 'Load Tests'!N:N, "Blocked")+COUNTIFS('Safe Vulnerability Checks'!C:C, A53, 'Safe Vulnerability Checks'!N:N, "Blocked")</f>
        <v/>
      </c>
      <c r="G53" s="13">
        <f>COUNTIFS('Selenium Tests'!C:C, A53, 'Selenium Tests'!N:N, "Not Executed")+COUNTIFS('Appium E2E Tests'!C:C, A53, 'Appium E2E Tests'!N:N, "Not Executed")+COUNTIFS('Flutter Tests'!C:C, A53, 'Flutter Tests'!N:N, "Not Executed")+COUNTIFS('Functional Tests'!C:C, A53, 'Functional Tests'!N:N, "Not Executed")+COUNTIFS('Load Tests'!C:C, A53, 'Load Tests'!N:N, "Not Executed")+COUNTIFS('Safe Vulnerability Checks'!C:C, A53, 'Safe Vulnerability Checks'!N:N, "Not Executed")</f>
        <v/>
      </c>
    </row>
    <row r="54">
      <c r="A54" s="12" t="inlineStr">
        <is>
          <t>Error Handling</t>
        </is>
      </c>
      <c r="B54" s="13">
        <f>COUNTIF('Selenium Tests'!C:C, A54)+COUNTIF('Appium E2E Tests'!C:C, A54)+COUNTIF('Flutter Tests'!C:C, A54)+COUNTIF('Functional Tests'!C:C, A54)+COUNTIF('Load Tests'!C:C, A54)+COUNTIF('Safe Vulnerability Checks'!C:C, A54)</f>
        <v/>
      </c>
      <c r="C54" s="13">
        <f>COUNTIFS('Selenium Tests'!C:C, A54, 'Selenium Tests'!N:N, "Passed")+COUNTIFS('Appium E2E Tests'!C:C, A54, 'Appium E2E Tests'!N:N, "Passed")+COUNTIFS('Flutter Tests'!C:C, A54, 'Flutter Tests'!N:N, "Passed")+COUNTIFS('Functional Tests'!C:C, A54, 'Functional Tests'!N:N, "Passed")+COUNTIFS('Load Tests'!C:C, A54, 'Load Tests'!N:N, "Passed")+COUNTIFS('Safe Vulnerability Checks'!C:C, A54, 'Safe Vulnerability Checks'!N:N, "Passed")</f>
        <v/>
      </c>
      <c r="D54" s="13">
        <f>COUNTIFS('Selenium Tests'!C:C, A54, 'Selenium Tests'!N:N, "Failed")+COUNTIFS('Appium E2E Tests'!C:C, A54, 'Appium E2E Tests'!N:N, "Failed")+COUNTIFS('Flutter Tests'!C:C, A54, 'Flutter Tests'!N:N, "Failed")+COUNTIFS('Functional Tests'!C:C, A54, 'Functional Tests'!N:N, "Failed")+COUNTIFS('Load Tests'!C:C, A54, 'Load Tests'!N:N, "Failed")+COUNTIFS('Safe Vulnerability Checks'!C:C, A54, 'Safe Vulnerability Checks'!N:N, "Failed")</f>
        <v/>
      </c>
      <c r="E54" s="13">
        <f>COUNTIFS('Selenium Tests'!C:C, A54, 'Selenium Tests'!N:N, "Skipped")+COUNTIFS('Appium E2E Tests'!C:C, A54, 'Appium E2E Tests'!N:N, "Skipped")+COUNTIFS('Flutter Tests'!C:C, A54, 'Flutter Tests'!N:N, "Skipped")+COUNTIFS('Functional Tests'!C:C, A54, 'Functional Tests'!N:N, "Skipped")+COUNTIFS('Load Tests'!C:C, A54, 'Load Tests'!N:N, "Skipped")+COUNTIFS('Safe Vulnerability Checks'!C:C, A54, 'Safe Vulnerability Checks'!N:N, "Skipped")</f>
        <v/>
      </c>
      <c r="F54" s="13">
        <f>COUNTIFS('Selenium Tests'!C:C, A54, 'Selenium Tests'!N:N, "Blocked")+COUNTIFS('Appium E2E Tests'!C:C, A54, 'Appium E2E Tests'!N:N, "Blocked")+COUNTIFS('Flutter Tests'!C:C, A54, 'Flutter Tests'!N:N, "Blocked")+COUNTIFS('Functional Tests'!C:C, A54, 'Functional Tests'!N:N, "Blocked")+COUNTIFS('Load Tests'!C:C, A54, 'Load Tests'!N:N, "Blocked")+COUNTIFS('Safe Vulnerability Checks'!C:C, A54, 'Safe Vulnerability Checks'!N:N, "Blocked")</f>
        <v/>
      </c>
      <c r="G54" s="13">
        <f>COUNTIFS('Selenium Tests'!C:C, A54, 'Selenium Tests'!N:N, "Not Executed")+COUNTIFS('Appium E2E Tests'!C:C, A54, 'Appium E2E Tests'!N:N, "Not Executed")+COUNTIFS('Flutter Tests'!C:C, A54, 'Flutter Tests'!N:N, "Not Executed")+COUNTIFS('Functional Tests'!C:C, A54, 'Functional Tests'!N:N, "Not Executed")+COUNTIFS('Load Tests'!C:C, A54, 'Load Tests'!N:N, "Not Executed")+COUNTIFS('Safe Vulnerability Checks'!C:C, A54, 'Safe Vulnerability Checks'!N:N, "Not Executed")</f>
        <v/>
      </c>
    </row>
    <row r="55">
      <c r="A55" s="12" t="inlineStr">
        <is>
          <t>Logout</t>
        </is>
      </c>
      <c r="B55" s="13">
        <f>COUNTIF('Selenium Tests'!C:C, A55)+COUNTIF('Appium E2E Tests'!C:C, A55)+COUNTIF('Flutter Tests'!C:C, A55)+COUNTIF('Functional Tests'!C:C, A55)+COUNTIF('Load Tests'!C:C, A55)+COUNTIF('Safe Vulnerability Checks'!C:C, A55)</f>
        <v/>
      </c>
      <c r="C55" s="13">
        <f>COUNTIFS('Selenium Tests'!C:C, A55, 'Selenium Tests'!N:N, "Passed")+COUNTIFS('Appium E2E Tests'!C:C, A55, 'Appium E2E Tests'!N:N, "Passed")+COUNTIFS('Flutter Tests'!C:C, A55, 'Flutter Tests'!N:N, "Passed")+COUNTIFS('Functional Tests'!C:C, A55, 'Functional Tests'!N:N, "Passed")+COUNTIFS('Load Tests'!C:C, A55, 'Load Tests'!N:N, "Passed")+COUNTIFS('Safe Vulnerability Checks'!C:C, A55, 'Safe Vulnerability Checks'!N:N, "Passed")</f>
        <v/>
      </c>
      <c r="D55" s="13">
        <f>COUNTIFS('Selenium Tests'!C:C, A55, 'Selenium Tests'!N:N, "Failed")+COUNTIFS('Appium E2E Tests'!C:C, A55, 'Appium E2E Tests'!N:N, "Failed")+COUNTIFS('Flutter Tests'!C:C, A55, 'Flutter Tests'!N:N, "Failed")+COUNTIFS('Functional Tests'!C:C, A55, 'Functional Tests'!N:N, "Failed")+COUNTIFS('Load Tests'!C:C, A55, 'Load Tests'!N:N, "Failed")+COUNTIFS('Safe Vulnerability Checks'!C:C, A55, 'Safe Vulnerability Checks'!N:N, "Failed")</f>
        <v/>
      </c>
      <c r="E55" s="13">
        <f>COUNTIFS('Selenium Tests'!C:C, A55, 'Selenium Tests'!N:N, "Skipped")+COUNTIFS('Appium E2E Tests'!C:C, A55, 'Appium E2E Tests'!N:N, "Skipped")+COUNTIFS('Flutter Tests'!C:C, A55, 'Flutter Tests'!N:N, "Skipped")+COUNTIFS('Functional Tests'!C:C, A55, 'Functional Tests'!N:N, "Skipped")+COUNTIFS('Load Tests'!C:C, A55, 'Load Tests'!N:N, "Skipped")+COUNTIFS('Safe Vulnerability Checks'!C:C, A55, 'Safe Vulnerability Checks'!N:N, "Skipped")</f>
        <v/>
      </c>
      <c r="F55" s="13">
        <f>COUNTIFS('Selenium Tests'!C:C, A55, 'Selenium Tests'!N:N, "Blocked")+COUNTIFS('Appium E2E Tests'!C:C, A55, 'Appium E2E Tests'!N:N, "Blocked")+COUNTIFS('Flutter Tests'!C:C, A55, 'Flutter Tests'!N:N, "Blocked")+COUNTIFS('Functional Tests'!C:C, A55, 'Functional Tests'!N:N, "Blocked")+COUNTIFS('Load Tests'!C:C, A55, 'Load Tests'!N:N, "Blocked")+COUNTIFS('Safe Vulnerability Checks'!C:C, A55, 'Safe Vulnerability Checks'!N:N, "Blocked")</f>
        <v/>
      </c>
      <c r="G55" s="13">
        <f>COUNTIFS('Selenium Tests'!C:C, A55, 'Selenium Tests'!N:N, "Not Executed")+COUNTIFS('Appium E2E Tests'!C:C, A55, 'Appium E2E Tests'!N:N, "Not Executed")+COUNTIFS('Flutter Tests'!C:C, A55, 'Flutter Tests'!N:N, "Not Executed")+COUNTIFS('Functional Tests'!C:C, A55, 'Functional Tests'!N:N, "Not Executed")+COUNTIFS('Load Tests'!C:C, A55, 'Load Tests'!N:N, "Not Executed")+COUNTIFS('Safe Vulnerability Checks'!C:C, A55, 'Safe Vulnerability Checks'!N:N, "Not Executed")</f>
        <v/>
      </c>
    </row>
    <row r="56">
      <c r="A56" s="14" t="inlineStr">
        <is>
          <t>Total All Modules</t>
        </is>
      </c>
      <c r="B56" s="10">
        <f>SUM(B19:B55)</f>
        <v/>
      </c>
      <c r="C56" s="10">
        <f>SUM(C19:C55)</f>
        <v/>
      </c>
      <c r="D56" s="10">
        <f>SUM(D19:D55)</f>
        <v/>
      </c>
      <c r="E56" s="10">
        <f>SUM(E19:E55)</f>
        <v/>
      </c>
      <c r="F56" s="10">
        <f>SUM(F19:F55)</f>
        <v/>
      </c>
      <c r="G56" s="10">
        <f>SUM(G19:G55)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20" customWidth="1" min="3" max="3"/>
    <col width="30" customWidth="1" min="4" max="4"/>
    <col width="35" customWidth="1" min="5" max="5"/>
    <col width="35" customWidth="1" min="6" max="6"/>
    <col width="30" customWidth="1" min="7" max="7"/>
    <col width="45" customWidth="1" min="8" max="8"/>
    <col width="25" customWidth="1" min="9" max="9"/>
    <col width="35" customWidth="1" min="10" max="10"/>
    <col width="20" customWidth="1" min="11" max="11"/>
    <col width="12" customWidth="1" min="12" max="12"/>
    <col width="12" customWidth="1" min="13" max="13"/>
    <col width="15" customWidth="1" min="14" max="14"/>
    <col width="25" customWidth="1" min="15" max="15"/>
    <col width="25" customWidth="1" min="16" max="16"/>
  </cols>
  <sheetData>
    <row r="1" ht="28" customHeight="1">
      <c r="A1" s="15" t="inlineStr">
        <is>
          <t>Test Case ID</t>
        </is>
      </c>
      <c r="B1" s="15" t="inlineStr">
        <is>
          <t>Testing Type</t>
        </is>
      </c>
      <c r="C1" s="15" t="inlineStr">
        <is>
          <t>Module</t>
        </is>
      </c>
      <c r="D1" s="15" t="inlineStr">
        <is>
          <t>Test Scenario</t>
        </is>
      </c>
      <c r="E1" s="15" t="inlineStr">
        <is>
          <t>Test Case Title</t>
        </is>
      </c>
      <c r="F1" s="15" t="inlineStr">
        <is>
          <t>Objective</t>
        </is>
      </c>
      <c r="G1" s="15" t="inlineStr">
        <is>
          <t>Preconditions</t>
        </is>
      </c>
      <c r="H1" s="15" t="inlineStr">
        <is>
          <t>Test Steps</t>
        </is>
      </c>
      <c r="I1" s="15" t="inlineStr">
        <is>
          <t>Test Data</t>
        </is>
      </c>
      <c r="J1" s="15" t="inlineStr">
        <is>
          <t>Expected Result</t>
        </is>
      </c>
      <c r="K1" s="15" t="inlineStr">
        <is>
          <t>Actual Result</t>
        </is>
      </c>
      <c r="L1" s="15" t="inlineStr">
        <is>
          <t>Priority</t>
        </is>
      </c>
      <c r="M1" s="15" t="inlineStr">
        <is>
          <t>Severity</t>
        </is>
      </c>
      <c r="N1" s="15" t="inlineStr">
        <is>
          <t>Status</t>
        </is>
      </c>
      <c r="O1" s="15" t="inlineStr">
        <is>
          <t>Evidence Path</t>
        </is>
      </c>
      <c r="P1" s="15" t="inlineStr">
        <is>
          <t>Remarks</t>
        </is>
      </c>
    </row>
    <row r="2" ht="36" customHeight="1">
      <c r="A2" s="16" t="inlineStr">
        <is>
          <t>SEL-WEB-001</t>
        </is>
      </c>
      <c r="B2" s="16" t="inlineStr">
        <is>
          <t>Selenium Web UI Testing</t>
        </is>
      </c>
      <c r="C2" s="17" t="inlineStr">
        <is>
          <t>Splash</t>
        </is>
      </c>
      <c r="D2" s="17" t="inlineStr">
        <is>
          <t>Verify page load responsiveness across desktop break points in Splash module</t>
        </is>
      </c>
      <c r="E2" s="17" t="inlineStr">
        <is>
          <t>Web UI - Splash - Verify page load responsiveness across desktop break points (#1)</t>
        </is>
      </c>
      <c r="F2" s="17" t="inlineStr">
        <is>
          <t>Ensure Splash web UI component operates seamlessly under Chrome/Firefox/Edge Selenium driver.</t>
        </is>
      </c>
      <c r="G2" s="17" t="inlineStr">
        <is>
          <t>Browser session active, navigated to NutriFit Web app Splash route.</t>
        </is>
      </c>
      <c r="H2" s="17" t="inlineStr">
        <is>
          <t>1. Open NutriFit Web app on Chrome/Edge.
2. Navigate to Splash screen.
3. Launch web browser at 1920x1080 resolution, navigate to portal, verify layout grid and header alignment.
4. Capture DOM state and screenshot.</t>
        </is>
      </c>
      <c r="I2" s="17" t="inlineStr">
        <is>
          <t>Module: Splash, Viewport: 1920x1080, Data: Standard viewport 1920x1080</t>
        </is>
      </c>
      <c r="J2" s="17" t="inlineStr">
        <is>
          <t>Layout scales seamlessly without horizontal overflow or overlapping text elements. on Splash module.</t>
        </is>
      </c>
      <c r="K2" s="17" t="inlineStr">
        <is>
          <t>Pending Execution</t>
        </is>
      </c>
      <c r="L2" s="16" t="inlineStr">
        <is>
          <t>Medium</t>
        </is>
      </c>
      <c r="M2" s="16" t="inlineStr">
        <is>
          <t>Moderate</t>
        </is>
      </c>
      <c r="N2" s="18" t="inlineStr">
        <is>
          <t>Not Executed</t>
        </is>
      </c>
      <c r="O2" s="17" t="inlineStr">
        <is>
          <t>evidence/sel-web-001_screenshot.png</t>
        </is>
      </c>
      <c r="P2" s="17" t="inlineStr">
        <is>
          <t>Automated baseline generation</t>
        </is>
      </c>
    </row>
    <row r="3" ht="36" customHeight="1">
      <c r="A3" s="16" t="inlineStr">
        <is>
          <t>SEL-WEB-002</t>
        </is>
      </c>
      <c r="B3" s="16" t="inlineStr">
        <is>
          <t>Selenium Web UI Testing</t>
        </is>
      </c>
      <c r="C3" s="17" t="inlineStr">
        <is>
          <t>Login</t>
        </is>
      </c>
      <c r="D3" s="17" t="inlineStr">
        <is>
          <t>Verify form input validations and error hints in Login module</t>
        </is>
      </c>
      <c r="E3" s="17" t="inlineStr">
        <is>
          <t>Web UI - Login - Verify form input validations and error hints (#2)</t>
        </is>
      </c>
      <c r="F3" s="17" t="inlineStr">
        <is>
          <t>Ensure Login web UI component operates seamlessly under Chrome/Firefox/Edge Selenium driver.</t>
        </is>
      </c>
      <c r="G3" s="17" t="inlineStr">
        <is>
          <t>Browser session active, navigated to NutriFit Web app Login route.</t>
        </is>
      </c>
      <c r="H3" s="17" t="inlineStr">
        <is>
          <t>1. Open NutriFit Web app on Chrome/Edge.
2. Navigate to Login screen.
3. Focus input field, enter invalid format data, trigger blur event, inspect validation error badge.
4. Capture DOM state and screenshot.</t>
        </is>
      </c>
      <c r="I3" s="17" t="inlineStr">
        <is>
          <t>Module: Login, Viewport: 1920x1080, Data: Invalid test string / out-of-bounds input</t>
        </is>
      </c>
      <c r="J3" s="17" t="inlineStr">
        <is>
          <t>Clear validation message displayed immediately under field. on Login module.</t>
        </is>
      </c>
      <c r="K3" s="17" t="inlineStr">
        <is>
          <t>Pending Execution</t>
        </is>
      </c>
      <c r="L3" s="16" t="inlineStr">
        <is>
          <t>Medium</t>
        </is>
      </c>
      <c r="M3" s="16" t="inlineStr">
        <is>
          <t>Major</t>
        </is>
      </c>
      <c r="N3" s="18" t="inlineStr">
        <is>
          <t>Not Executed</t>
        </is>
      </c>
      <c r="O3" s="17" t="inlineStr">
        <is>
          <t>evidence/sel-web-002_screenshot.png</t>
        </is>
      </c>
      <c r="P3" s="17" t="inlineStr">
        <is>
          <t>Automated baseline generation</t>
        </is>
      </c>
    </row>
    <row r="4" ht="36" customHeight="1">
      <c r="A4" s="16" t="inlineStr">
        <is>
          <t>SEL-WEB-003</t>
        </is>
      </c>
      <c r="B4" s="16" t="inlineStr">
        <is>
          <t>Selenium Web UI Testing</t>
        </is>
      </c>
      <c r="C4" s="17" t="inlineStr">
        <is>
          <t>Signup</t>
        </is>
      </c>
      <c r="D4" s="17" t="inlineStr">
        <is>
          <t>Verify interactive button states and hover effects in Signup module</t>
        </is>
      </c>
      <c r="E4" s="17" t="inlineStr">
        <is>
          <t>Web UI - Signup - Verify interactive button states and hover effects (#3)</t>
        </is>
      </c>
      <c r="F4" s="17" t="inlineStr">
        <is>
          <t>Ensure Signup web UI component operates seamlessly under Chrome/Firefox/Edge Selenium driver.</t>
        </is>
      </c>
      <c r="G4" s="17" t="inlineStr">
        <is>
          <t>Browser session active, navigated to NutriFit Web app Signup route.</t>
        </is>
      </c>
      <c r="H4" s="17" t="inlineStr">
        <is>
          <t>1. Open NutriFit Web app on Chrome/Edge.
2. Navigate to Signup screen.
3. Hover mouse over primary action button, verify CSS transition, click button.
4. Capture DOM state and screenshot.</t>
        </is>
      </c>
      <c r="I4" s="17" t="inlineStr">
        <is>
          <t>Module: Signup, Viewport: 1920x1080, Data: Primary CTA button selector</t>
        </is>
      </c>
      <c r="J4" s="17" t="inlineStr">
        <is>
          <t>Button transforms smoothly on hover and handles click event correctly. on Signup module.</t>
        </is>
      </c>
      <c r="K4" s="17" t="inlineStr">
        <is>
          <t>Pending Execution</t>
        </is>
      </c>
      <c r="L4" s="16" t="inlineStr">
        <is>
          <t>High</t>
        </is>
      </c>
      <c r="M4" s="16" t="inlineStr">
        <is>
          <t>Moderate</t>
        </is>
      </c>
      <c r="N4" s="18" t="inlineStr">
        <is>
          <t>Not Executed</t>
        </is>
      </c>
      <c r="O4" s="17" t="inlineStr">
        <is>
          <t>evidence/sel-web-003_screenshot.png</t>
        </is>
      </c>
      <c r="P4" s="17" t="inlineStr">
        <is>
          <t>Automated baseline generation</t>
        </is>
      </c>
    </row>
    <row r="5" ht="36" customHeight="1">
      <c r="A5" s="16" t="inlineStr">
        <is>
          <t>SEL-WEB-004</t>
        </is>
      </c>
      <c r="B5" s="16" t="inlineStr">
        <is>
          <t>Selenium Web UI Testing</t>
        </is>
      </c>
      <c r="C5" s="17" t="inlineStr">
        <is>
          <t>Forgot Password</t>
        </is>
      </c>
      <c r="D5" s="17" t="inlineStr">
        <is>
          <t>Verify modal dialog overlay behavior in Forgot Password module</t>
        </is>
      </c>
      <c r="E5" s="17" t="inlineStr">
        <is>
          <t>Web UI - Forgot Password - Verify modal dialog overlay behavior (#4)</t>
        </is>
      </c>
      <c r="F5" s="17" t="inlineStr">
        <is>
          <t>Ensure Forgot Password web UI component operates seamlessly under Chrome/Firefox/Edge Selenium driver.</t>
        </is>
      </c>
      <c r="G5" s="17" t="inlineStr">
        <is>
          <t>Browser session active, navigated to NutriFit Web app Forgot Password route.</t>
        </is>
      </c>
      <c r="H5" s="17" t="inlineStr">
        <is>
          <t>1. Open NutriFit Web app on Chrome/Edge.
2. Navigate to Forgot Password screen.
3. Trigger action opening dynamic modal, verify backdrop blur, click close icon.
4. Capture DOM state and screenshot.</t>
        </is>
      </c>
      <c r="I5" s="17" t="inlineStr">
        <is>
          <t>Module: Forgot Password, Viewport: 1920x1080, Data: Modal trigger event</t>
        </is>
      </c>
      <c r="J5" s="17" t="inlineStr">
        <is>
          <t>Modal opens centered with focus trap; closes cleanly on overlay/icon click. on Forgot Password module.</t>
        </is>
      </c>
      <c r="K5" s="17" t="inlineStr">
        <is>
          <t>Pending Execution</t>
        </is>
      </c>
      <c r="L5" s="16" t="inlineStr">
        <is>
          <t>Medium</t>
        </is>
      </c>
      <c r="M5" s="16" t="inlineStr">
        <is>
          <t>Major</t>
        </is>
      </c>
      <c r="N5" s="18" t="inlineStr">
        <is>
          <t>Not Executed</t>
        </is>
      </c>
      <c r="O5" s="17" t="inlineStr">
        <is>
          <t>evidence/sel-web-004_screenshot.png</t>
        </is>
      </c>
      <c r="P5" s="17" t="inlineStr">
        <is>
          <t>Automated baseline generation</t>
        </is>
      </c>
    </row>
    <row r="6" ht="36" customHeight="1">
      <c r="A6" s="16" t="inlineStr">
        <is>
          <t>SEL-WEB-005</t>
        </is>
      </c>
      <c r="B6" s="16" t="inlineStr">
        <is>
          <t>Selenium Web UI Testing</t>
        </is>
      </c>
      <c r="C6" s="17" t="inlineStr">
        <is>
          <t>Email Verification</t>
        </is>
      </c>
      <c r="D6" s="17" t="inlineStr">
        <is>
          <t>Verify table sorting and pagination controls in Email Verification module</t>
        </is>
      </c>
      <c r="E6" s="17" t="inlineStr">
        <is>
          <t>Web UI - Email Verification - Verify table sorting and pagination controls (#5)</t>
        </is>
      </c>
      <c r="F6" s="17" t="inlineStr">
        <is>
          <t>Ensure Email Verification web UI component operates seamlessly under Chrome/Firefox/Edge Selenium driver.</t>
        </is>
      </c>
      <c r="G6" s="17" t="inlineStr">
        <is>
          <t>Browser session active, navigated to NutriFit Web app Email Verification route.</t>
        </is>
      </c>
      <c r="H6" s="17" t="inlineStr">
        <is>
          <t>1. Open NutriFit Web app on Chrome/Edge.
2. Navigate to Email Verification screen.
3. Navigate to list view, click table column header for sorting, click next page button.
4. Capture DOM state and screenshot.</t>
        </is>
      </c>
      <c r="I6" s="17" t="inlineStr">
        <is>
          <t>Module: Email Verification, Viewport: 1920x1080, Data: Page size = 10</t>
        </is>
      </c>
      <c r="J6" s="17" t="inlineStr">
        <is>
          <t>Table updates sorted order instantly; page 2 records load cleanly. on Email Verification module.</t>
        </is>
      </c>
      <c r="K6" s="17" t="inlineStr">
        <is>
          <t>Pending Execution</t>
        </is>
      </c>
      <c r="L6" s="16" t="inlineStr">
        <is>
          <t>Low</t>
        </is>
      </c>
      <c r="M6" s="16" t="inlineStr">
        <is>
          <t>Moderate</t>
        </is>
      </c>
      <c r="N6" s="18" t="inlineStr">
        <is>
          <t>Not Executed</t>
        </is>
      </c>
      <c r="O6" s="17" t="inlineStr">
        <is>
          <t>evidence/sel-web-005_screenshot.png</t>
        </is>
      </c>
      <c r="P6" s="17" t="inlineStr">
        <is>
          <t>Automated baseline generation</t>
        </is>
      </c>
    </row>
    <row r="7" ht="36" customHeight="1">
      <c r="A7" s="16" t="inlineStr">
        <is>
          <t>SEL-WEB-006</t>
        </is>
      </c>
      <c r="B7" s="16" t="inlineStr">
        <is>
          <t>Selenium Web UI Testing</t>
        </is>
      </c>
      <c r="C7" s="17" t="inlineStr">
        <is>
          <t>Onboarding</t>
        </is>
      </c>
      <c r="D7" s="17" t="inlineStr">
        <is>
          <t>Verify theme switching (Dark/Light mode) on Web in Onboarding module</t>
        </is>
      </c>
      <c r="E7" s="17" t="inlineStr">
        <is>
          <t>Web UI - Onboarding - Verify theme switching (Dark/Light mode) on Web (#6)</t>
        </is>
      </c>
      <c r="F7" s="17" t="inlineStr">
        <is>
          <t>Ensure Onboarding web UI component operates seamlessly under Chrome/Firefox/Edge Selenium driver.</t>
        </is>
      </c>
      <c r="G7" s="17" t="inlineStr">
        <is>
          <t>Browser session active, navigated to NutriFit Web app Onboarding route.</t>
        </is>
      </c>
      <c r="H7" s="17" t="inlineStr">
        <is>
          <t>1. Open NutriFit Web app on Chrome/Edge.
2. Navigate to Onboarding screen.
3. Click theme toggle switch in global header navbar.
4. Capture DOM state and screenshot.</t>
        </is>
      </c>
      <c r="I7" s="17" t="inlineStr">
        <is>
          <t>Module: Onboarding, Viewport: 1920x1080, Data: Theme toggle selector</t>
        </is>
      </c>
      <c r="J7" s="17" t="inlineStr">
        <is>
          <t>UI colors switch smoothly across all visible DOM containers. on Onboarding module.</t>
        </is>
      </c>
      <c r="K7" s="17" t="inlineStr">
        <is>
          <t>Pending Execution</t>
        </is>
      </c>
      <c r="L7" s="16" t="inlineStr">
        <is>
          <t>High</t>
        </is>
      </c>
      <c r="M7" s="16" t="inlineStr">
        <is>
          <t>Major</t>
        </is>
      </c>
      <c r="N7" s="18" t="inlineStr">
        <is>
          <t>Not Executed</t>
        </is>
      </c>
      <c r="O7" s="17" t="inlineStr">
        <is>
          <t>evidence/sel-web-006_screenshot.png</t>
        </is>
      </c>
      <c r="P7" s="17" t="inlineStr">
        <is>
          <t>Automated baseline generation</t>
        </is>
      </c>
    </row>
    <row r="8" ht="36" customHeight="1">
      <c r="A8" s="16" t="inlineStr">
        <is>
          <t>SEL-WEB-007</t>
        </is>
      </c>
      <c r="B8" s="16" t="inlineStr">
        <is>
          <t>Selenium Web UI Testing</t>
        </is>
      </c>
      <c r="C8" s="17" t="inlineStr">
        <is>
          <t>Dashboard</t>
        </is>
      </c>
      <c r="D8" s="17" t="inlineStr">
        <is>
          <t>Verify navigation drawer opening and item selection in Dashboard module</t>
        </is>
      </c>
      <c r="E8" s="17" t="inlineStr">
        <is>
          <t>Web UI - Dashboard - Verify navigation drawer opening and item selection (#7)</t>
        </is>
      </c>
      <c r="F8" s="17" t="inlineStr">
        <is>
          <t>Ensure Dashboard web UI component operates seamlessly under Chrome/Firefox/Edge Selenium driver.</t>
        </is>
      </c>
      <c r="G8" s="17" t="inlineStr">
        <is>
          <t>Browser session active, navigated to NutriFit Web app Dashboard route.</t>
        </is>
      </c>
      <c r="H8" s="17" t="inlineStr">
        <is>
          <t>1. Open NutriFit Web app on Chrome/Edge.
2. Navigate to Dashboard screen.
3. Click hamburger menu icon, select target sidebar menu item.
4. Capture DOM state and screenshot.</t>
        </is>
      </c>
      <c r="I8" s="17" t="inlineStr">
        <is>
          <t>Module: Dashboard, Viewport: 1920x1080, Data: Sidebar nav items</t>
        </is>
      </c>
      <c r="J8" s="17" t="inlineStr">
        <is>
          <t>Drawer slides out smoothly and routes user to target page. on Dashboard module.</t>
        </is>
      </c>
      <c r="K8" s="17" t="inlineStr">
        <is>
          <t>Pending Execution</t>
        </is>
      </c>
      <c r="L8" s="16" t="inlineStr">
        <is>
          <t>Medium</t>
        </is>
      </c>
      <c r="M8" s="16" t="inlineStr">
        <is>
          <t>Critical</t>
        </is>
      </c>
      <c r="N8" s="18" t="inlineStr">
        <is>
          <t>Not Executed</t>
        </is>
      </c>
      <c r="O8" s="17" t="inlineStr">
        <is>
          <t>evidence/sel-web-007_screenshot.png</t>
        </is>
      </c>
      <c r="P8" s="17" t="inlineStr">
        <is>
          <t>Automated baseline generation</t>
        </is>
      </c>
    </row>
    <row r="9" ht="36" customHeight="1">
      <c r="A9" s="16" t="inlineStr">
        <is>
          <t>SEL-WEB-008</t>
        </is>
      </c>
      <c r="B9" s="16" t="inlineStr">
        <is>
          <t>Selenium Web UI Testing</t>
        </is>
      </c>
      <c r="C9" s="17" t="inlineStr">
        <is>
          <t>Profile</t>
        </is>
      </c>
      <c r="D9" s="17" t="inlineStr">
        <is>
          <t>Verify image lazy loading and fallback rendering in Profile module</t>
        </is>
      </c>
      <c r="E9" s="17" t="inlineStr">
        <is>
          <t>Web UI - Profile - Verify image lazy loading and fallback rendering (#8)</t>
        </is>
      </c>
      <c r="F9" s="17" t="inlineStr">
        <is>
          <t>Ensure Profile web UI component operates seamlessly under Chrome/Firefox/Edge Selenium driver.</t>
        </is>
      </c>
      <c r="G9" s="17" t="inlineStr">
        <is>
          <t>Browser session active, navigated to NutriFit Web app Profile route.</t>
        </is>
      </c>
      <c r="H9" s="17" t="inlineStr">
        <is>
          <t>1. Open NutriFit Web app on Chrome/Edge.
2. Navigate to Profile screen.
3. Scroll down page rapidly to trigger image viewports.
4. Capture DOM state and screenshot.</t>
        </is>
      </c>
      <c r="I9" s="17" t="inlineStr">
        <is>
          <t>Module: Profile, Viewport: 1920x1080, Data: High-res recipe / product images</t>
        </is>
      </c>
      <c r="J9" s="17" t="inlineStr">
        <is>
          <t>Images display lazy loading placeholders before rendering final image asset cleanly. on Profile module.</t>
        </is>
      </c>
      <c r="K9" s="17" t="inlineStr">
        <is>
          <t>Pending Execution</t>
        </is>
      </c>
      <c r="L9" s="16" t="inlineStr">
        <is>
          <t>Medium</t>
        </is>
      </c>
      <c r="M9" s="16" t="inlineStr">
        <is>
          <t>Major</t>
        </is>
      </c>
      <c r="N9" s="18" t="inlineStr">
        <is>
          <t>Not Executed</t>
        </is>
      </c>
      <c r="O9" s="17" t="inlineStr">
        <is>
          <t>evidence/sel-web-008_screenshot.png</t>
        </is>
      </c>
      <c r="P9" s="17" t="inlineStr">
        <is>
          <t>Automated baseline generation</t>
        </is>
      </c>
    </row>
    <row r="10" ht="36" customHeight="1">
      <c r="A10" s="16" t="inlineStr">
        <is>
          <t>SEL-WEB-009</t>
        </is>
      </c>
      <c r="B10" s="16" t="inlineStr">
        <is>
          <t>Selenium Web UI Testing</t>
        </is>
      </c>
      <c r="C10" s="17" t="inlineStr">
        <is>
          <t>Language Settings</t>
        </is>
      </c>
      <c r="D10" s="17" t="inlineStr">
        <is>
          <t>Verify browser back and forward navigation history in Language Settings module</t>
        </is>
      </c>
      <c r="E10" s="17" t="inlineStr">
        <is>
          <t>Web UI - Language Settings - Verify browser back and forward navigation history (#9)</t>
        </is>
      </c>
      <c r="F10" s="17" t="inlineStr">
        <is>
          <t>Ensure Language Settings web UI component operates seamlessly under Chrome/Firefox/Edge Selenium driver.</t>
        </is>
      </c>
      <c r="G10" s="17" t="inlineStr">
        <is>
          <t>Browser session active, navigated to NutriFit Web app Language Settings route.</t>
        </is>
      </c>
      <c r="H10" s="17" t="inlineStr">
        <is>
          <t>1. Open NutriFit Web app on Chrome/Edge.
2. Navigate to Language Settings screen.
3. Navigate from Dashboard -&gt; Shop -&gt; Product Details, click browser Back, then Forward.
4. Capture DOM state and screenshot.</t>
        </is>
      </c>
      <c r="I10" s="17" t="inlineStr">
        <is>
          <t>Module: Language Settings, Viewport: 1920x1080, Data: Browser history stack</t>
        </is>
      </c>
      <c r="J10" s="17" t="inlineStr">
        <is>
          <t>URL state and page DOM sync perfectly with browser history state. on Language Settings module.</t>
        </is>
      </c>
      <c r="K10" s="17" t="inlineStr">
        <is>
          <t>Pending Execution</t>
        </is>
      </c>
      <c r="L10" s="16" t="inlineStr">
        <is>
          <t>High</t>
        </is>
      </c>
      <c r="M10" s="16" t="inlineStr">
        <is>
          <t>Moderate</t>
        </is>
      </c>
      <c r="N10" s="18" t="inlineStr">
        <is>
          <t>Not Executed</t>
        </is>
      </c>
      <c r="O10" s="17" t="inlineStr">
        <is>
          <t>evidence/sel-web-009_screenshot.png</t>
        </is>
      </c>
      <c r="P10" s="17" t="inlineStr">
        <is>
          <t>Automated baseline generation</t>
        </is>
      </c>
    </row>
    <row r="11" ht="36" customHeight="1">
      <c r="A11" s="16" t="inlineStr">
        <is>
          <t>SEL-WEB-010</t>
        </is>
      </c>
      <c r="B11" s="16" t="inlineStr">
        <is>
          <t>Selenium Web UI Testing</t>
        </is>
      </c>
      <c r="C11" s="17" t="inlineStr">
        <is>
          <t>AI Trainer</t>
        </is>
      </c>
      <c r="D11" s="17" t="inlineStr">
        <is>
          <t>Verify accessibility aria-labels and keyboard tab traversal in AI Trainer module</t>
        </is>
      </c>
      <c r="E11" s="17" t="inlineStr">
        <is>
          <t>Web UI - AI Trainer - Verify accessibility aria-labels and keyboard tab traversal (#10)</t>
        </is>
      </c>
      <c r="F11" s="17" t="inlineStr">
        <is>
          <t>Ensure AI Trainer web UI component operates seamlessly under Chrome/Firefox/Edge Selenium driver.</t>
        </is>
      </c>
      <c r="G11" s="17" t="inlineStr">
        <is>
          <t>Browser session active, navigated to NutriFit Web app AI Trainer route.</t>
        </is>
      </c>
      <c r="H11" s="17" t="inlineStr">
        <is>
          <t>1. Open NutriFit Web app on Chrome/Edge.
2. Navigate to AI Trainer screen.
3. Press TAB key repeatedly from top of web page to traverse focusable elements.
4. Capture DOM state and screenshot.</t>
        </is>
      </c>
      <c r="I11" s="17" t="inlineStr">
        <is>
          <t>Module: AI Trainer, Viewport: 1920x1080, Data: Keyboard navigation</t>
        </is>
      </c>
      <c r="J11" s="17" t="inlineStr">
        <is>
          <t>Focus outline highlights each interactive element in logical DOM sequence. on AI Trainer module.</t>
        </is>
      </c>
      <c r="K11" s="17" t="inlineStr">
        <is>
          <t>Pending Execution</t>
        </is>
      </c>
      <c r="L11" s="16" t="inlineStr">
        <is>
          <t>Low</t>
        </is>
      </c>
      <c r="M11" s="16" t="inlineStr">
        <is>
          <t>Major</t>
        </is>
      </c>
      <c r="N11" s="18" t="inlineStr">
        <is>
          <t>Not Executed</t>
        </is>
      </c>
      <c r="O11" s="17" t="inlineStr">
        <is>
          <t>evidence/sel-web-010_screenshot.png</t>
        </is>
      </c>
      <c r="P11" s="17" t="inlineStr">
        <is>
          <t>Automated baseline generation</t>
        </is>
      </c>
    </row>
    <row r="12" ht="36" customHeight="1">
      <c r="A12" s="16" t="inlineStr">
        <is>
          <t>SEL-WEB-011</t>
        </is>
      </c>
      <c r="B12" s="16" t="inlineStr">
        <is>
          <t>Selenium Web UI Testing</t>
        </is>
      </c>
      <c r="C12" s="17" t="inlineStr">
        <is>
          <t>Workout Plan</t>
        </is>
      </c>
      <c r="D12" s="17" t="inlineStr">
        <is>
          <t>Verify page load responsiveness across desktop break points in Workout Plan module</t>
        </is>
      </c>
      <c r="E12" s="17" t="inlineStr">
        <is>
          <t>Web UI - Workout Plan - Verify page load responsiveness across desktop break points (#11)</t>
        </is>
      </c>
      <c r="F12" s="17" t="inlineStr">
        <is>
          <t>Ensure Workout Plan web UI component operates seamlessly under Chrome/Firefox/Edge Selenium driver.</t>
        </is>
      </c>
      <c r="G12" s="17" t="inlineStr">
        <is>
          <t>Browser session active, navigated to NutriFit Web app Workout Plan route.</t>
        </is>
      </c>
      <c r="H12" s="17" t="inlineStr">
        <is>
          <t>1. Open NutriFit Web app on Chrome/Edge.
2. Navigate to Workout Plan screen.
3. Launch web browser at 1920x1080 resolution, navigate to portal, verify layout grid and header alignment.
4. Capture DOM state and screenshot.</t>
        </is>
      </c>
      <c r="I12" s="17" t="inlineStr">
        <is>
          <t>Module: Workout Plan, Viewport: 1920x1080, Data: Standard viewport 1920x1080</t>
        </is>
      </c>
      <c r="J12" s="17" t="inlineStr">
        <is>
          <t>Layout scales seamlessly without horizontal overflow or overlapping text elements. on Workout Plan module.</t>
        </is>
      </c>
      <c r="K12" s="17" t="inlineStr">
        <is>
          <t>Pending Execution</t>
        </is>
      </c>
      <c r="L12" s="16" t="inlineStr">
        <is>
          <t>Medium</t>
        </is>
      </c>
      <c r="M12" s="16" t="inlineStr">
        <is>
          <t>Moderate</t>
        </is>
      </c>
      <c r="N12" s="18" t="inlineStr">
        <is>
          <t>Not Executed</t>
        </is>
      </c>
      <c r="O12" s="17" t="inlineStr">
        <is>
          <t>evidence/sel-web-011_screenshot.png</t>
        </is>
      </c>
      <c r="P12" s="17" t="inlineStr">
        <is>
          <t>Automated baseline generation</t>
        </is>
      </c>
    </row>
    <row r="13" ht="36" customHeight="1">
      <c r="A13" s="16" t="inlineStr">
        <is>
          <t>SEL-WEB-012</t>
        </is>
      </c>
      <c r="B13" s="16" t="inlineStr">
        <is>
          <t>Selenium Web UI Testing</t>
        </is>
      </c>
      <c r="C13" s="17" t="inlineStr">
        <is>
          <t>Diet Plan</t>
        </is>
      </c>
      <c r="D13" s="17" t="inlineStr">
        <is>
          <t>Verify form input validations and error hints in Diet Plan module</t>
        </is>
      </c>
      <c r="E13" s="17" t="inlineStr">
        <is>
          <t>Web UI - Diet Plan - Verify form input validations and error hints (#12)</t>
        </is>
      </c>
      <c r="F13" s="17" t="inlineStr">
        <is>
          <t>Ensure Diet Plan web UI component operates seamlessly under Chrome/Firefox/Edge Selenium driver.</t>
        </is>
      </c>
      <c r="G13" s="17" t="inlineStr">
        <is>
          <t>Browser session active, navigated to NutriFit Web app Diet Plan route.</t>
        </is>
      </c>
      <c r="H13" s="17" t="inlineStr">
        <is>
          <t>1. Open NutriFit Web app on Chrome/Edge.
2. Navigate to Diet Plan screen.
3. Focus input field, enter invalid format data, trigger blur event, inspect validation error badge.
4. Capture DOM state and screenshot.</t>
        </is>
      </c>
      <c r="I13" s="17" t="inlineStr">
        <is>
          <t>Module: Diet Plan, Viewport: 1920x1080, Data: Invalid test string / out-of-bounds input</t>
        </is>
      </c>
      <c r="J13" s="17" t="inlineStr">
        <is>
          <t>Clear validation message displayed immediately under field. on Diet Plan module.</t>
        </is>
      </c>
      <c r="K13" s="17" t="inlineStr">
        <is>
          <t>Pending Execution</t>
        </is>
      </c>
      <c r="L13" s="16" t="inlineStr">
        <is>
          <t>High</t>
        </is>
      </c>
      <c r="M13" s="16" t="inlineStr">
        <is>
          <t>Major</t>
        </is>
      </c>
      <c r="N13" s="18" t="inlineStr">
        <is>
          <t>Not Executed</t>
        </is>
      </c>
      <c r="O13" s="17" t="inlineStr">
        <is>
          <t>evidence/sel-web-012_screenshot.png</t>
        </is>
      </c>
      <c r="P13" s="17" t="inlineStr">
        <is>
          <t>Automated baseline generation</t>
        </is>
      </c>
    </row>
    <row r="14" ht="36" customHeight="1">
      <c r="A14" s="16" t="inlineStr">
        <is>
          <t>SEL-WEB-013</t>
        </is>
      </c>
      <c r="B14" s="16" t="inlineStr">
        <is>
          <t>Selenium Web UI Testing</t>
        </is>
      </c>
      <c r="C14" s="17" t="inlineStr">
        <is>
          <t>Budget Diet Plan</t>
        </is>
      </c>
      <c r="D14" s="17" t="inlineStr">
        <is>
          <t>Verify interactive button states and hover effects in Budget Diet Plan module</t>
        </is>
      </c>
      <c r="E14" s="17" t="inlineStr">
        <is>
          <t>Web UI - Budget Diet Plan - Verify interactive button states and hover effects (#13)</t>
        </is>
      </c>
      <c r="F14" s="17" t="inlineStr">
        <is>
          <t>Ensure Budget Diet Plan web UI component operates seamlessly under Chrome/Firefox/Edge Selenium driver.</t>
        </is>
      </c>
      <c r="G14" s="17" t="inlineStr">
        <is>
          <t>Browser session active, navigated to NutriFit Web app Budget Diet Plan route.</t>
        </is>
      </c>
      <c r="H14" s="17" t="inlineStr">
        <is>
          <t>1. Open NutriFit Web app on Chrome/Edge.
2. Navigate to Budget Diet Plan screen.
3. Hover mouse over primary action button, verify CSS transition, click button.
4. Capture DOM state and screenshot.</t>
        </is>
      </c>
      <c r="I14" s="17" t="inlineStr">
        <is>
          <t>Module: Budget Diet Plan, Viewport: 1920x1080, Data: Primary CTA button selector</t>
        </is>
      </c>
      <c r="J14" s="17" t="inlineStr">
        <is>
          <t>Button transforms smoothly on hover and handles click event correctly. on Budget Diet Plan module.</t>
        </is>
      </c>
      <c r="K14" s="17" t="inlineStr">
        <is>
          <t>Pending Execution</t>
        </is>
      </c>
      <c r="L14" s="16" t="inlineStr">
        <is>
          <t>Medium</t>
        </is>
      </c>
      <c r="M14" s="16" t="inlineStr">
        <is>
          <t>Moderate</t>
        </is>
      </c>
      <c r="N14" s="18" t="inlineStr">
        <is>
          <t>Not Executed</t>
        </is>
      </c>
      <c r="O14" s="17" t="inlineStr">
        <is>
          <t>evidence/sel-web-013_screenshot.png</t>
        </is>
      </c>
      <c r="P14" s="17" t="inlineStr">
        <is>
          <t>Automated baseline generation</t>
        </is>
      </c>
    </row>
    <row r="15" ht="36" customHeight="1">
      <c r="A15" s="16" t="inlineStr">
        <is>
          <t>SEL-WEB-014</t>
        </is>
      </c>
      <c r="B15" s="16" t="inlineStr">
        <is>
          <t>Selenium Web UI Testing</t>
        </is>
      </c>
      <c r="C15" s="17" t="inlineStr">
        <is>
          <t>Stretching and Warm-up</t>
        </is>
      </c>
      <c r="D15" s="17" t="inlineStr">
        <is>
          <t>Verify modal dialog overlay behavior in Stretching and Warm-up module</t>
        </is>
      </c>
      <c r="E15" s="17" t="inlineStr">
        <is>
          <t>Web UI - Stretching and Warm-up - Verify modal dialog overlay behavior (#14)</t>
        </is>
      </c>
      <c r="F15" s="17" t="inlineStr">
        <is>
          <t>Ensure Stretching and Warm-up web UI component operates seamlessly under Chrome/Firefox/Edge Selenium driver.</t>
        </is>
      </c>
      <c r="G15" s="17" t="inlineStr">
        <is>
          <t>Browser session active, navigated to NutriFit Web app Stretching and Warm-up route.</t>
        </is>
      </c>
      <c r="H15" s="17" t="inlineStr">
        <is>
          <t>1. Open NutriFit Web app on Chrome/Edge.
2. Navigate to Stretching and Warm-up screen.
3. Trigger action opening dynamic modal, verify backdrop blur, click close icon.
4. Capture DOM state and screenshot.</t>
        </is>
      </c>
      <c r="I15" s="17" t="inlineStr">
        <is>
          <t>Module: Stretching and Warm-up, Viewport: 1920x1080, Data: Modal trigger event</t>
        </is>
      </c>
      <c r="J15" s="17" t="inlineStr">
        <is>
          <t>Modal opens centered with focus trap; closes cleanly on overlay/icon click. on Stretching and Warm-up module.</t>
        </is>
      </c>
      <c r="K15" s="17" t="inlineStr">
        <is>
          <t>Pending Execution</t>
        </is>
      </c>
      <c r="L15" s="16" t="inlineStr">
        <is>
          <t>Medium</t>
        </is>
      </c>
      <c r="M15" s="16" t="inlineStr">
        <is>
          <t>Critical</t>
        </is>
      </c>
      <c r="N15" s="18" t="inlineStr">
        <is>
          <t>Not Executed</t>
        </is>
      </c>
      <c r="O15" s="17" t="inlineStr">
        <is>
          <t>evidence/sel-web-014_screenshot.png</t>
        </is>
      </c>
      <c r="P15" s="17" t="inlineStr">
        <is>
          <t>Automated baseline generation</t>
        </is>
      </c>
    </row>
    <row r="16" ht="36" customHeight="1">
      <c r="A16" s="16" t="inlineStr">
        <is>
          <t>SEL-WEB-015</t>
        </is>
      </c>
      <c r="B16" s="16" t="inlineStr">
        <is>
          <t>Selenium Web UI Testing</t>
        </is>
      </c>
      <c r="C16" s="17" t="inlineStr">
        <is>
          <t>Water Tracker</t>
        </is>
      </c>
      <c r="D16" s="17" t="inlineStr">
        <is>
          <t>Verify table sorting and pagination controls in Water Tracker module</t>
        </is>
      </c>
      <c r="E16" s="17" t="inlineStr">
        <is>
          <t>Web UI - Water Tracker - Verify table sorting and pagination controls (#15)</t>
        </is>
      </c>
      <c r="F16" s="17" t="inlineStr">
        <is>
          <t>Ensure Water Tracker web UI component operates seamlessly under Chrome/Firefox/Edge Selenium driver.</t>
        </is>
      </c>
      <c r="G16" s="17" t="inlineStr">
        <is>
          <t>Browser session active, navigated to NutriFit Web app Water Tracker route.</t>
        </is>
      </c>
      <c r="H16" s="17" t="inlineStr">
        <is>
          <t>1. Open NutriFit Web app on Chrome/Edge.
2. Navigate to Water Tracker screen.
3. Navigate to list view, click table column header for sorting, click next page button.
4. Capture DOM state and screenshot.</t>
        </is>
      </c>
      <c r="I16" s="17" t="inlineStr">
        <is>
          <t>Module: Water Tracker, Viewport: 1920x1080, Data: Page size = 10</t>
        </is>
      </c>
      <c r="J16" s="17" t="inlineStr">
        <is>
          <t>Table updates sorted order instantly; page 2 records load cleanly. on Water Tracker module.</t>
        </is>
      </c>
      <c r="K16" s="17" t="inlineStr">
        <is>
          <t>Pending Execution</t>
        </is>
      </c>
      <c r="L16" s="16" t="inlineStr">
        <is>
          <t>High</t>
        </is>
      </c>
      <c r="M16" s="16" t="inlineStr">
        <is>
          <t>Moderate</t>
        </is>
      </c>
      <c r="N16" s="18" t="inlineStr">
        <is>
          <t>Not Executed</t>
        </is>
      </c>
      <c r="O16" s="17" t="inlineStr">
        <is>
          <t>evidence/sel-web-015_screenshot.png</t>
        </is>
      </c>
      <c r="P16" s="17" t="inlineStr">
        <is>
          <t>Automated baseline generation</t>
        </is>
      </c>
    </row>
    <row r="17" ht="36" customHeight="1">
      <c r="A17" s="16" t="inlineStr">
        <is>
          <t>SEL-WEB-016</t>
        </is>
      </c>
      <c r="B17" s="16" t="inlineStr">
        <is>
          <t>Selenium Web UI Testing</t>
        </is>
      </c>
      <c r="C17" s="17" t="inlineStr">
        <is>
          <t>Sleep Tracker</t>
        </is>
      </c>
      <c r="D17" s="17" t="inlineStr">
        <is>
          <t>Verify theme switching (Dark/Light mode) on Web in Sleep Tracker module</t>
        </is>
      </c>
      <c r="E17" s="17" t="inlineStr">
        <is>
          <t>Web UI - Sleep Tracker - Verify theme switching (Dark/Light mode) on Web (#16)</t>
        </is>
      </c>
      <c r="F17" s="17" t="inlineStr">
        <is>
          <t>Ensure Sleep Tracker web UI component operates seamlessly under Chrome/Firefox/Edge Selenium driver.</t>
        </is>
      </c>
      <c r="G17" s="17" t="inlineStr">
        <is>
          <t>Browser session active, navigated to NutriFit Web app Sleep Tracker route.</t>
        </is>
      </c>
      <c r="H17" s="17" t="inlineStr">
        <is>
          <t>1. Open NutriFit Web app on Chrome/Edge.
2. Navigate to Sleep Tracker screen.
3. Click theme toggle switch in global header navbar.
4. Capture DOM state and screenshot.</t>
        </is>
      </c>
      <c r="I17" s="17" t="inlineStr">
        <is>
          <t>Module: Sleep Tracker, Viewport: 1920x1080, Data: Theme toggle selector</t>
        </is>
      </c>
      <c r="J17" s="17" t="inlineStr">
        <is>
          <t>UI colors switch smoothly across all visible DOM containers. on Sleep Tracker module.</t>
        </is>
      </c>
      <c r="K17" s="17" t="inlineStr">
        <is>
          <t>Pending Execution</t>
        </is>
      </c>
      <c r="L17" s="16" t="inlineStr">
        <is>
          <t>Medium</t>
        </is>
      </c>
      <c r="M17" s="16" t="inlineStr">
        <is>
          <t>Major</t>
        </is>
      </c>
      <c r="N17" s="18" t="inlineStr">
        <is>
          <t>Not Executed</t>
        </is>
      </c>
      <c r="O17" s="17" t="inlineStr">
        <is>
          <t>evidence/sel-web-016_screenshot.png</t>
        </is>
      </c>
      <c r="P17" s="17" t="inlineStr">
        <is>
          <t>Automated baseline generation</t>
        </is>
      </c>
    </row>
    <row r="18" ht="36" customHeight="1">
      <c r="A18" s="16" t="inlineStr">
        <is>
          <t>SEL-WEB-017</t>
        </is>
      </c>
      <c r="B18" s="16" t="inlineStr">
        <is>
          <t>Selenium Web UI Testing</t>
        </is>
      </c>
      <c r="C18" s="17" t="inlineStr">
        <is>
          <t>Step Tracker</t>
        </is>
      </c>
      <c r="D18" s="17" t="inlineStr">
        <is>
          <t>Verify navigation drawer opening and item selection in Step Tracker module</t>
        </is>
      </c>
      <c r="E18" s="17" t="inlineStr">
        <is>
          <t>Web UI - Step Tracker - Verify navigation drawer opening and item selection (#17)</t>
        </is>
      </c>
      <c r="F18" s="17" t="inlineStr">
        <is>
          <t>Ensure Step Tracker web UI component operates seamlessly under Chrome/Firefox/Edge Selenium driver.</t>
        </is>
      </c>
      <c r="G18" s="17" t="inlineStr">
        <is>
          <t>Browser session active, navigated to NutriFit Web app Step Tracker route.</t>
        </is>
      </c>
      <c r="H18" s="17" t="inlineStr">
        <is>
          <t>1. Open NutriFit Web app on Chrome/Edge.
2. Navigate to Step Tracker screen.
3. Click hamburger menu icon, select target sidebar menu item.
4. Capture DOM state and screenshot.</t>
        </is>
      </c>
      <c r="I18" s="17" t="inlineStr">
        <is>
          <t>Module: Step Tracker, Viewport: 1920x1080, Data: Sidebar nav items</t>
        </is>
      </c>
      <c r="J18" s="17" t="inlineStr">
        <is>
          <t>Drawer slides out smoothly and routes user to target page. on Step Tracker module.</t>
        </is>
      </c>
      <c r="K18" s="17" t="inlineStr">
        <is>
          <t>Pending Execution</t>
        </is>
      </c>
      <c r="L18" s="16" t="inlineStr">
        <is>
          <t>Medium</t>
        </is>
      </c>
      <c r="M18" s="16" t="inlineStr">
        <is>
          <t>Moderate</t>
        </is>
      </c>
      <c r="N18" s="18" t="inlineStr">
        <is>
          <t>Not Executed</t>
        </is>
      </c>
      <c r="O18" s="17" t="inlineStr">
        <is>
          <t>evidence/sel-web-017_screenshot.png</t>
        </is>
      </c>
      <c r="P18" s="17" t="inlineStr">
        <is>
          <t>Automated baseline generation</t>
        </is>
      </c>
    </row>
    <row r="19" ht="36" customHeight="1">
      <c r="A19" s="16" t="inlineStr">
        <is>
          <t>SEL-WEB-018</t>
        </is>
      </c>
      <c r="B19" s="16" t="inlineStr">
        <is>
          <t>Selenium Web UI Testing</t>
        </is>
      </c>
      <c r="C19" s="17" t="inlineStr">
        <is>
          <t>Calorie Calculator</t>
        </is>
      </c>
      <c r="D19" s="17" t="inlineStr">
        <is>
          <t>Verify image lazy loading and fallback rendering in Calorie Calculator module</t>
        </is>
      </c>
      <c r="E19" s="17" t="inlineStr">
        <is>
          <t>Web UI - Calorie Calculator - Verify image lazy loading and fallback rendering (#18)</t>
        </is>
      </c>
      <c r="F19" s="17" t="inlineStr">
        <is>
          <t>Ensure Calorie Calculator web UI component operates seamlessly under Chrome/Firefox/Edge Selenium driver.</t>
        </is>
      </c>
      <c r="G19" s="17" t="inlineStr">
        <is>
          <t>Browser session active, navigated to NutriFit Web app Calorie Calculator route.</t>
        </is>
      </c>
      <c r="H19" s="17" t="inlineStr">
        <is>
          <t>1. Open NutriFit Web app on Chrome/Edge.
2. Navigate to Calorie Calculator screen.
3. Scroll down page rapidly to trigger image viewports.
4. Capture DOM state and screenshot.</t>
        </is>
      </c>
      <c r="I19" s="17" t="inlineStr">
        <is>
          <t>Module: Calorie Calculator, Viewport: 1920x1080, Data: High-res recipe / product images</t>
        </is>
      </c>
      <c r="J19" s="17" t="inlineStr">
        <is>
          <t>Images display lazy loading placeholders before rendering final image asset cleanly. on Calorie Calculator module.</t>
        </is>
      </c>
      <c r="K19" s="17" t="inlineStr">
        <is>
          <t>Pending Execution</t>
        </is>
      </c>
      <c r="L19" s="16" t="inlineStr">
        <is>
          <t>High</t>
        </is>
      </c>
      <c r="M19" s="16" t="inlineStr">
        <is>
          <t>Major</t>
        </is>
      </c>
      <c r="N19" s="18" t="inlineStr">
        <is>
          <t>Not Executed</t>
        </is>
      </c>
      <c r="O19" s="17" t="inlineStr">
        <is>
          <t>evidence/sel-web-018_screenshot.png</t>
        </is>
      </c>
      <c r="P19" s="17" t="inlineStr">
        <is>
          <t>Automated baseline generation</t>
        </is>
      </c>
    </row>
    <row r="20" ht="36" customHeight="1">
      <c r="A20" s="16" t="inlineStr">
        <is>
          <t>SEL-WEB-019</t>
        </is>
      </c>
      <c r="B20" s="16" t="inlineStr">
        <is>
          <t>Selenium Web UI Testing</t>
        </is>
      </c>
      <c r="C20" s="17" t="inlineStr">
        <is>
          <t>Meal Reminder</t>
        </is>
      </c>
      <c r="D20" s="17" t="inlineStr">
        <is>
          <t>Verify browser back and forward navigation history in Meal Reminder module</t>
        </is>
      </c>
      <c r="E20" s="17" t="inlineStr">
        <is>
          <t>Web UI - Meal Reminder - Verify browser back and forward navigation history (#19)</t>
        </is>
      </c>
      <c r="F20" s="17" t="inlineStr">
        <is>
          <t>Ensure Meal Reminder web UI component operates seamlessly under Chrome/Firefox/Edge Selenium driver.</t>
        </is>
      </c>
      <c r="G20" s="17" t="inlineStr">
        <is>
          <t>Browser session active, navigated to NutriFit Web app Meal Reminder route.</t>
        </is>
      </c>
      <c r="H20" s="17" t="inlineStr">
        <is>
          <t>1. Open NutriFit Web app on Chrome/Edge.
2. Navigate to Meal Reminder screen.
3. Navigate from Dashboard -&gt; Shop -&gt; Product Details, click browser Back, then Forward.
4. Capture DOM state and screenshot.</t>
        </is>
      </c>
      <c r="I20" s="17" t="inlineStr">
        <is>
          <t>Module: Meal Reminder, Viewport: 1920x1080, Data: Browser history stack</t>
        </is>
      </c>
      <c r="J20" s="17" t="inlineStr">
        <is>
          <t>URL state and page DOM sync perfectly with browser history state. on Meal Reminder module.</t>
        </is>
      </c>
      <c r="K20" s="17" t="inlineStr">
        <is>
          <t>Pending Execution</t>
        </is>
      </c>
      <c r="L20" s="16" t="inlineStr">
        <is>
          <t>Medium</t>
        </is>
      </c>
      <c r="M20" s="16" t="inlineStr">
        <is>
          <t>Moderate</t>
        </is>
      </c>
      <c r="N20" s="18" t="inlineStr">
        <is>
          <t>Not Executed</t>
        </is>
      </c>
      <c r="O20" s="17" t="inlineStr">
        <is>
          <t>evidence/sel-web-019_screenshot.png</t>
        </is>
      </c>
      <c r="P20" s="17" t="inlineStr">
        <is>
          <t>Automated baseline generation</t>
        </is>
      </c>
    </row>
    <row r="21" ht="36" customHeight="1">
      <c r="A21" s="16" t="inlineStr">
        <is>
          <t>SEL-WEB-020</t>
        </is>
      </c>
      <c r="B21" s="16" t="inlineStr">
        <is>
          <t>Selenium Web UI Testing</t>
        </is>
      </c>
      <c r="C21" s="17" t="inlineStr">
        <is>
          <t>Notifications</t>
        </is>
      </c>
      <c r="D21" s="17" t="inlineStr">
        <is>
          <t>Verify accessibility aria-labels and keyboard tab traversal in Notifications module</t>
        </is>
      </c>
      <c r="E21" s="17" t="inlineStr">
        <is>
          <t>Web UI - Notifications - Verify accessibility aria-labels and keyboard tab traversal (#20)</t>
        </is>
      </c>
      <c r="F21" s="17" t="inlineStr">
        <is>
          <t>Ensure Notifications web UI component operates seamlessly under Chrome/Firefox/Edge Selenium driver.</t>
        </is>
      </c>
      <c r="G21" s="17" t="inlineStr">
        <is>
          <t>Browser session active, navigated to NutriFit Web app Notifications route.</t>
        </is>
      </c>
      <c r="H21" s="17" t="inlineStr">
        <is>
          <t>1. Open NutriFit Web app on Chrome/Edge.
2. Navigate to Notifications screen.
3. Press TAB key repeatedly from top of web page to traverse focusable elements.
4. Capture DOM state and screenshot.</t>
        </is>
      </c>
      <c r="I21" s="17" t="inlineStr">
        <is>
          <t>Module: Notifications, Viewport: 1920x1080, Data: Keyboard navigation</t>
        </is>
      </c>
      <c r="J21" s="17" t="inlineStr">
        <is>
          <t>Focus outline highlights each interactive element in logical DOM sequence. on Notifications module.</t>
        </is>
      </c>
      <c r="K21" s="17" t="inlineStr">
        <is>
          <t>Pending Execution</t>
        </is>
      </c>
      <c r="L21" s="16" t="inlineStr">
        <is>
          <t>Low</t>
        </is>
      </c>
      <c r="M21" s="16" t="inlineStr">
        <is>
          <t>Major</t>
        </is>
      </c>
      <c r="N21" s="18" t="inlineStr">
        <is>
          <t>Not Executed</t>
        </is>
      </c>
      <c r="O21" s="17" t="inlineStr">
        <is>
          <t>evidence/sel-web-020_screenshot.png</t>
        </is>
      </c>
      <c r="P21" s="17" t="inlineStr">
        <is>
          <t>Automated baseline generation</t>
        </is>
      </c>
    </row>
    <row r="22" ht="36" customHeight="1">
      <c r="A22" s="16" t="inlineStr">
        <is>
          <t>SEL-WEB-021</t>
        </is>
      </c>
      <c r="B22" s="16" t="inlineStr">
        <is>
          <t>Selenium Web UI Testing</t>
        </is>
      </c>
      <c r="C22" s="17" t="inlineStr">
        <is>
          <t>Shop</t>
        </is>
      </c>
      <c r="D22" s="17" t="inlineStr">
        <is>
          <t>Verify page load responsiveness across desktop break points in Shop module</t>
        </is>
      </c>
      <c r="E22" s="17" t="inlineStr">
        <is>
          <t>Web UI - Shop - Verify page load responsiveness across desktop break points (#21)</t>
        </is>
      </c>
      <c r="F22" s="17" t="inlineStr">
        <is>
          <t>Ensure Shop web UI component operates seamlessly under Chrome/Firefox/Edge Selenium driver.</t>
        </is>
      </c>
      <c r="G22" s="17" t="inlineStr">
        <is>
          <t>Browser session active, navigated to NutriFit Web app Shop route.</t>
        </is>
      </c>
      <c r="H22" s="17" t="inlineStr">
        <is>
          <t>1. Open NutriFit Web app on Chrome/Edge.
2. Navigate to Shop screen.
3. Launch web browser at 1920x1080 resolution, navigate to portal, verify layout grid and header alignment.
4. Capture DOM state and screenshot.</t>
        </is>
      </c>
      <c r="I22" s="17" t="inlineStr">
        <is>
          <t>Module: Shop, Viewport: 1920x1080, Data: Standard viewport 1920x1080</t>
        </is>
      </c>
      <c r="J22" s="17" t="inlineStr">
        <is>
          <t>Layout scales seamlessly without horizontal overflow or overlapping text elements. on Shop module.</t>
        </is>
      </c>
      <c r="K22" s="17" t="inlineStr">
        <is>
          <t>Pending Execution</t>
        </is>
      </c>
      <c r="L22" s="16" t="inlineStr">
        <is>
          <t>High</t>
        </is>
      </c>
      <c r="M22" s="16" t="inlineStr">
        <is>
          <t>Critical</t>
        </is>
      </c>
      <c r="N22" s="18" t="inlineStr">
        <is>
          <t>Not Executed</t>
        </is>
      </c>
      <c r="O22" s="17" t="inlineStr">
        <is>
          <t>evidence/sel-web-021_screenshot.png</t>
        </is>
      </c>
      <c r="P22" s="17" t="inlineStr">
        <is>
          <t>Automated baseline generation</t>
        </is>
      </c>
    </row>
    <row r="23" ht="36" customHeight="1">
      <c r="A23" s="16" t="inlineStr">
        <is>
          <t>SEL-WEB-022</t>
        </is>
      </c>
      <c r="B23" s="16" t="inlineStr">
        <is>
          <t>Selenium Web UI Testing</t>
        </is>
      </c>
      <c r="C23" s="17" t="inlineStr">
        <is>
          <t>Product Search and Filters</t>
        </is>
      </c>
      <c r="D23" s="17" t="inlineStr">
        <is>
          <t>Verify form input validations and error hints in Product Search and Filters module</t>
        </is>
      </c>
      <c r="E23" s="17" t="inlineStr">
        <is>
          <t>Web UI - Product Search and Filters - Verify form input validations and error hints (#22)</t>
        </is>
      </c>
      <c r="F23" s="17" t="inlineStr">
        <is>
          <t>Ensure Product Search and Filters web UI component operates seamlessly under Chrome/Firefox/Edge Selenium driver.</t>
        </is>
      </c>
      <c r="G23" s="17" t="inlineStr">
        <is>
          <t>Browser session active, navigated to NutriFit Web app Product Search and Filters route.</t>
        </is>
      </c>
      <c r="H23" s="17" t="inlineStr">
        <is>
          <t>1. Open NutriFit Web app on Chrome/Edge.
2. Navigate to Product Search and Filters screen.
3. Focus input field, enter invalid format data, trigger blur event, inspect validation error badge.
4. Capture DOM state and screenshot.</t>
        </is>
      </c>
      <c r="I23" s="17" t="inlineStr">
        <is>
          <t>Module: Product Search and Filters, Viewport: 1920x1080, Data: Invalid test string / out-of-bounds input</t>
        </is>
      </c>
      <c r="J23" s="17" t="inlineStr">
        <is>
          <t>Clear validation message displayed immediately under field. on Product Search and Filters module.</t>
        </is>
      </c>
      <c r="K23" s="17" t="inlineStr">
        <is>
          <t>Pending Execution</t>
        </is>
      </c>
      <c r="L23" s="16" t="inlineStr">
        <is>
          <t>Medium</t>
        </is>
      </c>
      <c r="M23" s="16" t="inlineStr">
        <is>
          <t>Major</t>
        </is>
      </c>
      <c r="N23" s="18" t="inlineStr">
        <is>
          <t>Not Executed</t>
        </is>
      </c>
      <c r="O23" s="17" t="inlineStr">
        <is>
          <t>evidence/sel-web-022_screenshot.png</t>
        </is>
      </c>
      <c r="P23" s="17" t="inlineStr">
        <is>
          <t>Automated baseline generation</t>
        </is>
      </c>
    </row>
    <row r="24" ht="36" customHeight="1">
      <c r="A24" s="16" t="inlineStr">
        <is>
          <t>SEL-WEB-023</t>
        </is>
      </c>
      <c r="B24" s="16" t="inlineStr">
        <is>
          <t>Selenium Web UI Testing</t>
        </is>
      </c>
      <c r="C24" s="17" t="inlineStr">
        <is>
          <t>Product Details</t>
        </is>
      </c>
      <c r="D24" s="17" t="inlineStr">
        <is>
          <t>Verify interactive button states and hover effects in Product Details module</t>
        </is>
      </c>
      <c r="E24" s="17" t="inlineStr">
        <is>
          <t>Web UI - Product Details - Verify interactive button states and hover effects (#23)</t>
        </is>
      </c>
      <c r="F24" s="17" t="inlineStr">
        <is>
          <t>Ensure Product Details web UI component operates seamlessly under Chrome/Firefox/Edge Selenium driver.</t>
        </is>
      </c>
      <c r="G24" s="17" t="inlineStr">
        <is>
          <t>Browser session active, navigated to NutriFit Web app Product Details route.</t>
        </is>
      </c>
      <c r="H24" s="17" t="inlineStr">
        <is>
          <t>1. Open NutriFit Web app on Chrome/Edge.
2. Navigate to Product Details screen.
3. Hover mouse over primary action button, verify CSS transition, click button.
4. Capture DOM state and screenshot.</t>
        </is>
      </c>
      <c r="I24" s="17" t="inlineStr">
        <is>
          <t>Module: Product Details, Viewport: 1920x1080, Data: Primary CTA button selector</t>
        </is>
      </c>
      <c r="J24" s="17" t="inlineStr">
        <is>
          <t>Button transforms smoothly on hover and handles click event correctly. on Product Details module.</t>
        </is>
      </c>
      <c r="K24" s="17" t="inlineStr">
        <is>
          <t>Pending Execution</t>
        </is>
      </c>
      <c r="L24" s="16" t="inlineStr">
        <is>
          <t>Medium</t>
        </is>
      </c>
      <c r="M24" s="16" t="inlineStr">
        <is>
          <t>Moderate</t>
        </is>
      </c>
      <c r="N24" s="18" t="inlineStr">
        <is>
          <t>Not Executed</t>
        </is>
      </c>
      <c r="O24" s="17" t="inlineStr">
        <is>
          <t>evidence/sel-web-023_screenshot.png</t>
        </is>
      </c>
      <c r="P24" s="17" t="inlineStr">
        <is>
          <t>Automated baseline generation</t>
        </is>
      </c>
    </row>
    <row r="25" ht="36" customHeight="1">
      <c r="A25" s="16" t="inlineStr">
        <is>
          <t>SEL-WEB-024</t>
        </is>
      </c>
      <c r="B25" s="16" t="inlineStr">
        <is>
          <t>Selenium Web UI Testing</t>
        </is>
      </c>
      <c r="C25" s="17" t="inlineStr">
        <is>
          <t>Wishlist</t>
        </is>
      </c>
      <c r="D25" s="17" t="inlineStr">
        <is>
          <t>Verify modal dialog overlay behavior in Wishlist module</t>
        </is>
      </c>
      <c r="E25" s="17" t="inlineStr">
        <is>
          <t>Web UI - Wishlist - Verify modal dialog overlay behavior (#24)</t>
        </is>
      </c>
      <c r="F25" s="17" t="inlineStr">
        <is>
          <t>Ensure Wishlist web UI component operates seamlessly under Chrome/Firefox/Edge Selenium driver.</t>
        </is>
      </c>
      <c r="G25" s="17" t="inlineStr">
        <is>
          <t>Browser session active, navigated to NutriFit Web app Wishlist route.</t>
        </is>
      </c>
      <c r="H25" s="17" t="inlineStr">
        <is>
          <t>1. Open NutriFit Web app on Chrome/Edge.
2. Navigate to Wishlist screen.
3. Trigger action opening dynamic modal, verify backdrop blur, click close icon.
4. Capture DOM state and screenshot.</t>
        </is>
      </c>
      <c r="I25" s="17" t="inlineStr">
        <is>
          <t>Module: Wishlist, Viewport: 1920x1080, Data: Modal trigger event</t>
        </is>
      </c>
      <c r="J25" s="17" t="inlineStr">
        <is>
          <t>Modal opens centered with focus trap; closes cleanly on overlay/icon click. on Wishlist module.</t>
        </is>
      </c>
      <c r="K25" s="17" t="inlineStr">
        <is>
          <t>Pending Execution</t>
        </is>
      </c>
      <c r="L25" s="16" t="inlineStr">
        <is>
          <t>High</t>
        </is>
      </c>
      <c r="M25" s="16" t="inlineStr">
        <is>
          <t>Major</t>
        </is>
      </c>
      <c r="N25" s="18" t="inlineStr">
        <is>
          <t>Not Executed</t>
        </is>
      </c>
      <c r="O25" s="17" t="inlineStr">
        <is>
          <t>evidence/sel-web-024_screenshot.png</t>
        </is>
      </c>
      <c r="P25" s="17" t="inlineStr">
        <is>
          <t>Automated baseline generation</t>
        </is>
      </c>
    </row>
    <row r="26" ht="36" customHeight="1">
      <c r="A26" s="16" t="inlineStr">
        <is>
          <t>SEL-WEB-025</t>
        </is>
      </c>
      <c r="B26" s="16" t="inlineStr">
        <is>
          <t>Selenium Web UI Testing</t>
        </is>
      </c>
      <c r="C26" s="17" t="inlineStr">
        <is>
          <t>Cart</t>
        </is>
      </c>
      <c r="D26" s="17" t="inlineStr">
        <is>
          <t>Verify table sorting and pagination controls in Cart module</t>
        </is>
      </c>
      <c r="E26" s="17" t="inlineStr">
        <is>
          <t>Web UI - Cart - Verify table sorting and pagination controls (#25)</t>
        </is>
      </c>
      <c r="F26" s="17" t="inlineStr">
        <is>
          <t>Ensure Cart web UI component operates seamlessly under Chrome/Firefox/Edge Selenium driver.</t>
        </is>
      </c>
      <c r="G26" s="17" t="inlineStr">
        <is>
          <t>Browser session active, navigated to NutriFit Web app Cart route.</t>
        </is>
      </c>
      <c r="H26" s="17" t="inlineStr">
        <is>
          <t>1. Open NutriFit Web app on Chrome/Edge.
2. Navigate to Cart screen.
3. Navigate to list view, click table column header for sorting, click next page button.
4. Capture DOM state and screenshot.</t>
        </is>
      </c>
      <c r="I26" s="17" t="inlineStr">
        <is>
          <t>Module: Cart, Viewport: 1920x1080, Data: Page size = 10</t>
        </is>
      </c>
      <c r="J26" s="17" t="inlineStr">
        <is>
          <t>Table updates sorted order instantly; page 2 records load cleanly. on Cart module.</t>
        </is>
      </c>
      <c r="K26" s="17" t="inlineStr">
        <is>
          <t>Pending Execution</t>
        </is>
      </c>
      <c r="L26" s="16" t="inlineStr">
        <is>
          <t>Low</t>
        </is>
      </c>
      <c r="M26" s="16" t="inlineStr">
        <is>
          <t>Moderate</t>
        </is>
      </c>
      <c r="N26" s="18" t="inlineStr">
        <is>
          <t>Not Executed</t>
        </is>
      </c>
      <c r="O26" s="17" t="inlineStr">
        <is>
          <t>evidence/sel-web-025_screenshot.png</t>
        </is>
      </c>
      <c r="P26" s="17" t="inlineStr">
        <is>
          <t>Automated baseline generation</t>
        </is>
      </c>
    </row>
    <row r="27" ht="36" customHeight="1">
      <c r="A27" s="16" t="inlineStr">
        <is>
          <t>SEL-WEB-026</t>
        </is>
      </c>
      <c r="B27" s="16" t="inlineStr">
        <is>
          <t>Selenium Web UI Testing</t>
        </is>
      </c>
      <c r="C27" s="17" t="inlineStr">
        <is>
          <t>Checkout</t>
        </is>
      </c>
      <c r="D27" s="17" t="inlineStr">
        <is>
          <t>Verify theme switching (Dark/Light mode) on Web in Checkout module</t>
        </is>
      </c>
      <c r="E27" s="17" t="inlineStr">
        <is>
          <t>Web UI - Checkout - Verify theme switching (Dark/Light mode) on Web (#26)</t>
        </is>
      </c>
      <c r="F27" s="17" t="inlineStr">
        <is>
          <t>Ensure Checkout web UI component operates seamlessly under Chrome/Firefox/Edge Selenium driver.</t>
        </is>
      </c>
      <c r="G27" s="17" t="inlineStr">
        <is>
          <t>Browser session active, navigated to NutriFit Web app Checkout route.</t>
        </is>
      </c>
      <c r="H27" s="17" t="inlineStr">
        <is>
          <t>1. Open NutriFit Web app on Chrome/Edge.
2. Navigate to Checkout screen.
3. Click theme toggle switch in global header navbar.
4. Capture DOM state and screenshot.</t>
        </is>
      </c>
      <c r="I27" s="17" t="inlineStr">
        <is>
          <t>Module: Checkout, Viewport: 1920x1080, Data: Theme toggle selector</t>
        </is>
      </c>
      <c r="J27" s="17" t="inlineStr">
        <is>
          <t>UI colors switch smoothly across all visible DOM containers. on Checkout module.</t>
        </is>
      </c>
      <c r="K27" s="17" t="inlineStr">
        <is>
          <t>Pending Execution</t>
        </is>
      </c>
      <c r="L27" s="16" t="inlineStr">
        <is>
          <t>Medium</t>
        </is>
      </c>
      <c r="M27" s="16" t="inlineStr">
        <is>
          <t>Major</t>
        </is>
      </c>
      <c r="N27" s="18" t="inlineStr">
        <is>
          <t>Not Executed</t>
        </is>
      </c>
      <c r="O27" s="17" t="inlineStr">
        <is>
          <t>evidence/sel-web-026_screenshot.png</t>
        </is>
      </c>
      <c r="P27" s="17" t="inlineStr">
        <is>
          <t>Automated baseline generation</t>
        </is>
      </c>
    </row>
    <row r="28" ht="36" customHeight="1">
      <c r="A28" s="16" t="inlineStr">
        <is>
          <t>SEL-WEB-027</t>
        </is>
      </c>
      <c r="B28" s="16" t="inlineStr">
        <is>
          <t>Selenium Web UI Testing</t>
        </is>
      </c>
      <c r="C28" s="17" t="inlineStr">
        <is>
          <t>Address Management</t>
        </is>
      </c>
      <c r="D28" s="17" t="inlineStr">
        <is>
          <t>Verify navigation drawer opening and item selection in Address Management module</t>
        </is>
      </c>
      <c r="E28" s="17" t="inlineStr">
        <is>
          <t>Web UI - Address Management - Verify navigation drawer opening and item selection (#27)</t>
        </is>
      </c>
      <c r="F28" s="17" t="inlineStr">
        <is>
          <t>Ensure Address Management web UI component operates seamlessly under Chrome/Firefox/Edge Selenium driver.</t>
        </is>
      </c>
      <c r="G28" s="17" t="inlineStr">
        <is>
          <t>Browser session active, navigated to NutriFit Web app Address Management route.</t>
        </is>
      </c>
      <c r="H28" s="17" t="inlineStr">
        <is>
          <t>1. Open NutriFit Web app on Chrome/Edge.
2. Navigate to Address Management screen.
3. Click hamburger menu icon, select target sidebar menu item.
4. Capture DOM state and screenshot.</t>
        </is>
      </c>
      <c r="I28" s="17" t="inlineStr">
        <is>
          <t>Module: Address Management, Viewport: 1920x1080, Data: Sidebar nav items</t>
        </is>
      </c>
      <c r="J28" s="17" t="inlineStr">
        <is>
          <t>Drawer slides out smoothly and routes user to target page. on Address Management module.</t>
        </is>
      </c>
      <c r="K28" s="17" t="inlineStr">
        <is>
          <t>Pending Execution</t>
        </is>
      </c>
      <c r="L28" s="16" t="inlineStr">
        <is>
          <t>High</t>
        </is>
      </c>
      <c r="M28" s="16" t="inlineStr">
        <is>
          <t>Moderate</t>
        </is>
      </c>
      <c r="N28" s="18" t="inlineStr">
        <is>
          <t>Not Executed</t>
        </is>
      </c>
      <c r="O28" s="17" t="inlineStr">
        <is>
          <t>evidence/sel-web-027_screenshot.png</t>
        </is>
      </c>
      <c r="P28" s="17" t="inlineStr">
        <is>
          <t>Automated baseline generation</t>
        </is>
      </c>
    </row>
    <row r="29" ht="36" customHeight="1">
      <c r="A29" s="16" t="inlineStr">
        <is>
          <t>SEL-WEB-028</t>
        </is>
      </c>
      <c r="B29" s="16" t="inlineStr">
        <is>
          <t>Selenium Web UI Testing</t>
        </is>
      </c>
      <c r="C29" s="17" t="inlineStr">
        <is>
          <t>Payment Method</t>
        </is>
      </c>
      <c r="D29" s="17" t="inlineStr">
        <is>
          <t>Verify image lazy loading and fallback rendering in Payment Method module</t>
        </is>
      </c>
      <c r="E29" s="17" t="inlineStr">
        <is>
          <t>Web UI - Payment Method - Verify image lazy loading and fallback rendering (#28)</t>
        </is>
      </c>
      <c r="F29" s="17" t="inlineStr">
        <is>
          <t>Ensure Payment Method web UI component operates seamlessly under Chrome/Firefox/Edge Selenium driver.</t>
        </is>
      </c>
      <c r="G29" s="17" t="inlineStr">
        <is>
          <t>Browser session active, navigated to NutriFit Web app Payment Method route.</t>
        </is>
      </c>
      <c r="H29" s="17" t="inlineStr">
        <is>
          <t>1. Open NutriFit Web app on Chrome/Edge.
2. Navigate to Payment Method screen.
3. Scroll down page rapidly to trigger image viewports.
4. Capture DOM state and screenshot.</t>
        </is>
      </c>
      <c r="I29" s="17" t="inlineStr">
        <is>
          <t>Module: Payment Method, Viewport: 1920x1080, Data: High-res recipe / product images</t>
        </is>
      </c>
      <c r="J29" s="17" t="inlineStr">
        <is>
          <t>Images display lazy loading placeholders before rendering final image asset cleanly. on Payment Method module.</t>
        </is>
      </c>
      <c r="K29" s="17" t="inlineStr">
        <is>
          <t>Pending Execution</t>
        </is>
      </c>
      <c r="L29" s="16" t="inlineStr">
        <is>
          <t>Medium</t>
        </is>
      </c>
      <c r="M29" s="16" t="inlineStr">
        <is>
          <t>Critical</t>
        </is>
      </c>
      <c r="N29" s="18" t="inlineStr">
        <is>
          <t>Not Executed</t>
        </is>
      </c>
      <c r="O29" s="17" t="inlineStr">
        <is>
          <t>evidence/sel-web-028_screenshot.png</t>
        </is>
      </c>
      <c r="P29" s="17" t="inlineStr">
        <is>
          <t>Automated baseline generation</t>
        </is>
      </c>
    </row>
    <row r="30" ht="36" customHeight="1">
      <c r="A30" s="16" t="inlineStr">
        <is>
          <t>SEL-WEB-029</t>
        </is>
      </c>
      <c r="B30" s="16" t="inlineStr">
        <is>
          <t>Selenium Web UI Testing</t>
        </is>
      </c>
      <c r="C30" s="17" t="inlineStr">
        <is>
          <t>Place Order</t>
        </is>
      </c>
      <c r="D30" s="17" t="inlineStr">
        <is>
          <t>Verify browser back and forward navigation history in Place Order module</t>
        </is>
      </c>
      <c r="E30" s="17" t="inlineStr">
        <is>
          <t>Web UI - Place Order - Verify browser back and forward navigation history (#29)</t>
        </is>
      </c>
      <c r="F30" s="17" t="inlineStr">
        <is>
          <t>Ensure Place Order web UI component operates seamlessly under Chrome/Firefox/Edge Selenium driver.</t>
        </is>
      </c>
      <c r="G30" s="17" t="inlineStr">
        <is>
          <t>Browser session active, navigated to NutriFit Web app Place Order route.</t>
        </is>
      </c>
      <c r="H30" s="17" t="inlineStr">
        <is>
          <t>1. Open NutriFit Web app on Chrome/Edge.
2. Navigate to Place Order screen.
3. Navigate from Dashboard -&gt; Shop -&gt; Product Details, click browser Back, then Forward.
4. Capture DOM state and screenshot.</t>
        </is>
      </c>
      <c r="I30" s="17" t="inlineStr">
        <is>
          <t>Module: Place Order, Viewport: 1920x1080, Data: Browser history stack</t>
        </is>
      </c>
      <c r="J30" s="17" t="inlineStr">
        <is>
          <t>URL state and page DOM sync perfectly with browser history state. on Place Order module.</t>
        </is>
      </c>
      <c r="K30" s="17" t="inlineStr">
        <is>
          <t>Pending Execution</t>
        </is>
      </c>
      <c r="L30" s="16" t="inlineStr">
        <is>
          <t>Medium</t>
        </is>
      </c>
      <c r="M30" s="16" t="inlineStr">
        <is>
          <t>Moderate</t>
        </is>
      </c>
      <c r="N30" s="18" t="inlineStr">
        <is>
          <t>Not Executed</t>
        </is>
      </c>
      <c r="O30" s="17" t="inlineStr">
        <is>
          <t>evidence/sel-web-029_screenshot.png</t>
        </is>
      </c>
      <c r="P30" s="17" t="inlineStr">
        <is>
          <t>Automated baseline generation</t>
        </is>
      </c>
    </row>
    <row r="31" ht="36" customHeight="1">
      <c r="A31" s="16" t="inlineStr">
        <is>
          <t>SEL-WEB-030</t>
        </is>
      </c>
      <c r="B31" s="16" t="inlineStr">
        <is>
          <t>Selenium Web UI Testing</t>
        </is>
      </c>
      <c r="C31" s="17" t="inlineStr">
        <is>
          <t>My Orders</t>
        </is>
      </c>
      <c r="D31" s="17" t="inlineStr">
        <is>
          <t>Verify accessibility aria-labels and keyboard tab traversal in My Orders module</t>
        </is>
      </c>
      <c r="E31" s="17" t="inlineStr">
        <is>
          <t>Web UI - My Orders - Verify accessibility aria-labels and keyboard tab traversal (#30)</t>
        </is>
      </c>
      <c r="F31" s="17" t="inlineStr">
        <is>
          <t>Ensure My Orders web UI component operates seamlessly under Chrome/Firefox/Edge Selenium driver.</t>
        </is>
      </c>
      <c r="G31" s="17" t="inlineStr">
        <is>
          <t>Browser session active, navigated to NutriFit Web app My Orders route.</t>
        </is>
      </c>
      <c r="H31" s="17" t="inlineStr">
        <is>
          <t>1. Open NutriFit Web app on Chrome/Edge.
2. Navigate to My Orders screen.
3. Press TAB key repeatedly from top of web page to traverse focusable elements.
4. Capture DOM state and screenshot.</t>
        </is>
      </c>
      <c r="I31" s="17" t="inlineStr">
        <is>
          <t>Module: My Orders, Viewport: 1920x1080, Data: Keyboard navigation</t>
        </is>
      </c>
      <c r="J31" s="17" t="inlineStr">
        <is>
          <t>Focus outline highlights each interactive element in logical DOM sequence. on My Orders module.</t>
        </is>
      </c>
      <c r="K31" s="17" t="inlineStr">
        <is>
          <t>Pending Execution</t>
        </is>
      </c>
      <c r="L31" s="16" t="inlineStr">
        <is>
          <t>High</t>
        </is>
      </c>
      <c r="M31" s="16" t="inlineStr">
        <is>
          <t>Major</t>
        </is>
      </c>
      <c r="N31" s="18" t="inlineStr">
        <is>
          <t>Not Executed</t>
        </is>
      </c>
      <c r="O31" s="17" t="inlineStr">
        <is>
          <t>evidence/sel-web-030_screenshot.png</t>
        </is>
      </c>
      <c r="P31" s="17" t="inlineStr">
        <is>
          <t>Automated baseline generation</t>
        </is>
      </c>
    </row>
    <row r="32" ht="36" customHeight="1">
      <c r="A32" s="16" t="inlineStr">
        <is>
          <t>SEL-WEB-031</t>
        </is>
      </c>
      <c r="B32" s="16" t="inlineStr">
        <is>
          <t>Selenium Web UI Testing</t>
        </is>
      </c>
      <c r="C32" s="17" t="inlineStr">
        <is>
          <t>Order Details</t>
        </is>
      </c>
      <c r="D32" s="17" t="inlineStr">
        <is>
          <t>Verify page load responsiveness across desktop break points in Order Details module</t>
        </is>
      </c>
      <c r="E32" s="17" t="inlineStr">
        <is>
          <t>Web UI - Order Details - Verify page load responsiveness across desktop break points (#31)</t>
        </is>
      </c>
      <c r="F32" s="17" t="inlineStr">
        <is>
          <t>Ensure Order Details web UI component operates seamlessly under Chrome/Firefox/Edge Selenium driver.</t>
        </is>
      </c>
      <c r="G32" s="17" t="inlineStr">
        <is>
          <t>Browser session active, navigated to NutriFit Web app Order Details route.</t>
        </is>
      </c>
      <c r="H32" s="17" t="inlineStr">
        <is>
          <t>1. Open NutriFit Web app on Chrome/Edge.
2. Navigate to Order Details screen.
3. Launch web browser at 1920x1080 resolution, navigate to portal, verify layout grid and header alignment.
4. Capture DOM state and screenshot.</t>
        </is>
      </c>
      <c r="I32" s="17" t="inlineStr">
        <is>
          <t>Module: Order Details, Viewport: 1920x1080, Data: Standard viewport 1920x1080</t>
        </is>
      </c>
      <c r="J32" s="17" t="inlineStr">
        <is>
          <t>Layout scales seamlessly without horizontal overflow or overlapping text elements. on Order Details module.</t>
        </is>
      </c>
      <c r="K32" s="17" t="inlineStr">
        <is>
          <t>Pending Execution</t>
        </is>
      </c>
      <c r="L32" s="16" t="inlineStr">
        <is>
          <t>Medium</t>
        </is>
      </c>
      <c r="M32" s="16" t="inlineStr">
        <is>
          <t>Moderate</t>
        </is>
      </c>
      <c r="N32" s="18" t="inlineStr">
        <is>
          <t>Not Executed</t>
        </is>
      </c>
      <c r="O32" s="17" t="inlineStr">
        <is>
          <t>evidence/sel-web-031_screenshot.png</t>
        </is>
      </c>
      <c r="P32" s="17" t="inlineStr">
        <is>
          <t>Automated baseline generation</t>
        </is>
      </c>
    </row>
    <row r="33" ht="36" customHeight="1">
      <c r="A33" s="16" t="inlineStr">
        <is>
          <t>SEL-WEB-032</t>
        </is>
      </c>
      <c r="B33" s="16" t="inlineStr">
        <is>
          <t>Selenium Web UI Testing</t>
        </is>
      </c>
      <c r="C33" s="17" t="inlineStr">
        <is>
          <t>Order Cancellation</t>
        </is>
      </c>
      <c r="D33" s="17" t="inlineStr">
        <is>
          <t>Verify form input validations and error hints in Order Cancellation module</t>
        </is>
      </c>
      <c r="E33" s="17" t="inlineStr">
        <is>
          <t>Web UI - Order Cancellation - Verify form input validations and error hints (#32)</t>
        </is>
      </c>
      <c r="F33" s="17" t="inlineStr">
        <is>
          <t>Ensure Order Cancellation web UI component operates seamlessly under Chrome/Firefox/Edge Selenium driver.</t>
        </is>
      </c>
      <c r="G33" s="17" t="inlineStr">
        <is>
          <t>Browser session active, navigated to NutriFit Web app Order Cancellation route.</t>
        </is>
      </c>
      <c r="H33" s="17" t="inlineStr">
        <is>
          <t>1. Open NutriFit Web app on Chrome/Edge.
2. Navigate to Order Cancellation screen.
3. Focus input field, enter invalid format data, trigger blur event, inspect validation error badge.
4. Capture DOM state and screenshot.</t>
        </is>
      </c>
      <c r="I33" s="17" t="inlineStr">
        <is>
          <t>Module: Order Cancellation, Viewport: 1920x1080, Data: Invalid test string / out-of-bounds input</t>
        </is>
      </c>
      <c r="J33" s="17" t="inlineStr">
        <is>
          <t>Clear validation message displayed immediately under field. on Order Cancellation module.</t>
        </is>
      </c>
      <c r="K33" s="17" t="inlineStr">
        <is>
          <t>Pending Execution</t>
        </is>
      </c>
      <c r="L33" s="16" t="inlineStr">
        <is>
          <t>Medium</t>
        </is>
      </c>
      <c r="M33" s="16" t="inlineStr">
        <is>
          <t>Major</t>
        </is>
      </c>
      <c r="N33" s="18" t="inlineStr">
        <is>
          <t>Not Executed</t>
        </is>
      </c>
      <c r="O33" s="17" t="inlineStr">
        <is>
          <t>evidence/sel-web-032_screenshot.png</t>
        </is>
      </c>
      <c r="P33" s="17" t="inlineStr">
        <is>
          <t>Automated baseline generation</t>
        </is>
      </c>
    </row>
    <row r="34" ht="36" customHeight="1">
      <c r="A34" s="16" t="inlineStr">
        <is>
          <t>SEL-WEB-033</t>
        </is>
      </c>
      <c r="B34" s="16" t="inlineStr">
        <is>
          <t>Selenium Web UI Testing</t>
        </is>
      </c>
      <c r="C34" s="17" t="inlineStr">
        <is>
          <t>Supabase Integration</t>
        </is>
      </c>
      <c r="D34" s="17" t="inlineStr">
        <is>
          <t>Verify interactive button states and hover effects in Supabase Integration module</t>
        </is>
      </c>
      <c r="E34" s="17" t="inlineStr">
        <is>
          <t>Web UI - Supabase Integration - Verify interactive button states and hover effects (#33)</t>
        </is>
      </c>
      <c r="F34" s="17" t="inlineStr">
        <is>
          <t>Ensure Supabase Integration web UI component operates seamlessly under Chrome/Firefox/Edge Selenium driver.</t>
        </is>
      </c>
      <c r="G34" s="17" t="inlineStr">
        <is>
          <t>Browser session active, navigated to NutriFit Web app Supabase Integration route.</t>
        </is>
      </c>
      <c r="H34" s="17" t="inlineStr">
        <is>
          <t>1. Open NutriFit Web app on Chrome/Edge.
2. Navigate to Supabase Integration screen.
3. Hover mouse over primary action button, verify CSS transition, click button.
4. Capture DOM state and screenshot.</t>
        </is>
      </c>
      <c r="I34" s="17" t="inlineStr">
        <is>
          <t>Module: Supabase Integration, Viewport: 1920x1080, Data: Primary CTA button selector</t>
        </is>
      </c>
      <c r="J34" s="17" t="inlineStr">
        <is>
          <t>Button transforms smoothly on hover and handles click event correctly. on Supabase Integration module.</t>
        </is>
      </c>
      <c r="K34" s="17" t="inlineStr">
        <is>
          <t>Pending Execution</t>
        </is>
      </c>
      <c r="L34" s="16" t="inlineStr">
        <is>
          <t>High</t>
        </is>
      </c>
      <c r="M34" s="16" t="inlineStr">
        <is>
          <t>Moderate</t>
        </is>
      </c>
      <c r="N34" s="18" t="inlineStr">
        <is>
          <t>Not Executed</t>
        </is>
      </c>
      <c r="O34" s="17" t="inlineStr">
        <is>
          <t>evidence/sel-web-033_screenshot.png</t>
        </is>
      </c>
      <c r="P34" s="17" t="inlineStr">
        <is>
          <t>Automated baseline generation</t>
        </is>
      </c>
    </row>
    <row r="35" ht="36" customHeight="1">
      <c r="A35" s="16" t="inlineStr">
        <is>
          <t>SEL-WEB-034</t>
        </is>
      </c>
      <c r="B35" s="16" t="inlineStr">
        <is>
          <t>Selenium Web UI Testing</t>
        </is>
      </c>
      <c r="C35" s="17" t="inlineStr">
        <is>
          <t>Responsive Web UI</t>
        </is>
      </c>
      <c r="D35" s="17" t="inlineStr">
        <is>
          <t>Verify modal dialog overlay behavior in Responsive Web UI module</t>
        </is>
      </c>
      <c r="E35" s="17" t="inlineStr">
        <is>
          <t>Web UI - Responsive Web UI - Verify modal dialog overlay behavior (#34)</t>
        </is>
      </c>
      <c r="F35" s="17" t="inlineStr">
        <is>
          <t>Ensure Responsive Web UI web UI component operates seamlessly under Chrome/Firefox/Edge Selenium driver.</t>
        </is>
      </c>
      <c r="G35" s="17" t="inlineStr">
        <is>
          <t>Browser session active, navigated to NutriFit Web app Responsive Web UI route.</t>
        </is>
      </c>
      <c r="H35" s="17" t="inlineStr">
        <is>
          <t>1. Open NutriFit Web app on Chrome/Edge.
2. Navigate to Responsive Web UI screen.
3. Trigger action opening dynamic modal, verify backdrop blur, click close icon.
4. Capture DOM state and screenshot.</t>
        </is>
      </c>
      <c r="I35" s="17" t="inlineStr">
        <is>
          <t>Module: Responsive Web UI, Viewport: 1920x1080, Data: Modal trigger event</t>
        </is>
      </c>
      <c r="J35" s="17" t="inlineStr">
        <is>
          <t>Modal opens centered with focus trap; closes cleanly on overlay/icon click. on Responsive Web UI module.</t>
        </is>
      </c>
      <c r="K35" s="17" t="inlineStr">
        <is>
          <t>Pending Execution</t>
        </is>
      </c>
      <c r="L35" s="16" t="inlineStr">
        <is>
          <t>Medium</t>
        </is>
      </c>
      <c r="M35" s="16" t="inlineStr">
        <is>
          <t>Major</t>
        </is>
      </c>
      <c r="N35" s="18" t="inlineStr">
        <is>
          <t>Not Executed</t>
        </is>
      </c>
      <c r="O35" s="17" t="inlineStr">
        <is>
          <t>evidence/sel-web-034_screenshot.png</t>
        </is>
      </c>
      <c r="P35" s="17" t="inlineStr">
        <is>
          <t>Automated baseline generation</t>
        </is>
      </c>
    </row>
    <row r="36" ht="36" customHeight="1">
      <c r="A36" s="16" t="inlineStr">
        <is>
          <t>SEL-WEB-035</t>
        </is>
      </c>
      <c r="B36" s="16" t="inlineStr">
        <is>
          <t>Selenium Web UI Testing</t>
        </is>
      </c>
      <c r="C36" s="17" t="inlineStr">
        <is>
          <t>Android UI</t>
        </is>
      </c>
      <c r="D36" s="17" t="inlineStr">
        <is>
          <t>Verify table sorting and pagination controls in Android UI module</t>
        </is>
      </c>
      <c r="E36" s="17" t="inlineStr">
        <is>
          <t>Web UI - Android UI - Verify table sorting and pagination controls (#35)</t>
        </is>
      </c>
      <c r="F36" s="17" t="inlineStr">
        <is>
          <t>Ensure Android UI web UI component operates seamlessly under Chrome/Firefox/Edge Selenium driver.</t>
        </is>
      </c>
      <c r="G36" s="17" t="inlineStr">
        <is>
          <t>Browser session active, navigated to NutriFit Web app Android UI route.</t>
        </is>
      </c>
      <c r="H36" s="17" t="inlineStr">
        <is>
          <t>1. Open NutriFit Web app on Chrome/Edge.
2. Navigate to Android UI screen.
3. Navigate to list view, click table column header for sorting, click next page button.
4. Capture DOM state and screenshot.</t>
        </is>
      </c>
      <c r="I36" s="17" t="inlineStr">
        <is>
          <t>Module: Android UI, Viewport: 1920x1080, Data: Page size = 10</t>
        </is>
      </c>
      <c r="J36" s="17" t="inlineStr">
        <is>
          <t>Table updates sorted order instantly; page 2 records load cleanly. on Android UI module.</t>
        </is>
      </c>
      <c r="K36" s="17" t="inlineStr">
        <is>
          <t>Pending Execution</t>
        </is>
      </c>
      <c r="L36" s="16" t="inlineStr">
        <is>
          <t>Low</t>
        </is>
      </c>
      <c r="M36" s="16" t="inlineStr">
        <is>
          <t>Critical</t>
        </is>
      </c>
      <c r="N36" s="18" t="inlineStr">
        <is>
          <t>Not Executed</t>
        </is>
      </c>
      <c r="O36" s="17" t="inlineStr">
        <is>
          <t>evidence/sel-web-035_screenshot.png</t>
        </is>
      </c>
      <c r="P36" s="17" t="inlineStr">
        <is>
          <t>Automated baseline generation</t>
        </is>
      </c>
    </row>
    <row r="37" ht="36" customHeight="1">
      <c r="A37" s="16" t="inlineStr">
        <is>
          <t>SEL-WEB-036</t>
        </is>
      </c>
      <c r="B37" s="16" t="inlineStr">
        <is>
          <t>Selenium Web UI Testing</t>
        </is>
      </c>
      <c r="C37" s="17" t="inlineStr">
        <is>
          <t>Error Handling</t>
        </is>
      </c>
      <c r="D37" s="17" t="inlineStr">
        <is>
          <t>Verify theme switching (Dark/Light mode) on Web in Error Handling module</t>
        </is>
      </c>
      <c r="E37" s="17" t="inlineStr">
        <is>
          <t>Web UI - Error Handling - Verify theme switching (Dark/Light mode) on Web (#36)</t>
        </is>
      </c>
      <c r="F37" s="17" t="inlineStr">
        <is>
          <t>Ensure Error Handling web UI component operates seamlessly under Chrome/Firefox/Edge Selenium driver.</t>
        </is>
      </c>
      <c r="G37" s="17" t="inlineStr">
        <is>
          <t>Browser session active, navigated to NutriFit Web app Error Handling route.</t>
        </is>
      </c>
      <c r="H37" s="17" t="inlineStr">
        <is>
          <t>1. Open NutriFit Web app on Chrome/Edge.
2. Navigate to Error Handling screen.
3. Click theme toggle switch in global header navbar.
4. Capture DOM state and screenshot.</t>
        </is>
      </c>
      <c r="I37" s="17" t="inlineStr">
        <is>
          <t>Module: Error Handling, Viewport: 1920x1080, Data: Theme toggle selector</t>
        </is>
      </c>
      <c r="J37" s="17" t="inlineStr">
        <is>
          <t>UI colors switch smoothly across all visible DOM containers. on Error Handling module.</t>
        </is>
      </c>
      <c r="K37" s="17" t="inlineStr">
        <is>
          <t>Pending Execution</t>
        </is>
      </c>
      <c r="L37" s="16" t="inlineStr">
        <is>
          <t>High</t>
        </is>
      </c>
      <c r="M37" s="16" t="inlineStr">
        <is>
          <t>Major</t>
        </is>
      </c>
      <c r="N37" s="18" t="inlineStr">
        <is>
          <t>Not Executed</t>
        </is>
      </c>
      <c r="O37" s="17" t="inlineStr">
        <is>
          <t>evidence/sel-web-036_screenshot.png</t>
        </is>
      </c>
      <c r="P37" s="17" t="inlineStr">
        <is>
          <t>Automated baseline generation</t>
        </is>
      </c>
    </row>
    <row r="38" ht="36" customHeight="1">
      <c r="A38" s="16" t="inlineStr">
        <is>
          <t>SEL-WEB-037</t>
        </is>
      </c>
      <c r="B38" s="16" t="inlineStr">
        <is>
          <t>Selenium Web UI Testing</t>
        </is>
      </c>
      <c r="C38" s="17" t="inlineStr">
        <is>
          <t>Logout</t>
        </is>
      </c>
      <c r="D38" s="17" t="inlineStr">
        <is>
          <t>Verify navigation drawer opening and item selection in Logout module</t>
        </is>
      </c>
      <c r="E38" s="17" t="inlineStr">
        <is>
          <t>Web UI - Logout - Verify navigation drawer opening and item selection (#37)</t>
        </is>
      </c>
      <c r="F38" s="17" t="inlineStr">
        <is>
          <t>Ensure Logout web UI component operates seamlessly under Chrome/Firefox/Edge Selenium driver.</t>
        </is>
      </c>
      <c r="G38" s="17" t="inlineStr">
        <is>
          <t>Browser session active, navigated to NutriFit Web app Logout route.</t>
        </is>
      </c>
      <c r="H38" s="17" t="inlineStr">
        <is>
          <t>1. Open NutriFit Web app on Chrome/Edge.
2. Navigate to Logout screen.
3. Click hamburger menu icon, select target sidebar menu item.
4. Capture DOM state and screenshot.</t>
        </is>
      </c>
      <c r="I38" s="17" t="inlineStr">
        <is>
          <t>Module: Logout, Viewport: 1920x1080, Data: Sidebar nav items</t>
        </is>
      </c>
      <c r="J38" s="17" t="inlineStr">
        <is>
          <t>Drawer slides out smoothly and routes user to target page. on Logout module.</t>
        </is>
      </c>
      <c r="K38" s="17" t="inlineStr">
        <is>
          <t>Pending Execution</t>
        </is>
      </c>
      <c r="L38" s="16" t="inlineStr">
        <is>
          <t>Medium</t>
        </is>
      </c>
      <c r="M38" s="16" t="inlineStr">
        <is>
          <t>Moderate</t>
        </is>
      </c>
      <c r="N38" s="18" t="inlineStr">
        <is>
          <t>Not Executed</t>
        </is>
      </c>
      <c r="O38" s="17" t="inlineStr">
        <is>
          <t>evidence/sel-web-037_screenshot.png</t>
        </is>
      </c>
      <c r="P38" s="17" t="inlineStr">
        <is>
          <t>Automated baseline generation</t>
        </is>
      </c>
    </row>
    <row r="39" ht="36" customHeight="1">
      <c r="A39" s="16" t="inlineStr">
        <is>
          <t>SEL-WEB-038</t>
        </is>
      </c>
      <c r="B39" s="16" t="inlineStr">
        <is>
          <t>Selenium Web UI Testing</t>
        </is>
      </c>
      <c r="C39" s="17" t="inlineStr">
        <is>
          <t>Splash</t>
        </is>
      </c>
      <c r="D39" s="17" t="inlineStr">
        <is>
          <t>Verify image lazy loading and fallback rendering in Splash module</t>
        </is>
      </c>
      <c r="E39" s="17" t="inlineStr">
        <is>
          <t>Web UI - Splash - Verify image lazy loading and fallback rendering (#38)</t>
        </is>
      </c>
      <c r="F39" s="17" t="inlineStr">
        <is>
          <t>Ensure Splash web UI component operates seamlessly under Chrome/Firefox/Edge Selenium driver.</t>
        </is>
      </c>
      <c r="G39" s="17" t="inlineStr">
        <is>
          <t>Browser session active, navigated to NutriFit Web app Splash route.</t>
        </is>
      </c>
      <c r="H39" s="17" t="inlineStr">
        <is>
          <t>1. Open NutriFit Web app on Chrome/Edge.
2. Navigate to Splash screen.
3. Scroll down page rapidly to trigger image viewports.
4. Capture DOM state and screenshot.</t>
        </is>
      </c>
      <c r="I39" s="17" t="inlineStr">
        <is>
          <t>Module: Splash, Viewport: 1920x1080, Data: High-res recipe / product images</t>
        </is>
      </c>
      <c r="J39" s="17" t="inlineStr">
        <is>
          <t>Images display lazy loading placeholders before rendering final image asset cleanly. on Splash module.</t>
        </is>
      </c>
      <c r="K39" s="17" t="inlineStr">
        <is>
          <t>Pending Execution</t>
        </is>
      </c>
      <c r="L39" s="16" t="inlineStr">
        <is>
          <t>Medium</t>
        </is>
      </c>
      <c r="M39" s="16" t="inlineStr">
        <is>
          <t>Major</t>
        </is>
      </c>
      <c r="N39" s="18" t="inlineStr">
        <is>
          <t>Not Executed</t>
        </is>
      </c>
      <c r="O39" s="17" t="inlineStr">
        <is>
          <t>evidence/sel-web-038_screenshot.png</t>
        </is>
      </c>
      <c r="P39" s="17" t="inlineStr">
        <is>
          <t>Automated baseline generation</t>
        </is>
      </c>
    </row>
    <row r="40" ht="36" customHeight="1">
      <c r="A40" s="16" t="inlineStr">
        <is>
          <t>SEL-WEB-039</t>
        </is>
      </c>
      <c r="B40" s="16" t="inlineStr">
        <is>
          <t>Selenium Web UI Testing</t>
        </is>
      </c>
      <c r="C40" s="17" t="inlineStr">
        <is>
          <t>Login</t>
        </is>
      </c>
      <c r="D40" s="17" t="inlineStr">
        <is>
          <t>Verify browser back and forward navigation history in Login module</t>
        </is>
      </c>
      <c r="E40" s="17" t="inlineStr">
        <is>
          <t>Web UI - Login - Verify browser back and forward navigation history (#39)</t>
        </is>
      </c>
      <c r="F40" s="17" t="inlineStr">
        <is>
          <t>Ensure Login web UI component operates seamlessly under Chrome/Firefox/Edge Selenium driver.</t>
        </is>
      </c>
      <c r="G40" s="17" t="inlineStr">
        <is>
          <t>Browser session active, navigated to NutriFit Web app Login route.</t>
        </is>
      </c>
      <c r="H40" s="17" t="inlineStr">
        <is>
          <t>1. Open NutriFit Web app on Chrome/Edge.
2. Navigate to Login screen.
3. Navigate from Dashboard -&gt; Shop -&gt; Product Details, click browser Back, then Forward.
4. Capture DOM state and screenshot.</t>
        </is>
      </c>
      <c r="I40" s="17" t="inlineStr">
        <is>
          <t>Module: Login, Viewport: 1920x1080, Data: Browser history stack</t>
        </is>
      </c>
      <c r="J40" s="17" t="inlineStr">
        <is>
          <t>URL state and page DOM sync perfectly with browser history state. on Login module.</t>
        </is>
      </c>
      <c r="K40" s="17" t="inlineStr">
        <is>
          <t>Pending Execution</t>
        </is>
      </c>
      <c r="L40" s="16" t="inlineStr">
        <is>
          <t>High</t>
        </is>
      </c>
      <c r="M40" s="16" t="inlineStr">
        <is>
          <t>Moderate</t>
        </is>
      </c>
      <c r="N40" s="18" t="inlineStr">
        <is>
          <t>Not Executed</t>
        </is>
      </c>
      <c r="O40" s="17" t="inlineStr">
        <is>
          <t>evidence/sel-web-039_screenshot.png</t>
        </is>
      </c>
      <c r="P40" s="17" t="inlineStr">
        <is>
          <t>Automated baseline generation</t>
        </is>
      </c>
    </row>
    <row r="41" ht="36" customHeight="1">
      <c r="A41" s="16" t="inlineStr">
        <is>
          <t>SEL-WEB-040</t>
        </is>
      </c>
      <c r="B41" s="16" t="inlineStr">
        <is>
          <t>Selenium Web UI Testing</t>
        </is>
      </c>
      <c r="C41" s="17" t="inlineStr">
        <is>
          <t>Signup</t>
        </is>
      </c>
      <c r="D41" s="17" t="inlineStr">
        <is>
          <t>Verify accessibility aria-labels and keyboard tab traversal in Signup module</t>
        </is>
      </c>
      <c r="E41" s="17" t="inlineStr">
        <is>
          <t>Web UI - Signup - Verify accessibility aria-labels and keyboard tab traversal (#40)</t>
        </is>
      </c>
      <c r="F41" s="17" t="inlineStr">
        <is>
          <t>Ensure Signup web UI component operates seamlessly under Chrome/Firefox/Edge Selenium driver.</t>
        </is>
      </c>
      <c r="G41" s="17" t="inlineStr">
        <is>
          <t>Browser session active, navigated to NutriFit Web app Signup route.</t>
        </is>
      </c>
      <c r="H41" s="17" t="inlineStr">
        <is>
          <t>1. Open NutriFit Web app on Chrome/Edge.
2. Navigate to Signup screen.
3. Press TAB key repeatedly from top of web page to traverse focusable elements.
4. Capture DOM state and screenshot.</t>
        </is>
      </c>
      <c r="I41" s="17" t="inlineStr">
        <is>
          <t>Module: Signup, Viewport: 1920x1080, Data: Keyboard navigation</t>
        </is>
      </c>
      <c r="J41" s="17" t="inlineStr">
        <is>
          <t>Focus outline highlights each interactive element in logical DOM sequence. on Signup module.</t>
        </is>
      </c>
      <c r="K41" s="17" t="inlineStr">
        <is>
          <t>Pending Execution</t>
        </is>
      </c>
      <c r="L41" s="16" t="inlineStr">
        <is>
          <t>Low</t>
        </is>
      </c>
      <c r="M41" s="16" t="inlineStr">
        <is>
          <t>Major</t>
        </is>
      </c>
      <c r="N41" s="18" t="inlineStr">
        <is>
          <t>Not Executed</t>
        </is>
      </c>
      <c r="O41" s="17" t="inlineStr">
        <is>
          <t>evidence/sel-web-040_screenshot.png</t>
        </is>
      </c>
      <c r="P41" s="17" t="inlineStr">
        <is>
          <t>Automated baseline generation</t>
        </is>
      </c>
    </row>
    <row r="42" ht="36" customHeight="1">
      <c r="A42" s="16" t="inlineStr">
        <is>
          <t>SEL-WEB-041</t>
        </is>
      </c>
      <c r="B42" s="16" t="inlineStr">
        <is>
          <t>Selenium Web UI Testing</t>
        </is>
      </c>
      <c r="C42" s="17" t="inlineStr">
        <is>
          <t>Forgot Password</t>
        </is>
      </c>
      <c r="D42" s="17" t="inlineStr">
        <is>
          <t>Verify page load responsiveness across desktop break points in Forgot Password module</t>
        </is>
      </c>
      <c r="E42" s="17" t="inlineStr">
        <is>
          <t>Web UI - Forgot Password - Verify page load responsiveness across desktop break points (#41)</t>
        </is>
      </c>
      <c r="F42" s="17" t="inlineStr">
        <is>
          <t>Ensure Forgot Password web UI component operates seamlessly under Chrome/Firefox/Edge Selenium driver.</t>
        </is>
      </c>
      <c r="G42" s="17" t="inlineStr">
        <is>
          <t>Browser session active, navigated to NutriFit Web app Forgot Password route.</t>
        </is>
      </c>
      <c r="H42" s="17" t="inlineStr">
        <is>
          <t>1. Open NutriFit Web app on Chrome/Edge.
2. Navigate to Forgot Password screen.
3. Launch web browser at 1920x1080 resolution, navigate to portal, verify layout grid and header alignment.
4. Capture DOM state and screenshot.</t>
        </is>
      </c>
      <c r="I42" s="17" t="inlineStr">
        <is>
          <t>Module: Forgot Password, Viewport: 1920x1080, Data: Standard viewport 1920x1080</t>
        </is>
      </c>
      <c r="J42" s="17" t="inlineStr">
        <is>
          <t>Layout scales seamlessly without horizontal overflow or overlapping text elements. on Forgot Password module.</t>
        </is>
      </c>
      <c r="K42" s="17" t="inlineStr">
        <is>
          <t>Pending Execution</t>
        </is>
      </c>
      <c r="L42" s="16" t="inlineStr">
        <is>
          <t>Medium</t>
        </is>
      </c>
      <c r="M42" s="16" t="inlineStr">
        <is>
          <t>Moderate</t>
        </is>
      </c>
      <c r="N42" s="18" t="inlineStr">
        <is>
          <t>Not Executed</t>
        </is>
      </c>
      <c r="O42" s="17" t="inlineStr">
        <is>
          <t>evidence/sel-web-041_screenshot.png</t>
        </is>
      </c>
      <c r="P42" s="17" t="inlineStr">
        <is>
          <t>Automated baseline generation</t>
        </is>
      </c>
    </row>
    <row r="43" ht="36" customHeight="1">
      <c r="A43" s="16" t="inlineStr">
        <is>
          <t>SEL-WEB-042</t>
        </is>
      </c>
      <c r="B43" s="16" t="inlineStr">
        <is>
          <t>Selenium Web UI Testing</t>
        </is>
      </c>
      <c r="C43" s="17" t="inlineStr">
        <is>
          <t>Email Verification</t>
        </is>
      </c>
      <c r="D43" s="17" t="inlineStr">
        <is>
          <t>Verify form input validations and error hints in Email Verification module</t>
        </is>
      </c>
      <c r="E43" s="17" t="inlineStr">
        <is>
          <t>Web UI - Email Verification - Verify form input validations and error hints (#42)</t>
        </is>
      </c>
      <c r="F43" s="17" t="inlineStr">
        <is>
          <t>Ensure Email Verification web UI component operates seamlessly under Chrome/Firefox/Edge Selenium driver.</t>
        </is>
      </c>
      <c r="G43" s="17" t="inlineStr">
        <is>
          <t>Browser session active, navigated to NutriFit Web app Email Verification route.</t>
        </is>
      </c>
      <c r="H43" s="17" t="inlineStr">
        <is>
          <t>1. Open NutriFit Web app on Chrome/Edge.
2. Navigate to Email Verification screen.
3. Focus input field, enter invalid format data, trigger blur event, inspect validation error badge.
4. Capture DOM state and screenshot.</t>
        </is>
      </c>
      <c r="I43" s="17" t="inlineStr">
        <is>
          <t>Module: Email Verification, Viewport: 1920x1080, Data: Invalid test string / out-of-bounds input</t>
        </is>
      </c>
      <c r="J43" s="17" t="inlineStr">
        <is>
          <t>Clear validation message displayed immediately under field. on Email Verification module.</t>
        </is>
      </c>
      <c r="K43" s="17" t="inlineStr">
        <is>
          <t>Pending Execution</t>
        </is>
      </c>
      <c r="L43" s="16" t="inlineStr">
        <is>
          <t>High</t>
        </is>
      </c>
      <c r="M43" s="16" t="inlineStr">
        <is>
          <t>Critical</t>
        </is>
      </c>
      <c r="N43" s="18" t="inlineStr">
        <is>
          <t>Not Executed</t>
        </is>
      </c>
      <c r="O43" s="17" t="inlineStr">
        <is>
          <t>evidence/sel-web-042_screenshot.png</t>
        </is>
      </c>
      <c r="P43" s="17" t="inlineStr">
        <is>
          <t>Automated baseline generation</t>
        </is>
      </c>
    </row>
    <row r="44" ht="36" customHeight="1">
      <c r="A44" s="16" t="inlineStr">
        <is>
          <t>SEL-WEB-043</t>
        </is>
      </c>
      <c r="B44" s="16" t="inlineStr">
        <is>
          <t>Selenium Web UI Testing</t>
        </is>
      </c>
      <c r="C44" s="17" t="inlineStr">
        <is>
          <t>Onboarding</t>
        </is>
      </c>
      <c r="D44" s="17" t="inlineStr">
        <is>
          <t>Verify interactive button states and hover effects in Onboarding module</t>
        </is>
      </c>
      <c r="E44" s="17" t="inlineStr">
        <is>
          <t>Web UI - Onboarding - Verify interactive button states and hover effects (#43)</t>
        </is>
      </c>
      <c r="F44" s="17" t="inlineStr">
        <is>
          <t>Ensure Onboarding web UI component operates seamlessly under Chrome/Firefox/Edge Selenium driver.</t>
        </is>
      </c>
      <c r="G44" s="17" t="inlineStr">
        <is>
          <t>Browser session active, navigated to NutriFit Web app Onboarding route.</t>
        </is>
      </c>
      <c r="H44" s="17" t="inlineStr">
        <is>
          <t>1. Open NutriFit Web app on Chrome/Edge.
2. Navigate to Onboarding screen.
3. Hover mouse over primary action button, verify CSS transition, click button.
4. Capture DOM state and screenshot.</t>
        </is>
      </c>
      <c r="I44" s="17" t="inlineStr">
        <is>
          <t>Module: Onboarding, Viewport: 1920x1080, Data: Primary CTA button selector</t>
        </is>
      </c>
      <c r="J44" s="17" t="inlineStr">
        <is>
          <t>Button transforms smoothly on hover and handles click event correctly. on Onboarding module.</t>
        </is>
      </c>
      <c r="K44" s="17" t="inlineStr">
        <is>
          <t>Pending Execution</t>
        </is>
      </c>
      <c r="L44" s="16" t="inlineStr">
        <is>
          <t>Medium</t>
        </is>
      </c>
      <c r="M44" s="16" t="inlineStr">
        <is>
          <t>Moderate</t>
        </is>
      </c>
      <c r="N44" s="18" t="inlineStr">
        <is>
          <t>Not Executed</t>
        </is>
      </c>
      <c r="O44" s="17" t="inlineStr">
        <is>
          <t>evidence/sel-web-043_screenshot.png</t>
        </is>
      </c>
      <c r="P44" s="17" t="inlineStr">
        <is>
          <t>Automated baseline generation</t>
        </is>
      </c>
    </row>
    <row r="45" ht="36" customHeight="1">
      <c r="A45" s="16" t="inlineStr">
        <is>
          <t>SEL-WEB-044</t>
        </is>
      </c>
      <c r="B45" s="16" t="inlineStr">
        <is>
          <t>Selenium Web UI Testing</t>
        </is>
      </c>
      <c r="C45" s="17" t="inlineStr">
        <is>
          <t>Dashboard</t>
        </is>
      </c>
      <c r="D45" s="17" t="inlineStr">
        <is>
          <t>Verify modal dialog overlay behavior in Dashboard module</t>
        </is>
      </c>
      <c r="E45" s="17" t="inlineStr">
        <is>
          <t>Web UI - Dashboard - Verify modal dialog overlay behavior (#44)</t>
        </is>
      </c>
      <c r="F45" s="17" t="inlineStr">
        <is>
          <t>Ensure Dashboard web UI component operates seamlessly under Chrome/Firefox/Edge Selenium driver.</t>
        </is>
      </c>
      <c r="G45" s="17" t="inlineStr">
        <is>
          <t>Browser session active, navigated to NutriFit Web app Dashboard route.</t>
        </is>
      </c>
      <c r="H45" s="17" t="inlineStr">
        <is>
          <t>1. Open NutriFit Web app on Chrome/Edge.
2. Navigate to Dashboard screen.
3. Trigger action opening dynamic modal, verify backdrop blur, click close icon.
4. Capture DOM state and screenshot.</t>
        </is>
      </c>
      <c r="I45" s="17" t="inlineStr">
        <is>
          <t>Module: Dashboard, Viewport: 1920x1080, Data: Modal trigger event</t>
        </is>
      </c>
      <c r="J45" s="17" t="inlineStr">
        <is>
          <t>Modal opens centered with focus trap; closes cleanly on overlay/icon click. on Dashboard module.</t>
        </is>
      </c>
      <c r="K45" s="17" t="inlineStr">
        <is>
          <t>Pending Execution</t>
        </is>
      </c>
      <c r="L45" s="16" t="inlineStr">
        <is>
          <t>Medium</t>
        </is>
      </c>
      <c r="M45" s="16" t="inlineStr">
        <is>
          <t>Major</t>
        </is>
      </c>
      <c r="N45" s="18" t="inlineStr">
        <is>
          <t>Not Executed</t>
        </is>
      </c>
      <c r="O45" s="17" t="inlineStr">
        <is>
          <t>evidence/sel-web-044_screenshot.png</t>
        </is>
      </c>
      <c r="P45" s="17" t="inlineStr">
        <is>
          <t>Automated baseline generation</t>
        </is>
      </c>
    </row>
    <row r="46" ht="36" customHeight="1">
      <c r="A46" s="16" t="inlineStr">
        <is>
          <t>SEL-WEB-045</t>
        </is>
      </c>
      <c r="B46" s="16" t="inlineStr">
        <is>
          <t>Selenium Web UI Testing</t>
        </is>
      </c>
      <c r="C46" s="17" t="inlineStr">
        <is>
          <t>Profile</t>
        </is>
      </c>
      <c r="D46" s="17" t="inlineStr">
        <is>
          <t>Verify table sorting and pagination controls in Profile module</t>
        </is>
      </c>
      <c r="E46" s="17" t="inlineStr">
        <is>
          <t>Web UI - Profile - Verify table sorting and pagination controls (#45)</t>
        </is>
      </c>
      <c r="F46" s="17" t="inlineStr">
        <is>
          <t>Ensure Profile web UI component operates seamlessly under Chrome/Firefox/Edge Selenium driver.</t>
        </is>
      </c>
      <c r="G46" s="17" t="inlineStr">
        <is>
          <t>Browser session active, navigated to NutriFit Web app Profile route.</t>
        </is>
      </c>
      <c r="H46" s="17" t="inlineStr">
        <is>
          <t>1. Open NutriFit Web app on Chrome/Edge.
2. Navigate to Profile screen.
3. Navigate to list view, click table column header for sorting, click next page button.
4. Capture DOM state and screenshot.</t>
        </is>
      </c>
      <c r="I46" s="17" t="inlineStr">
        <is>
          <t>Module: Profile, Viewport: 1920x1080, Data: Page size = 10</t>
        </is>
      </c>
      <c r="J46" s="17" t="inlineStr">
        <is>
          <t>Table updates sorted order instantly; page 2 records load cleanly. on Profile module.</t>
        </is>
      </c>
      <c r="K46" s="17" t="inlineStr">
        <is>
          <t>Pending Execution</t>
        </is>
      </c>
      <c r="L46" s="16" t="inlineStr">
        <is>
          <t>High</t>
        </is>
      </c>
      <c r="M46" s="16" t="inlineStr">
        <is>
          <t>Moderate</t>
        </is>
      </c>
      <c r="N46" s="18" t="inlineStr">
        <is>
          <t>Not Executed</t>
        </is>
      </c>
      <c r="O46" s="17" t="inlineStr">
        <is>
          <t>evidence/sel-web-045_screenshot.png</t>
        </is>
      </c>
      <c r="P46" s="17" t="inlineStr">
        <is>
          <t>Automated baseline generation</t>
        </is>
      </c>
    </row>
    <row r="47" ht="36" customHeight="1">
      <c r="A47" s="16" t="inlineStr">
        <is>
          <t>SEL-WEB-046</t>
        </is>
      </c>
      <c r="B47" s="16" t="inlineStr">
        <is>
          <t>Selenium Web UI Testing</t>
        </is>
      </c>
      <c r="C47" s="17" t="inlineStr">
        <is>
          <t>Language Settings</t>
        </is>
      </c>
      <c r="D47" s="17" t="inlineStr">
        <is>
          <t>Verify theme switching (Dark/Light mode) on Web in Language Settings module</t>
        </is>
      </c>
      <c r="E47" s="17" t="inlineStr">
        <is>
          <t>Web UI - Language Settings - Verify theme switching (Dark/Light mode) on Web (#46)</t>
        </is>
      </c>
      <c r="F47" s="17" t="inlineStr">
        <is>
          <t>Ensure Language Settings web UI component operates seamlessly under Chrome/Firefox/Edge Selenium driver.</t>
        </is>
      </c>
      <c r="G47" s="17" t="inlineStr">
        <is>
          <t>Browser session active, navigated to NutriFit Web app Language Settings route.</t>
        </is>
      </c>
      <c r="H47" s="17" t="inlineStr">
        <is>
          <t>1. Open NutriFit Web app on Chrome/Edge.
2. Navigate to Language Settings screen.
3. Click theme toggle switch in global header navbar.
4. Capture DOM state and screenshot.</t>
        </is>
      </c>
      <c r="I47" s="17" t="inlineStr">
        <is>
          <t>Module: Language Settings, Viewport: 1920x1080, Data: Theme toggle selector</t>
        </is>
      </c>
      <c r="J47" s="17" t="inlineStr">
        <is>
          <t>UI colors switch smoothly across all visible DOM containers. on Language Settings module.</t>
        </is>
      </c>
      <c r="K47" s="17" t="inlineStr">
        <is>
          <t>Pending Execution</t>
        </is>
      </c>
      <c r="L47" s="16" t="inlineStr">
        <is>
          <t>Medium</t>
        </is>
      </c>
      <c r="M47" s="16" t="inlineStr">
        <is>
          <t>Major</t>
        </is>
      </c>
      <c r="N47" s="18" t="inlineStr">
        <is>
          <t>Not Executed</t>
        </is>
      </c>
      <c r="O47" s="17" t="inlineStr">
        <is>
          <t>evidence/sel-web-046_screenshot.png</t>
        </is>
      </c>
      <c r="P47" s="17" t="inlineStr">
        <is>
          <t>Automated baseline generation</t>
        </is>
      </c>
    </row>
    <row r="48" ht="36" customHeight="1">
      <c r="A48" s="16" t="inlineStr">
        <is>
          <t>SEL-WEB-047</t>
        </is>
      </c>
      <c r="B48" s="16" t="inlineStr">
        <is>
          <t>Selenium Web UI Testing</t>
        </is>
      </c>
      <c r="C48" s="17" t="inlineStr">
        <is>
          <t>AI Trainer</t>
        </is>
      </c>
      <c r="D48" s="17" t="inlineStr">
        <is>
          <t>Verify navigation drawer opening and item selection in AI Trainer module</t>
        </is>
      </c>
      <c r="E48" s="17" t="inlineStr">
        <is>
          <t>Web UI - AI Trainer - Verify navigation drawer opening and item selection (#47)</t>
        </is>
      </c>
      <c r="F48" s="17" t="inlineStr">
        <is>
          <t>Ensure AI Trainer web UI component operates seamlessly under Chrome/Firefox/Edge Selenium driver.</t>
        </is>
      </c>
      <c r="G48" s="17" t="inlineStr">
        <is>
          <t>Browser session active, navigated to NutriFit Web app AI Trainer route.</t>
        </is>
      </c>
      <c r="H48" s="17" t="inlineStr">
        <is>
          <t>1. Open NutriFit Web app on Chrome/Edge.
2. Navigate to AI Trainer screen.
3. Click hamburger menu icon, select target sidebar menu item.
4. Capture DOM state and screenshot.</t>
        </is>
      </c>
      <c r="I48" s="17" t="inlineStr">
        <is>
          <t>Module: AI Trainer, Viewport: 1920x1080, Data: Sidebar nav items</t>
        </is>
      </c>
      <c r="J48" s="17" t="inlineStr">
        <is>
          <t>Drawer slides out smoothly and routes user to target page. on AI Trainer module.</t>
        </is>
      </c>
      <c r="K48" s="17" t="inlineStr">
        <is>
          <t>Pending Execution</t>
        </is>
      </c>
      <c r="L48" s="16" t="inlineStr">
        <is>
          <t>Medium</t>
        </is>
      </c>
      <c r="M48" s="16" t="inlineStr">
        <is>
          <t>Moderate</t>
        </is>
      </c>
      <c r="N48" s="18" t="inlineStr">
        <is>
          <t>Not Executed</t>
        </is>
      </c>
      <c r="O48" s="17" t="inlineStr">
        <is>
          <t>evidence/sel-web-047_screenshot.png</t>
        </is>
      </c>
      <c r="P48" s="17" t="inlineStr">
        <is>
          <t>Automated baseline generation</t>
        </is>
      </c>
    </row>
    <row r="49" ht="36" customHeight="1">
      <c r="A49" s="16" t="inlineStr">
        <is>
          <t>SEL-WEB-048</t>
        </is>
      </c>
      <c r="B49" s="16" t="inlineStr">
        <is>
          <t>Selenium Web UI Testing</t>
        </is>
      </c>
      <c r="C49" s="17" t="inlineStr">
        <is>
          <t>Workout Plan</t>
        </is>
      </c>
      <c r="D49" s="17" t="inlineStr">
        <is>
          <t>Verify image lazy loading and fallback rendering in Workout Plan module</t>
        </is>
      </c>
      <c r="E49" s="17" t="inlineStr">
        <is>
          <t>Web UI - Workout Plan - Verify image lazy loading and fallback rendering (#48)</t>
        </is>
      </c>
      <c r="F49" s="17" t="inlineStr">
        <is>
          <t>Ensure Workout Plan web UI component operates seamlessly under Chrome/Firefox/Edge Selenium driver.</t>
        </is>
      </c>
      <c r="G49" s="17" t="inlineStr">
        <is>
          <t>Browser session active, navigated to NutriFit Web app Workout Plan route.</t>
        </is>
      </c>
      <c r="H49" s="17" t="inlineStr">
        <is>
          <t>1. Open NutriFit Web app on Chrome/Edge.
2. Navigate to Workout Plan screen.
3. Scroll down page rapidly to trigger image viewports.
4. Capture DOM state and screenshot.</t>
        </is>
      </c>
      <c r="I49" s="17" t="inlineStr">
        <is>
          <t>Module: Workout Plan, Viewport: 1920x1080, Data: High-res recipe / product images</t>
        </is>
      </c>
      <c r="J49" s="17" t="inlineStr">
        <is>
          <t>Images display lazy loading placeholders before rendering final image asset cleanly. on Workout Plan module.</t>
        </is>
      </c>
      <c r="K49" s="17" t="inlineStr">
        <is>
          <t>Pending Execution</t>
        </is>
      </c>
      <c r="L49" s="16" t="inlineStr">
        <is>
          <t>High</t>
        </is>
      </c>
      <c r="M49" s="16" t="inlineStr">
        <is>
          <t>Major</t>
        </is>
      </c>
      <c r="N49" s="18" t="inlineStr">
        <is>
          <t>Not Executed</t>
        </is>
      </c>
      <c r="O49" s="17" t="inlineStr">
        <is>
          <t>evidence/sel-web-048_screenshot.png</t>
        </is>
      </c>
      <c r="P49" s="17" t="inlineStr">
        <is>
          <t>Automated baseline generation</t>
        </is>
      </c>
    </row>
    <row r="50" ht="36" customHeight="1">
      <c r="A50" s="16" t="inlineStr">
        <is>
          <t>SEL-WEB-049</t>
        </is>
      </c>
      <c r="B50" s="16" t="inlineStr">
        <is>
          <t>Selenium Web UI Testing</t>
        </is>
      </c>
      <c r="C50" s="17" t="inlineStr">
        <is>
          <t>Diet Plan</t>
        </is>
      </c>
      <c r="D50" s="17" t="inlineStr">
        <is>
          <t>Verify browser back and forward navigation history in Diet Plan module</t>
        </is>
      </c>
      <c r="E50" s="17" t="inlineStr">
        <is>
          <t>Web UI - Diet Plan - Verify browser back and forward navigation history (#49)</t>
        </is>
      </c>
      <c r="F50" s="17" t="inlineStr">
        <is>
          <t>Ensure Diet Plan web UI component operates seamlessly under Chrome/Firefox/Edge Selenium driver.</t>
        </is>
      </c>
      <c r="G50" s="17" t="inlineStr">
        <is>
          <t>Browser session active, navigated to NutriFit Web app Diet Plan route.</t>
        </is>
      </c>
      <c r="H50" s="17" t="inlineStr">
        <is>
          <t>1. Open NutriFit Web app on Chrome/Edge.
2. Navigate to Diet Plan screen.
3. Navigate from Dashboard -&gt; Shop -&gt; Product Details, click browser Back, then Forward.
4. Capture DOM state and screenshot.</t>
        </is>
      </c>
      <c r="I50" s="17" t="inlineStr">
        <is>
          <t>Module: Diet Plan, Viewport: 1920x1080, Data: Browser history stack</t>
        </is>
      </c>
      <c r="J50" s="17" t="inlineStr">
        <is>
          <t>URL state and page DOM sync perfectly with browser history state. on Diet Plan module.</t>
        </is>
      </c>
      <c r="K50" s="17" t="inlineStr">
        <is>
          <t>Pending Execution</t>
        </is>
      </c>
      <c r="L50" s="16" t="inlineStr">
        <is>
          <t>Medium</t>
        </is>
      </c>
      <c r="M50" s="16" t="inlineStr">
        <is>
          <t>Critical</t>
        </is>
      </c>
      <c r="N50" s="18" t="inlineStr">
        <is>
          <t>Not Executed</t>
        </is>
      </c>
      <c r="O50" s="17" t="inlineStr">
        <is>
          <t>evidence/sel-web-049_screenshot.png</t>
        </is>
      </c>
      <c r="P50" s="17" t="inlineStr">
        <is>
          <t>Automated baseline generation</t>
        </is>
      </c>
    </row>
    <row r="51" ht="36" customHeight="1">
      <c r="A51" s="16" t="inlineStr">
        <is>
          <t>SEL-WEB-050</t>
        </is>
      </c>
      <c r="B51" s="16" t="inlineStr">
        <is>
          <t>Selenium Web UI Testing</t>
        </is>
      </c>
      <c r="C51" s="17" t="inlineStr">
        <is>
          <t>Budget Diet Plan</t>
        </is>
      </c>
      <c r="D51" s="17" t="inlineStr">
        <is>
          <t>Verify accessibility aria-labels and keyboard tab traversal in Budget Diet Plan module</t>
        </is>
      </c>
      <c r="E51" s="17" t="inlineStr">
        <is>
          <t>Web UI - Budget Diet Plan - Verify accessibility aria-labels and keyboard tab traversal (#50)</t>
        </is>
      </c>
      <c r="F51" s="17" t="inlineStr">
        <is>
          <t>Ensure Budget Diet Plan web UI component operates seamlessly under Chrome/Firefox/Edge Selenium driver.</t>
        </is>
      </c>
      <c r="G51" s="17" t="inlineStr">
        <is>
          <t>Browser session active, navigated to NutriFit Web app Budget Diet Plan route.</t>
        </is>
      </c>
      <c r="H51" s="17" t="inlineStr">
        <is>
          <t>1. Open NutriFit Web app on Chrome/Edge.
2. Navigate to Budget Diet Plan screen.
3. Press TAB key repeatedly from top of web page to traverse focusable elements.
4. Capture DOM state and screenshot.</t>
        </is>
      </c>
      <c r="I51" s="17" t="inlineStr">
        <is>
          <t>Module: Budget Diet Plan, Viewport: 1920x1080, Data: Keyboard navigation</t>
        </is>
      </c>
      <c r="J51" s="17" t="inlineStr">
        <is>
          <t>Focus outline highlights each interactive element in logical DOM sequence. on Budget Diet Plan module.</t>
        </is>
      </c>
      <c r="K51" s="17" t="inlineStr">
        <is>
          <t>Pending Execution</t>
        </is>
      </c>
      <c r="L51" s="16" t="inlineStr">
        <is>
          <t>Low</t>
        </is>
      </c>
      <c r="M51" s="16" t="inlineStr">
        <is>
          <t>Major</t>
        </is>
      </c>
      <c r="N51" s="18" t="inlineStr">
        <is>
          <t>Not Executed</t>
        </is>
      </c>
      <c r="O51" s="17" t="inlineStr">
        <is>
          <t>evidence/sel-web-050_screenshot.png</t>
        </is>
      </c>
      <c r="P51" s="17" t="inlineStr">
        <is>
          <t>Automated baseline generation</t>
        </is>
      </c>
    </row>
    <row r="52" ht="36" customHeight="1">
      <c r="A52" s="16" t="inlineStr">
        <is>
          <t>SEL-WEB-051</t>
        </is>
      </c>
      <c r="B52" s="16" t="inlineStr">
        <is>
          <t>Selenium Web UI Testing</t>
        </is>
      </c>
      <c r="C52" s="17" t="inlineStr">
        <is>
          <t>Stretching and Warm-up</t>
        </is>
      </c>
      <c r="D52" s="17" t="inlineStr">
        <is>
          <t>Verify page load responsiveness across desktop break points in Stretching and Warm-up module</t>
        </is>
      </c>
      <c r="E52" s="17" t="inlineStr">
        <is>
          <t>Web UI - Stretching and Warm-up - Verify page load responsiveness across desktop break points (#51)</t>
        </is>
      </c>
      <c r="F52" s="17" t="inlineStr">
        <is>
          <t>Ensure Stretching and Warm-up web UI component operates seamlessly under Chrome/Firefox/Edge Selenium driver.</t>
        </is>
      </c>
      <c r="G52" s="17" t="inlineStr">
        <is>
          <t>Browser session active, navigated to NutriFit Web app Stretching and Warm-up route.</t>
        </is>
      </c>
      <c r="H52" s="17" t="inlineStr">
        <is>
          <t>1. Open NutriFit Web app on Chrome/Edge.
2. Navigate to Stretching and Warm-up screen.
3. Launch web browser at 1920x1080 resolution, navigate to portal, verify layout grid and header alignment.
4. Capture DOM state and screenshot.</t>
        </is>
      </c>
      <c r="I52" s="17" t="inlineStr">
        <is>
          <t>Module: Stretching and Warm-up, Viewport: 1920x1080, Data: Standard viewport 1920x1080</t>
        </is>
      </c>
      <c r="J52" s="17" t="inlineStr">
        <is>
          <t>Layout scales seamlessly without horizontal overflow or overlapping text elements. on Stretching and Warm-up module.</t>
        </is>
      </c>
      <c r="K52" s="17" t="inlineStr">
        <is>
          <t>Pending Execution</t>
        </is>
      </c>
      <c r="L52" s="16" t="inlineStr">
        <is>
          <t>High</t>
        </is>
      </c>
      <c r="M52" s="16" t="inlineStr">
        <is>
          <t>Moderate</t>
        </is>
      </c>
      <c r="N52" s="18" t="inlineStr">
        <is>
          <t>Not Executed</t>
        </is>
      </c>
      <c r="O52" s="17" t="inlineStr">
        <is>
          <t>evidence/sel-web-051_screenshot.png</t>
        </is>
      </c>
      <c r="P52" s="17" t="inlineStr">
        <is>
          <t>Automated baseline generation</t>
        </is>
      </c>
    </row>
    <row r="53" ht="36" customHeight="1">
      <c r="A53" s="16" t="inlineStr">
        <is>
          <t>SEL-WEB-052</t>
        </is>
      </c>
      <c r="B53" s="16" t="inlineStr">
        <is>
          <t>Selenium Web UI Testing</t>
        </is>
      </c>
      <c r="C53" s="17" t="inlineStr">
        <is>
          <t>Water Tracker</t>
        </is>
      </c>
      <c r="D53" s="17" t="inlineStr">
        <is>
          <t>Verify form input validations and error hints in Water Tracker module</t>
        </is>
      </c>
      <c r="E53" s="17" t="inlineStr">
        <is>
          <t>Web UI - Water Tracker - Verify form input validations and error hints (#52)</t>
        </is>
      </c>
      <c r="F53" s="17" t="inlineStr">
        <is>
          <t>Ensure Water Tracker web UI component operates seamlessly under Chrome/Firefox/Edge Selenium driver.</t>
        </is>
      </c>
      <c r="G53" s="17" t="inlineStr">
        <is>
          <t>Browser session active, navigated to NutriFit Web app Water Tracker route.</t>
        </is>
      </c>
      <c r="H53" s="17" t="inlineStr">
        <is>
          <t>1. Open NutriFit Web app on Chrome/Edge.
2. Navigate to Water Tracker screen.
3. Focus input field, enter invalid format data, trigger blur event, inspect validation error badge.
4. Capture DOM state and screenshot.</t>
        </is>
      </c>
      <c r="I53" s="17" t="inlineStr">
        <is>
          <t>Module: Water Tracker, Viewport: 1920x1080, Data: Invalid test string / out-of-bounds input</t>
        </is>
      </c>
      <c r="J53" s="17" t="inlineStr">
        <is>
          <t>Clear validation message displayed immediately under field. on Water Tracker module.</t>
        </is>
      </c>
      <c r="K53" s="17" t="inlineStr">
        <is>
          <t>Pending Execution</t>
        </is>
      </c>
      <c r="L53" s="16" t="inlineStr">
        <is>
          <t>Medium</t>
        </is>
      </c>
      <c r="M53" s="16" t="inlineStr">
        <is>
          <t>Major</t>
        </is>
      </c>
      <c r="N53" s="18" t="inlineStr">
        <is>
          <t>Not Executed</t>
        </is>
      </c>
      <c r="O53" s="17" t="inlineStr">
        <is>
          <t>evidence/sel-web-052_screenshot.png</t>
        </is>
      </c>
      <c r="P53" s="17" t="inlineStr">
        <is>
          <t>Automated baseline generation</t>
        </is>
      </c>
    </row>
    <row r="54" ht="36" customHeight="1">
      <c r="A54" s="16" t="inlineStr">
        <is>
          <t>SEL-WEB-053</t>
        </is>
      </c>
      <c r="B54" s="16" t="inlineStr">
        <is>
          <t>Selenium Web UI Testing</t>
        </is>
      </c>
      <c r="C54" s="17" t="inlineStr">
        <is>
          <t>Sleep Tracker</t>
        </is>
      </c>
      <c r="D54" s="17" t="inlineStr">
        <is>
          <t>Verify interactive button states and hover effects in Sleep Tracker module</t>
        </is>
      </c>
      <c r="E54" s="17" t="inlineStr">
        <is>
          <t>Web UI - Sleep Tracker - Verify interactive button states and hover effects (#53)</t>
        </is>
      </c>
      <c r="F54" s="17" t="inlineStr">
        <is>
          <t>Ensure Sleep Tracker web UI component operates seamlessly under Chrome/Firefox/Edge Selenium driver.</t>
        </is>
      </c>
      <c r="G54" s="17" t="inlineStr">
        <is>
          <t>Browser session active, navigated to NutriFit Web app Sleep Tracker route.</t>
        </is>
      </c>
      <c r="H54" s="17" t="inlineStr">
        <is>
          <t>1. Open NutriFit Web app on Chrome/Edge.
2. Navigate to Sleep Tracker screen.
3. Hover mouse over primary action button, verify CSS transition, click button.
4. Capture DOM state and screenshot.</t>
        </is>
      </c>
      <c r="I54" s="17" t="inlineStr">
        <is>
          <t>Module: Sleep Tracker, Viewport: 1920x1080, Data: Primary CTA button selector</t>
        </is>
      </c>
      <c r="J54" s="17" t="inlineStr">
        <is>
          <t>Button transforms smoothly on hover and handles click event correctly. on Sleep Tracker module.</t>
        </is>
      </c>
      <c r="K54" s="17" t="inlineStr">
        <is>
          <t>Pending Execution</t>
        </is>
      </c>
      <c r="L54" s="16" t="inlineStr">
        <is>
          <t>Medium</t>
        </is>
      </c>
      <c r="M54" s="16" t="inlineStr">
        <is>
          <t>Moderate</t>
        </is>
      </c>
      <c r="N54" s="18" t="inlineStr">
        <is>
          <t>Not Executed</t>
        </is>
      </c>
      <c r="O54" s="17" t="inlineStr">
        <is>
          <t>evidence/sel-web-053_screenshot.png</t>
        </is>
      </c>
      <c r="P54" s="17" t="inlineStr">
        <is>
          <t>Automated baseline generation</t>
        </is>
      </c>
    </row>
    <row r="55" ht="36" customHeight="1">
      <c r="A55" s="16" t="inlineStr">
        <is>
          <t>SEL-WEB-054</t>
        </is>
      </c>
      <c r="B55" s="16" t="inlineStr">
        <is>
          <t>Selenium Web UI Testing</t>
        </is>
      </c>
      <c r="C55" s="17" t="inlineStr">
        <is>
          <t>Step Tracker</t>
        </is>
      </c>
      <c r="D55" s="17" t="inlineStr">
        <is>
          <t>Verify modal dialog overlay behavior in Step Tracker module</t>
        </is>
      </c>
      <c r="E55" s="17" t="inlineStr">
        <is>
          <t>Web UI - Step Tracker - Verify modal dialog overlay behavior (#54)</t>
        </is>
      </c>
      <c r="F55" s="17" t="inlineStr">
        <is>
          <t>Ensure Step Tracker web UI component operates seamlessly under Chrome/Firefox/Edge Selenium driver.</t>
        </is>
      </c>
      <c r="G55" s="17" t="inlineStr">
        <is>
          <t>Browser session active, navigated to NutriFit Web app Step Tracker route.</t>
        </is>
      </c>
      <c r="H55" s="17" t="inlineStr">
        <is>
          <t>1. Open NutriFit Web app on Chrome/Edge.
2. Navigate to Step Tracker screen.
3. Trigger action opening dynamic modal, verify backdrop blur, click close icon.
4. Capture DOM state and screenshot.</t>
        </is>
      </c>
      <c r="I55" s="17" t="inlineStr">
        <is>
          <t>Module: Step Tracker, Viewport: 1920x1080, Data: Modal trigger event</t>
        </is>
      </c>
      <c r="J55" s="17" t="inlineStr">
        <is>
          <t>Modal opens centered with focus trap; closes cleanly on overlay/icon click. on Step Tracker module.</t>
        </is>
      </c>
      <c r="K55" s="17" t="inlineStr">
        <is>
          <t>Pending Execution</t>
        </is>
      </c>
      <c r="L55" s="16" t="inlineStr">
        <is>
          <t>High</t>
        </is>
      </c>
      <c r="M55" s="16" t="inlineStr">
        <is>
          <t>Major</t>
        </is>
      </c>
      <c r="N55" s="18" t="inlineStr">
        <is>
          <t>Not Executed</t>
        </is>
      </c>
      <c r="O55" s="17" t="inlineStr">
        <is>
          <t>evidence/sel-web-054_screenshot.png</t>
        </is>
      </c>
      <c r="P55" s="17" t="inlineStr">
        <is>
          <t>Automated baseline generation</t>
        </is>
      </c>
    </row>
    <row r="56" ht="36" customHeight="1">
      <c r="A56" s="16" t="inlineStr">
        <is>
          <t>SEL-WEB-055</t>
        </is>
      </c>
      <c r="B56" s="16" t="inlineStr">
        <is>
          <t>Selenium Web UI Testing</t>
        </is>
      </c>
      <c r="C56" s="17" t="inlineStr">
        <is>
          <t>Calorie Calculator</t>
        </is>
      </c>
      <c r="D56" s="17" t="inlineStr">
        <is>
          <t>Verify table sorting and pagination controls in Calorie Calculator module</t>
        </is>
      </c>
      <c r="E56" s="17" t="inlineStr">
        <is>
          <t>Web UI - Calorie Calculator - Verify table sorting and pagination controls (#55)</t>
        </is>
      </c>
      <c r="F56" s="17" t="inlineStr">
        <is>
          <t>Ensure Calorie Calculator web UI component operates seamlessly under Chrome/Firefox/Edge Selenium driver.</t>
        </is>
      </c>
      <c r="G56" s="17" t="inlineStr">
        <is>
          <t>Browser session active, navigated to NutriFit Web app Calorie Calculator route.</t>
        </is>
      </c>
      <c r="H56" s="17" t="inlineStr">
        <is>
          <t>1. Open NutriFit Web app on Chrome/Edge.
2. Navigate to Calorie Calculator screen.
3. Navigate to list view, click table column header for sorting, click next page button.
4. Capture DOM state and screenshot.</t>
        </is>
      </c>
      <c r="I56" s="17" t="inlineStr">
        <is>
          <t>Module: Calorie Calculator, Viewport: 1920x1080, Data: Page size = 10</t>
        </is>
      </c>
      <c r="J56" s="17" t="inlineStr">
        <is>
          <t>Table updates sorted order instantly; page 2 records load cleanly. on Calorie Calculator module.</t>
        </is>
      </c>
      <c r="K56" s="17" t="inlineStr">
        <is>
          <t>Pending Execution</t>
        </is>
      </c>
      <c r="L56" s="16" t="inlineStr">
        <is>
          <t>Low</t>
        </is>
      </c>
      <c r="M56" s="16" t="inlineStr">
        <is>
          <t>Moderate</t>
        </is>
      </c>
      <c r="N56" s="18" t="inlineStr">
        <is>
          <t>Not Executed</t>
        </is>
      </c>
      <c r="O56" s="17" t="inlineStr">
        <is>
          <t>evidence/sel-web-055_screenshot.png</t>
        </is>
      </c>
      <c r="P56" s="17" t="inlineStr">
        <is>
          <t>Automated baseline generation</t>
        </is>
      </c>
    </row>
    <row r="57" ht="36" customHeight="1">
      <c r="A57" s="16" t="inlineStr">
        <is>
          <t>SEL-WEB-056</t>
        </is>
      </c>
      <c r="B57" s="16" t="inlineStr">
        <is>
          <t>Selenium Web UI Testing</t>
        </is>
      </c>
      <c r="C57" s="17" t="inlineStr">
        <is>
          <t>Meal Reminder</t>
        </is>
      </c>
      <c r="D57" s="17" t="inlineStr">
        <is>
          <t>Verify theme switching (Dark/Light mode) on Web in Meal Reminder module</t>
        </is>
      </c>
      <c r="E57" s="17" t="inlineStr">
        <is>
          <t>Web UI - Meal Reminder - Verify theme switching (Dark/Light mode) on Web (#56)</t>
        </is>
      </c>
      <c r="F57" s="17" t="inlineStr">
        <is>
          <t>Ensure Meal Reminder web UI component operates seamlessly under Chrome/Firefox/Edge Selenium driver.</t>
        </is>
      </c>
      <c r="G57" s="17" t="inlineStr">
        <is>
          <t>Browser session active, navigated to NutriFit Web app Meal Reminder route.</t>
        </is>
      </c>
      <c r="H57" s="17" t="inlineStr">
        <is>
          <t>1. Open NutriFit Web app on Chrome/Edge.
2. Navigate to Meal Reminder screen.
3. Click theme toggle switch in global header navbar.
4. Capture DOM state and screenshot.</t>
        </is>
      </c>
      <c r="I57" s="17" t="inlineStr">
        <is>
          <t>Module: Meal Reminder, Viewport: 1920x1080, Data: Theme toggle selector</t>
        </is>
      </c>
      <c r="J57" s="17" t="inlineStr">
        <is>
          <t>UI colors switch smoothly across all visible DOM containers. on Meal Reminder module.</t>
        </is>
      </c>
      <c r="K57" s="17" t="inlineStr">
        <is>
          <t>Pending Execution</t>
        </is>
      </c>
      <c r="L57" s="16" t="inlineStr">
        <is>
          <t>Medium</t>
        </is>
      </c>
      <c r="M57" s="16" t="inlineStr">
        <is>
          <t>Critical</t>
        </is>
      </c>
      <c r="N57" s="18" t="inlineStr">
        <is>
          <t>Not Executed</t>
        </is>
      </c>
      <c r="O57" s="17" t="inlineStr">
        <is>
          <t>evidence/sel-web-056_screenshot.png</t>
        </is>
      </c>
      <c r="P57" s="17" t="inlineStr">
        <is>
          <t>Automated baseline generation</t>
        </is>
      </c>
    </row>
    <row r="58" ht="36" customHeight="1">
      <c r="A58" s="16" t="inlineStr">
        <is>
          <t>SEL-WEB-057</t>
        </is>
      </c>
      <c r="B58" s="16" t="inlineStr">
        <is>
          <t>Selenium Web UI Testing</t>
        </is>
      </c>
      <c r="C58" s="17" t="inlineStr">
        <is>
          <t>Notifications</t>
        </is>
      </c>
      <c r="D58" s="17" t="inlineStr">
        <is>
          <t>Verify navigation drawer opening and item selection in Notifications module</t>
        </is>
      </c>
      <c r="E58" s="17" t="inlineStr">
        <is>
          <t>Web UI - Notifications - Verify navigation drawer opening and item selection (#57)</t>
        </is>
      </c>
      <c r="F58" s="17" t="inlineStr">
        <is>
          <t>Ensure Notifications web UI component operates seamlessly under Chrome/Firefox/Edge Selenium driver.</t>
        </is>
      </c>
      <c r="G58" s="17" t="inlineStr">
        <is>
          <t>Browser session active, navigated to NutriFit Web app Notifications route.</t>
        </is>
      </c>
      <c r="H58" s="17" t="inlineStr">
        <is>
          <t>1. Open NutriFit Web app on Chrome/Edge.
2. Navigate to Notifications screen.
3. Click hamburger menu icon, select target sidebar menu item.
4. Capture DOM state and screenshot.</t>
        </is>
      </c>
      <c r="I58" s="17" t="inlineStr">
        <is>
          <t>Module: Notifications, Viewport: 1920x1080, Data: Sidebar nav items</t>
        </is>
      </c>
      <c r="J58" s="17" t="inlineStr">
        <is>
          <t>Drawer slides out smoothly and routes user to target page. on Notifications module.</t>
        </is>
      </c>
      <c r="K58" s="17" t="inlineStr">
        <is>
          <t>Pending Execution</t>
        </is>
      </c>
      <c r="L58" s="16" t="inlineStr">
        <is>
          <t>High</t>
        </is>
      </c>
      <c r="M58" s="16" t="inlineStr">
        <is>
          <t>Moderate</t>
        </is>
      </c>
      <c r="N58" s="18" t="inlineStr">
        <is>
          <t>Not Executed</t>
        </is>
      </c>
      <c r="O58" s="17" t="inlineStr">
        <is>
          <t>evidence/sel-web-057_screenshot.png</t>
        </is>
      </c>
      <c r="P58" s="17" t="inlineStr">
        <is>
          <t>Automated baseline generation</t>
        </is>
      </c>
    </row>
    <row r="59" ht="36" customHeight="1">
      <c r="A59" s="16" t="inlineStr">
        <is>
          <t>SEL-WEB-058</t>
        </is>
      </c>
      <c r="B59" s="16" t="inlineStr">
        <is>
          <t>Selenium Web UI Testing</t>
        </is>
      </c>
      <c r="C59" s="17" t="inlineStr">
        <is>
          <t>Shop</t>
        </is>
      </c>
      <c r="D59" s="17" t="inlineStr">
        <is>
          <t>Verify image lazy loading and fallback rendering in Shop module</t>
        </is>
      </c>
      <c r="E59" s="17" t="inlineStr">
        <is>
          <t>Web UI - Shop - Verify image lazy loading and fallback rendering (#58)</t>
        </is>
      </c>
      <c r="F59" s="17" t="inlineStr">
        <is>
          <t>Ensure Shop web UI component operates seamlessly under Chrome/Firefox/Edge Selenium driver.</t>
        </is>
      </c>
      <c r="G59" s="17" t="inlineStr">
        <is>
          <t>Browser session active, navigated to NutriFit Web app Shop route.</t>
        </is>
      </c>
      <c r="H59" s="17" t="inlineStr">
        <is>
          <t>1. Open NutriFit Web app on Chrome/Edge.
2. Navigate to Shop screen.
3. Scroll down page rapidly to trigger image viewports.
4. Capture DOM state and screenshot.</t>
        </is>
      </c>
      <c r="I59" s="17" t="inlineStr">
        <is>
          <t>Module: Shop, Viewport: 1920x1080, Data: High-res recipe / product images</t>
        </is>
      </c>
      <c r="J59" s="17" t="inlineStr">
        <is>
          <t>Images display lazy loading placeholders before rendering final image asset cleanly. on Shop module.</t>
        </is>
      </c>
      <c r="K59" s="17" t="inlineStr">
        <is>
          <t>Pending Execution</t>
        </is>
      </c>
      <c r="L59" s="16" t="inlineStr">
        <is>
          <t>Medium</t>
        </is>
      </c>
      <c r="M59" s="16" t="inlineStr">
        <is>
          <t>Major</t>
        </is>
      </c>
      <c r="N59" s="18" t="inlineStr">
        <is>
          <t>Not Executed</t>
        </is>
      </c>
      <c r="O59" s="17" t="inlineStr">
        <is>
          <t>evidence/sel-web-058_screenshot.png</t>
        </is>
      </c>
      <c r="P59" s="17" t="inlineStr">
        <is>
          <t>Automated baseline generation</t>
        </is>
      </c>
    </row>
    <row r="60" ht="36" customHeight="1">
      <c r="A60" s="16" t="inlineStr">
        <is>
          <t>SEL-WEB-059</t>
        </is>
      </c>
      <c r="B60" s="16" t="inlineStr">
        <is>
          <t>Selenium Web UI Testing</t>
        </is>
      </c>
      <c r="C60" s="17" t="inlineStr">
        <is>
          <t>Product Search and Filters</t>
        </is>
      </c>
      <c r="D60" s="17" t="inlineStr">
        <is>
          <t>Verify browser back and forward navigation history in Product Search and Filters module</t>
        </is>
      </c>
      <c r="E60" s="17" t="inlineStr">
        <is>
          <t>Web UI - Product Search and Filters - Verify browser back and forward navigation history (#59)</t>
        </is>
      </c>
      <c r="F60" s="17" t="inlineStr">
        <is>
          <t>Ensure Product Search and Filters web UI component operates seamlessly under Chrome/Firefox/Edge Selenium driver.</t>
        </is>
      </c>
      <c r="G60" s="17" t="inlineStr">
        <is>
          <t>Browser session active, navigated to NutriFit Web app Product Search and Filters route.</t>
        </is>
      </c>
      <c r="H60" s="17" t="inlineStr">
        <is>
          <t>1. Open NutriFit Web app on Chrome/Edge.
2. Navigate to Product Search and Filters screen.
3. Navigate from Dashboard -&gt; Shop -&gt; Product Details, click browser Back, then Forward.
4. Capture DOM state and screenshot.</t>
        </is>
      </c>
      <c r="I60" s="17" t="inlineStr">
        <is>
          <t>Module: Product Search and Filters, Viewport: 1920x1080, Data: Browser history stack</t>
        </is>
      </c>
      <c r="J60" s="17" t="inlineStr">
        <is>
          <t>URL state and page DOM sync perfectly with browser history state. on Product Search and Filters module.</t>
        </is>
      </c>
      <c r="K60" s="17" t="inlineStr">
        <is>
          <t>Pending Execution</t>
        </is>
      </c>
      <c r="L60" s="16" t="inlineStr">
        <is>
          <t>Medium</t>
        </is>
      </c>
      <c r="M60" s="16" t="inlineStr">
        <is>
          <t>Moderate</t>
        </is>
      </c>
      <c r="N60" s="18" t="inlineStr">
        <is>
          <t>Not Executed</t>
        </is>
      </c>
      <c r="O60" s="17" t="inlineStr">
        <is>
          <t>evidence/sel-web-059_screenshot.png</t>
        </is>
      </c>
      <c r="P60" s="17" t="inlineStr">
        <is>
          <t>Automated baseline generation</t>
        </is>
      </c>
    </row>
    <row r="61" ht="36" customHeight="1">
      <c r="A61" s="16" t="inlineStr">
        <is>
          <t>SEL-WEB-060</t>
        </is>
      </c>
      <c r="B61" s="16" t="inlineStr">
        <is>
          <t>Selenium Web UI Testing</t>
        </is>
      </c>
      <c r="C61" s="17" t="inlineStr">
        <is>
          <t>Product Details</t>
        </is>
      </c>
      <c r="D61" s="17" t="inlineStr">
        <is>
          <t>Verify accessibility aria-labels and keyboard tab traversal in Product Details module</t>
        </is>
      </c>
      <c r="E61" s="17" t="inlineStr">
        <is>
          <t>Web UI - Product Details - Verify accessibility aria-labels and keyboard tab traversal (#60)</t>
        </is>
      </c>
      <c r="F61" s="17" t="inlineStr">
        <is>
          <t>Ensure Product Details web UI component operates seamlessly under Chrome/Firefox/Edge Selenium driver.</t>
        </is>
      </c>
      <c r="G61" s="17" t="inlineStr">
        <is>
          <t>Browser session active, navigated to NutriFit Web app Product Details route.</t>
        </is>
      </c>
      <c r="H61" s="17" t="inlineStr">
        <is>
          <t>1. Open NutriFit Web app on Chrome/Edge.
2. Navigate to Product Details screen.
3. Press TAB key repeatedly from top of web page to traverse focusable elements.
4. Capture DOM state and screenshot.</t>
        </is>
      </c>
      <c r="I61" s="17" t="inlineStr">
        <is>
          <t>Module: Product Details, Viewport: 1920x1080, Data: Keyboard navigation</t>
        </is>
      </c>
      <c r="J61" s="17" t="inlineStr">
        <is>
          <t>Focus outline highlights each interactive element in logical DOM sequence. on Product Details module.</t>
        </is>
      </c>
      <c r="K61" s="17" t="inlineStr">
        <is>
          <t>Pending Execution</t>
        </is>
      </c>
      <c r="L61" s="16" t="inlineStr">
        <is>
          <t>High</t>
        </is>
      </c>
      <c r="M61" s="16" t="inlineStr">
        <is>
          <t>Major</t>
        </is>
      </c>
      <c r="N61" s="18" t="inlineStr">
        <is>
          <t>Not Executed</t>
        </is>
      </c>
      <c r="O61" s="17" t="inlineStr">
        <is>
          <t>evidence/sel-web-060_screenshot.png</t>
        </is>
      </c>
      <c r="P61" s="17" t="inlineStr">
        <is>
          <t>Automated baseline generation</t>
        </is>
      </c>
    </row>
    <row r="62" ht="36" customHeight="1">
      <c r="A62" s="16" t="inlineStr">
        <is>
          <t>SEL-WEB-061</t>
        </is>
      </c>
      <c r="B62" s="16" t="inlineStr">
        <is>
          <t>Selenium Web UI Testing</t>
        </is>
      </c>
      <c r="C62" s="17" t="inlineStr">
        <is>
          <t>Wishlist</t>
        </is>
      </c>
      <c r="D62" s="17" t="inlineStr">
        <is>
          <t>Verify page load responsiveness across desktop break points in Wishlist module</t>
        </is>
      </c>
      <c r="E62" s="17" t="inlineStr">
        <is>
          <t>Web UI - Wishlist - Verify page load responsiveness across desktop break points (#61)</t>
        </is>
      </c>
      <c r="F62" s="17" t="inlineStr">
        <is>
          <t>Ensure Wishlist web UI component operates seamlessly under Chrome/Firefox/Edge Selenium driver.</t>
        </is>
      </c>
      <c r="G62" s="17" t="inlineStr">
        <is>
          <t>Browser session active, navigated to NutriFit Web app Wishlist route.</t>
        </is>
      </c>
      <c r="H62" s="17" t="inlineStr">
        <is>
          <t>1. Open NutriFit Web app on Chrome/Edge.
2. Navigate to Wishlist screen.
3. Launch web browser at 1920x1080 resolution, navigate to portal, verify layout grid and header alignment.
4. Capture DOM state and screenshot.</t>
        </is>
      </c>
      <c r="I62" s="17" t="inlineStr">
        <is>
          <t>Module: Wishlist, Viewport: 1920x1080, Data: Standard viewport 1920x1080</t>
        </is>
      </c>
      <c r="J62" s="17" t="inlineStr">
        <is>
          <t>Layout scales seamlessly without horizontal overflow or overlapping text elements. on Wishlist module.</t>
        </is>
      </c>
      <c r="K62" s="17" t="inlineStr">
        <is>
          <t>Pending Execution</t>
        </is>
      </c>
      <c r="L62" s="16" t="inlineStr">
        <is>
          <t>Medium</t>
        </is>
      </c>
      <c r="M62" s="16" t="inlineStr">
        <is>
          <t>Moderate</t>
        </is>
      </c>
      <c r="N62" s="18" t="inlineStr">
        <is>
          <t>Not Executed</t>
        </is>
      </c>
      <c r="O62" s="17" t="inlineStr">
        <is>
          <t>evidence/sel-web-061_screenshot.png</t>
        </is>
      </c>
      <c r="P62" s="17" t="inlineStr">
        <is>
          <t>Automated baseline generation</t>
        </is>
      </c>
    </row>
    <row r="63" ht="36" customHeight="1">
      <c r="A63" s="16" t="inlineStr">
        <is>
          <t>SEL-WEB-062</t>
        </is>
      </c>
      <c r="B63" s="16" t="inlineStr">
        <is>
          <t>Selenium Web UI Testing</t>
        </is>
      </c>
      <c r="C63" s="17" t="inlineStr">
        <is>
          <t>Cart</t>
        </is>
      </c>
      <c r="D63" s="17" t="inlineStr">
        <is>
          <t>Verify form input validations and error hints in Cart module</t>
        </is>
      </c>
      <c r="E63" s="17" t="inlineStr">
        <is>
          <t>Web UI - Cart - Verify form input validations and error hints (#62)</t>
        </is>
      </c>
      <c r="F63" s="17" t="inlineStr">
        <is>
          <t>Ensure Cart web UI component operates seamlessly under Chrome/Firefox/Edge Selenium driver.</t>
        </is>
      </c>
      <c r="G63" s="17" t="inlineStr">
        <is>
          <t>Browser session active, navigated to NutriFit Web app Cart route.</t>
        </is>
      </c>
      <c r="H63" s="17" t="inlineStr">
        <is>
          <t>1. Open NutriFit Web app on Chrome/Edge.
2. Navigate to Cart screen.
3. Focus input field, enter invalid format data, trigger blur event, inspect validation error badge.
4. Capture DOM state and screenshot.</t>
        </is>
      </c>
      <c r="I63" s="17" t="inlineStr">
        <is>
          <t>Module: Cart, Viewport: 1920x1080, Data: Invalid test string / out-of-bounds input</t>
        </is>
      </c>
      <c r="J63" s="17" t="inlineStr">
        <is>
          <t>Clear validation message displayed immediately under field. on Cart module.</t>
        </is>
      </c>
      <c r="K63" s="17" t="inlineStr">
        <is>
          <t>Pending Execution</t>
        </is>
      </c>
      <c r="L63" s="16" t="inlineStr">
        <is>
          <t>Medium</t>
        </is>
      </c>
      <c r="M63" s="16" t="inlineStr">
        <is>
          <t>Major</t>
        </is>
      </c>
      <c r="N63" s="18" t="inlineStr">
        <is>
          <t>Not Executed</t>
        </is>
      </c>
      <c r="O63" s="17" t="inlineStr">
        <is>
          <t>evidence/sel-web-062_screenshot.png</t>
        </is>
      </c>
      <c r="P63" s="17" t="inlineStr">
        <is>
          <t>Automated baseline generation</t>
        </is>
      </c>
    </row>
    <row r="64" ht="36" customHeight="1">
      <c r="A64" s="16" t="inlineStr">
        <is>
          <t>SEL-WEB-063</t>
        </is>
      </c>
      <c r="B64" s="16" t="inlineStr">
        <is>
          <t>Selenium Web UI Testing</t>
        </is>
      </c>
      <c r="C64" s="17" t="inlineStr">
        <is>
          <t>Checkout</t>
        </is>
      </c>
      <c r="D64" s="17" t="inlineStr">
        <is>
          <t>Verify interactive button states and hover effects in Checkout module</t>
        </is>
      </c>
      <c r="E64" s="17" t="inlineStr">
        <is>
          <t>Web UI - Checkout - Verify interactive button states and hover effects (#63)</t>
        </is>
      </c>
      <c r="F64" s="17" t="inlineStr">
        <is>
          <t>Ensure Checkout web UI component operates seamlessly under Chrome/Firefox/Edge Selenium driver.</t>
        </is>
      </c>
      <c r="G64" s="17" t="inlineStr">
        <is>
          <t>Browser session active, navigated to NutriFit Web app Checkout route.</t>
        </is>
      </c>
      <c r="H64" s="17" t="inlineStr">
        <is>
          <t>1. Open NutriFit Web app on Chrome/Edge.
2. Navigate to Checkout screen.
3. Hover mouse over primary action button, verify CSS transition, click button.
4. Capture DOM state and screenshot.</t>
        </is>
      </c>
      <c r="I64" s="17" t="inlineStr">
        <is>
          <t>Module: Checkout, Viewport: 1920x1080, Data: Primary CTA button selector</t>
        </is>
      </c>
      <c r="J64" s="17" t="inlineStr">
        <is>
          <t>Button transforms smoothly on hover and handles click event correctly. on Checkout module.</t>
        </is>
      </c>
      <c r="K64" s="17" t="inlineStr">
        <is>
          <t>Pending Execution</t>
        </is>
      </c>
      <c r="L64" s="16" t="inlineStr">
        <is>
          <t>High</t>
        </is>
      </c>
      <c r="M64" s="16" t="inlineStr">
        <is>
          <t>Critical</t>
        </is>
      </c>
      <c r="N64" s="18" t="inlineStr">
        <is>
          <t>Not Executed</t>
        </is>
      </c>
      <c r="O64" s="17" t="inlineStr">
        <is>
          <t>evidence/sel-web-063_screenshot.png</t>
        </is>
      </c>
      <c r="P64" s="17" t="inlineStr">
        <is>
          <t>Automated baseline generation</t>
        </is>
      </c>
    </row>
    <row r="65" ht="36" customHeight="1">
      <c r="A65" s="16" t="inlineStr">
        <is>
          <t>SEL-WEB-064</t>
        </is>
      </c>
      <c r="B65" s="16" t="inlineStr">
        <is>
          <t>Selenium Web UI Testing</t>
        </is>
      </c>
      <c r="C65" s="17" t="inlineStr">
        <is>
          <t>Address Management</t>
        </is>
      </c>
      <c r="D65" s="17" t="inlineStr">
        <is>
          <t>Verify modal dialog overlay behavior in Address Management module</t>
        </is>
      </c>
      <c r="E65" s="17" t="inlineStr">
        <is>
          <t>Web UI - Address Management - Verify modal dialog overlay behavior (#64)</t>
        </is>
      </c>
      <c r="F65" s="17" t="inlineStr">
        <is>
          <t>Ensure Address Management web UI component operates seamlessly under Chrome/Firefox/Edge Selenium driver.</t>
        </is>
      </c>
      <c r="G65" s="17" t="inlineStr">
        <is>
          <t>Browser session active, navigated to NutriFit Web app Address Management route.</t>
        </is>
      </c>
      <c r="H65" s="17" t="inlineStr">
        <is>
          <t>1. Open NutriFit Web app on Chrome/Edge.
2. Navigate to Address Management screen.
3. Trigger action opening dynamic modal, verify backdrop blur, click close icon.
4. Capture DOM state and screenshot.</t>
        </is>
      </c>
      <c r="I65" s="17" t="inlineStr">
        <is>
          <t>Module: Address Management, Viewport: 1920x1080, Data: Modal trigger event</t>
        </is>
      </c>
      <c r="J65" s="17" t="inlineStr">
        <is>
          <t>Modal opens centered with focus trap; closes cleanly on overlay/icon click. on Address Management module.</t>
        </is>
      </c>
      <c r="K65" s="17" t="inlineStr">
        <is>
          <t>Pending Execution</t>
        </is>
      </c>
      <c r="L65" s="16" t="inlineStr">
        <is>
          <t>Medium</t>
        </is>
      </c>
      <c r="M65" s="16" t="inlineStr">
        <is>
          <t>Major</t>
        </is>
      </c>
      <c r="N65" s="18" t="inlineStr">
        <is>
          <t>Not Executed</t>
        </is>
      </c>
      <c r="O65" s="17" t="inlineStr">
        <is>
          <t>evidence/sel-web-064_screenshot.png</t>
        </is>
      </c>
      <c r="P65" s="17" t="inlineStr">
        <is>
          <t>Automated baseline generation</t>
        </is>
      </c>
    </row>
    <row r="66" ht="36" customHeight="1">
      <c r="A66" s="16" t="inlineStr">
        <is>
          <t>SEL-WEB-065</t>
        </is>
      </c>
      <c r="B66" s="16" t="inlineStr">
        <is>
          <t>Selenium Web UI Testing</t>
        </is>
      </c>
      <c r="C66" s="17" t="inlineStr">
        <is>
          <t>Payment Method</t>
        </is>
      </c>
      <c r="D66" s="17" t="inlineStr">
        <is>
          <t>Verify table sorting and pagination controls in Payment Method module</t>
        </is>
      </c>
      <c r="E66" s="17" t="inlineStr">
        <is>
          <t>Web UI - Payment Method - Verify table sorting and pagination controls (#65)</t>
        </is>
      </c>
      <c r="F66" s="17" t="inlineStr">
        <is>
          <t>Ensure Payment Method web UI component operates seamlessly under Chrome/Firefox/Edge Selenium driver.</t>
        </is>
      </c>
      <c r="G66" s="17" t="inlineStr">
        <is>
          <t>Browser session active, navigated to NutriFit Web app Payment Method route.</t>
        </is>
      </c>
      <c r="H66" s="17" t="inlineStr">
        <is>
          <t>1. Open NutriFit Web app on Chrome/Edge.
2. Navigate to Payment Method screen.
3. Navigate to list view, click table column header for sorting, click next page button.
4. Capture DOM state and screenshot.</t>
        </is>
      </c>
      <c r="I66" s="17" t="inlineStr">
        <is>
          <t>Module: Payment Method, Viewport: 1920x1080, Data: Page size = 10</t>
        </is>
      </c>
      <c r="J66" s="17" t="inlineStr">
        <is>
          <t>Table updates sorted order instantly; page 2 records load cleanly. on Payment Method module.</t>
        </is>
      </c>
      <c r="K66" s="17" t="inlineStr">
        <is>
          <t>Pending Execution</t>
        </is>
      </c>
      <c r="L66" s="16" t="inlineStr">
        <is>
          <t>Low</t>
        </is>
      </c>
      <c r="M66" s="16" t="inlineStr">
        <is>
          <t>Moderate</t>
        </is>
      </c>
      <c r="N66" s="18" t="inlineStr">
        <is>
          <t>Not Executed</t>
        </is>
      </c>
      <c r="O66" s="17" t="inlineStr">
        <is>
          <t>evidence/sel-web-065_screenshot.png</t>
        </is>
      </c>
      <c r="P66" s="17" t="inlineStr">
        <is>
          <t>Automated baseline generation</t>
        </is>
      </c>
    </row>
    <row r="67" ht="36" customHeight="1">
      <c r="A67" s="16" t="inlineStr">
        <is>
          <t>SEL-WEB-066</t>
        </is>
      </c>
      <c r="B67" s="16" t="inlineStr">
        <is>
          <t>Selenium Web UI Testing</t>
        </is>
      </c>
      <c r="C67" s="17" t="inlineStr">
        <is>
          <t>Place Order</t>
        </is>
      </c>
      <c r="D67" s="17" t="inlineStr">
        <is>
          <t>Verify theme switching (Dark/Light mode) on Web in Place Order module</t>
        </is>
      </c>
      <c r="E67" s="17" t="inlineStr">
        <is>
          <t>Web UI - Place Order - Verify theme switching (Dark/Light mode) on Web (#66)</t>
        </is>
      </c>
      <c r="F67" s="17" t="inlineStr">
        <is>
          <t>Ensure Place Order web UI component operates seamlessly under Chrome/Firefox/Edge Selenium driver.</t>
        </is>
      </c>
      <c r="G67" s="17" t="inlineStr">
        <is>
          <t>Browser session active, navigated to NutriFit Web app Place Order route.</t>
        </is>
      </c>
      <c r="H67" s="17" t="inlineStr">
        <is>
          <t>1. Open NutriFit Web app on Chrome/Edge.
2. Navigate to Place Order screen.
3. Click theme toggle switch in global header navbar.
4. Capture DOM state and screenshot.</t>
        </is>
      </c>
      <c r="I67" s="17" t="inlineStr">
        <is>
          <t>Module: Place Order, Viewport: 1920x1080, Data: Theme toggle selector</t>
        </is>
      </c>
      <c r="J67" s="17" t="inlineStr">
        <is>
          <t>UI colors switch smoothly across all visible DOM containers. on Place Order module.</t>
        </is>
      </c>
      <c r="K67" s="17" t="inlineStr">
        <is>
          <t>Pending Execution</t>
        </is>
      </c>
      <c r="L67" s="16" t="inlineStr">
        <is>
          <t>High</t>
        </is>
      </c>
      <c r="M67" s="16" t="inlineStr">
        <is>
          <t>Major</t>
        </is>
      </c>
      <c r="N67" s="18" t="inlineStr">
        <is>
          <t>Not Executed</t>
        </is>
      </c>
      <c r="O67" s="17" t="inlineStr">
        <is>
          <t>evidence/sel-web-066_screenshot.png</t>
        </is>
      </c>
      <c r="P67" s="17" t="inlineStr">
        <is>
          <t>Automated baseline generation</t>
        </is>
      </c>
    </row>
    <row r="68" ht="36" customHeight="1">
      <c r="A68" s="16" t="inlineStr">
        <is>
          <t>SEL-WEB-067</t>
        </is>
      </c>
      <c r="B68" s="16" t="inlineStr">
        <is>
          <t>Selenium Web UI Testing</t>
        </is>
      </c>
      <c r="C68" s="17" t="inlineStr">
        <is>
          <t>My Orders</t>
        </is>
      </c>
      <c r="D68" s="17" t="inlineStr">
        <is>
          <t>Verify navigation drawer opening and item selection in My Orders module</t>
        </is>
      </c>
      <c r="E68" s="17" t="inlineStr">
        <is>
          <t>Web UI - My Orders - Verify navigation drawer opening and item selection (#67)</t>
        </is>
      </c>
      <c r="F68" s="17" t="inlineStr">
        <is>
          <t>Ensure My Orders web UI component operates seamlessly under Chrome/Firefox/Edge Selenium driver.</t>
        </is>
      </c>
      <c r="G68" s="17" t="inlineStr">
        <is>
          <t>Browser session active, navigated to NutriFit Web app My Orders route.</t>
        </is>
      </c>
      <c r="H68" s="17" t="inlineStr">
        <is>
          <t>1. Open NutriFit Web app on Chrome/Edge.
2. Navigate to My Orders screen.
3. Click hamburger menu icon, select target sidebar menu item.
4. Capture DOM state and screenshot.</t>
        </is>
      </c>
      <c r="I68" s="17" t="inlineStr">
        <is>
          <t>Module: My Orders, Viewport: 1920x1080, Data: Sidebar nav items</t>
        </is>
      </c>
      <c r="J68" s="17" t="inlineStr">
        <is>
          <t>Drawer slides out smoothly and routes user to target page. on My Orders module.</t>
        </is>
      </c>
      <c r="K68" s="17" t="inlineStr">
        <is>
          <t>Pending Execution</t>
        </is>
      </c>
      <c r="L68" s="16" t="inlineStr">
        <is>
          <t>Medium</t>
        </is>
      </c>
      <c r="M68" s="16" t="inlineStr">
        <is>
          <t>Moderate</t>
        </is>
      </c>
      <c r="N68" s="18" t="inlineStr">
        <is>
          <t>Not Executed</t>
        </is>
      </c>
      <c r="O68" s="17" t="inlineStr">
        <is>
          <t>evidence/sel-web-067_screenshot.png</t>
        </is>
      </c>
      <c r="P68" s="17" t="inlineStr">
        <is>
          <t>Automated baseline generation</t>
        </is>
      </c>
    </row>
    <row r="69" ht="36" customHeight="1">
      <c r="A69" s="16" t="inlineStr">
        <is>
          <t>SEL-WEB-068</t>
        </is>
      </c>
      <c r="B69" s="16" t="inlineStr">
        <is>
          <t>Selenium Web UI Testing</t>
        </is>
      </c>
      <c r="C69" s="17" t="inlineStr">
        <is>
          <t>Order Details</t>
        </is>
      </c>
      <c r="D69" s="17" t="inlineStr">
        <is>
          <t>Verify image lazy loading and fallback rendering in Order Details module</t>
        </is>
      </c>
      <c r="E69" s="17" t="inlineStr">
        <is>
          <t>Web UI - Order Details - Verify image lazy loading and fallback rendering (#68)</t>
        </is>
      </c>
      <c r="F69" s="17" t="inlineStr">
        <is>
          <t>Ensure Order Details web UI component operates seamlessly under Chrome/Firefox/Edge Selenium driver.</t>
        </is>
      </c>
      <c r="G69" s="17" t="inlineStr">
        <is>
          <t>Browser session active, navigated to NutriFit Web app Order Details route.</t>
        </is>
      </c>
      <c r="H69" s="17" t="inlineStr">
        <is>
          <t>1. Open NutriFit Web app on Chrome/Edge.
2. Navigate to Order Details screen.
3. Scroll down page rapidly to trigger image viewports.
4. Capture DOM state and screenshot.</t>
        </is>
      </c>
      <c r="I69" s="17" t="inlineStr">
        <is>
          <t>Module: Order Details, Viewport: 1920x1080, Data: High-res recipe / product images</t>
        </is>
      </c>
      <c r="J69" s="17" t="inlineStr">
        <is>
          <t>Images display lazy loading placeholders before rendering final image asset cleanly. on Order Details module.</t>
        </is>
      </c>
      <c r="K69" s="17" t="inlineStr">
        <is>
          <t>Pending Execution</t>
        </is>
      </c>
      <c r="L69" s="16" t="inlineStr">
        <is>
          <t>Medium</t>
        </is>
      </c>
      <c r="M69" s="16" t="inlineStr">
        <is>
          <t>Major</t>
        </is>
      </c>
      <c r="N69" s="18" t="inlineStr">
        <is>
          <t>Not Executed</t>
        </is>
      </c>
      <c r="O69" s="17" t="inlineStr">
        <is>
          <t>evidence/sel-web-068_screenshot.png</t>
        </is>
      </c>
      <c r="P69" s="17" t="inlineStr">
        <is>
          <t>Automated baseline generation</t>
        </is>
      </c>
    </row>
    <row r="70" ht="36" customHeight="1">
      <c r="A70" s="16" t="inlineStr">
        <is>
          <t>SEL-WEB-069</t>
        </is>
      </c>
      <c r="B70" s="16" t="inlineStr">
        <is>
          <t>Selenium Web UI Testing</t>
        </is>
      </c>
      <c r="C70" s="17" t="inlineStr">
        <is>
          <t>Order Cancellation</t>
        </is>
      </c>
      <c r="D70" s="17" t="inlineStr">
        <is>
          <t>Verify browser back and forward navigation history in Order Cancellation module</t>
        </is>
      </c>
      <c r="E70" s="17" t="inlineStr">
        <is>
          <t>Web UI - Order Cancellation - Verify browser back and forward navigation history (#69)</t>
        </is>
      </c>
      <c r="F70" s="17" t="inlineStr">
        <is>
          <t>Ensure Order Cancellation web UI component operates seamlessly under Chrome/Firefox/Edge Selenium driver.</t>
        </is>
      </c>
      <c r="G70" s="17" t="inlineStr">
        <is>
          <t>Browser session active, navigated to NutriFit Web app Order Cancellation route.</t>
        </is>
      </c>
      <c r="H70" s="17" t="inlineStr">
        <is>
          <t>1. Open NutriFit Web app on Chrome/Edge.
2. Navigate to Order Cancellation screen.
3. Navigate from Dashboard -&gt; Shop -&gt; Product Details, click browser Back, then Forward.
4. Capture DOM state and screenshot.</t>
        </is>
      </c>
      <c r="I70" s="17" t="inlineStr">
        <is>
          <t>Module: Order Cancellation, Viewport: 1920x1080, Data: Browser history stack</t>
        </is>
      </c>
      <c r="J70" s="17" t="inlineStr">
        <is>
          <t>URL state and page DOM sync perfectly with browser history state. on Order Cancellation module.</t>
        </is>
      </c>
      <c r="K70" s="17" t="inlineStr">
        <is>
          <t>Pending Execution</t>
        </is>
      </c>
      <c r="L70" s="16" t="inlineStr">
        <is>
          <t>High</t>
        </is>
      </c>
      <c r="M70" s="16" t="inlineStr">
        <is>
          <t>Moderate</t>
        </is>
      </c>
      <c r="N70" s="18" t="inlineStr">
        <is>
          <t>Not Executed</t>
        </is>
      </c>
      <c r="O70" s="17" t="inlineStr">
        <is>
          <t>evidence/sel-web-069_screenshot.png</t>
        </is>
      </c>
      <c r="P70" s="17" t="inlineStr">
        <is>
          <t>Automated baseline generation</t>
        </is>
      </c>
    </row>
    <row r="71" ht="36" customHeight="1">
      <c r="A71" s="16" t="inlineStr">
        <is>
          <t>SEL-WEB-070</t>
        </is>
      </c>
      <c r="B71" s="16" t="inlineStr">
        <is>
          <t>Selenium Web UI Testing</t>
        </is>
      </c>
      <c r="C71" s="17" t="inlineStr">
        <is>
          <t>Supabase Integration</t>
        </is>
      </c>
      <c r="D71" s="17" t="inlineStr">
        <is>
          <t>Verify accessibility aria-labels and keyboard tab traversal in Supabase Integration module</t>
        </is>
      </c>
      <c r="E71" s="17" t="inlineStr">
        <is>
          <t>Web UI - Supabase Integration - Verify accessibility aria-labels and keyboard tab traversal (#70)</t>
        </is>
      </c>
      <c r="F71" s="17" t="inlineStr">
        <is>
          <t>Ensure Supabase Integration web UI component operates seamlessly under Chrome/Firefox/Edge Selenium driver.</t>
        </is>
      </c>
      <c r="G71" s="17" t="inlineStr">
        <is>
          <t>Browser session active, navigated to NutriFit Web app Supabase Integration route.</t>
        </is>
      </c>
      <c r="H71" s="17" t="inlineStr">
        <is>
          <t>1. Open NutriFit Web app on Chrome/Edge.
2. Navigate to Supabase Integration screen.
3. Press TAB key repeatedly from top of web page to traverse focusable elements.
4. Capture DOM state and screenshot.</t>
        </is>
      </c>
      <c r="I71" s="17" t="inlineStr">
        <is>
          <t>Module: Supabase Integration, Viewport: 1920x1080, Data: Keyboard navigation</t>
        </is>
      </c>
      <c r="J71" s="17" t="inlineStr">
        <is>
          <t>Focus outline highlights each interactive element in logical DOM sequence. on Supabase Integration module.</t>
        </is>
      </c>
      <c r="K71" s="17" t="inlineStr">
        <is>
          <t>Pending Execution</t>
        </is>
      </c>
      <c r="L71" s="16" t="inlineStr">
        <is>
          <t>Low</t>
        </is>
      </c>
      <c r="M71" s="16" t="inlineStr">
        <is>
          <t>Critical</t>
        </is>
      </c>
      <c r="N71" s="18" t="inlineStr">
        <is>
          <t>Not Executed</t>
        </is>
      </c>
      <c r="O71" s="17" t="inlineStr">
        <is>
          <t>evidence/sel-web-070_screenshot.png</t>
        </is>
      </c>
      <c r="P71" s="17" t="inlineStr">
        <is>
          <t>Automated baseline generation</t>
        </is>
      </c>
    </row>
    <row r="72" ht="36" customHeight="1">
      <c r="A72" s="16" t="inlineStr">
        <is>
          <t>SEL-WEB-071</t>
        </is>
      </c>
      <c r="B72" s="16" t="inlineStr">
        <is>
          <t>Selenium Web UI Testing</t>
        </is>
      </c>
      <c r="C72" s="17" t="inlineStr">
        <is>
          <t>Responsive Web UI</t>
        </is>
      </c>
      <c r="D72" s="17" t="inlineStr">
        <is>
          <t>Verify page load responsiveness across desktop break points in Responsive Web UI module</t>
        </is>
      </c>
      <c r="E72" s="17" t="inlineStr">
        <is>
          <t>Web UI - Responsive Web UI - Verify page load responsiveness across desktop break points (#71)</t>
        </is>
      </c>
      <c r="F72" s="17" t="inlineStr">
        <is>
          <t>Ensure Responsive Web UI web UI component operates seamlessly under Chrome/Firefox/Edge Selenium driver.</t>
        </is>
      </c>
      <c r="G72" s="17" t="inlineStr">
        <is>
          <t>Browser session active, navigated to NutriFit Web app Responsive Web UI route.</t>
        </is>
      </c>
      <c r="H72" s="17" t="inlineStr">
        <is>
          <t>1. Open NutriFit Web app on Chrome/Edge.
2. Navigate to Responsive Web UI screen.
3. Launch web browser at 1920x1080 resolution, navigate to portal, verify layout grid and header alignment.
4. Capture DOM state and screenshot.</t>
        </is>
      </c>
      <c r="I72" s="17" t="inlineStr">
        <is>
          <t>Module: Responsive Web UI, Viewport: 1920x1080, Data: Standard viewport 1920x1080</t>
        </is>
      </c>
      <c r="J72" s="17" t="inlineStr">
        <is>
          <t>Layout scales seamlessly without horizontal overflow or overlapping text elements. on Responsive Web UI module.</t>
        </is>
      </c>
      <c r="K72" s="17" t="inlineStr">
        <is>
          <t>Pending Execution</t>
        </is>
      </c>
      <c r="L72" s="16" t="inlineStr">
        <is>
          <t>Medium</t>
        </is>
      </c>
      <c r="M72" s="16" t="inlineStr">
        <is>
          <t>Moderate</t>
        </is>
      </c>
      <c r="N72" s="18" t="inlineStr">
        <is>
          <t>Not Executed</t>
        </is>
      </c>
      <c r="O72" s="17" t="inlineStr">
        <is>
          <t>evidence/sel-web-071_screenshot.png</t>
        </is>
      </c>
      <c r="P72" s="17" t="inlineStr">
        <is>
          <t>Automated baseline generation</t>
        </is>
      </c>
    </row>
    <row r="73" ht="36" customHeight="1">
      <c r="A73" s="16" t="inlineStr">
        <is>
          <t>SEL-WEB-072</t>
        </is>
      </c>
      <c r="B73" s="16" t="inlineStr">
        <is>
          <t>Selenium Web UI Testing</t>
        </is>
      </c>
      <c r="C73" s="17" t="inlineStr">
        <is>
          <t>Android UI</t>
        </is>
      </c>
      <c r="D73" s="17" t="inlineStr">
        <is>
          <t>Verify form input validations and error hints in Android UI module</t>
        </is>
      </c>
      <c r="E73" s="17" t="inlineStr">
        <is>
          <t>Web UI - Android UI - Verify form input validations and error hints (#72)</t>
        </is>
      </c>
      <c r="F73" s="17" t="inlineStr">
        <is>
          <t>Ensure Android UI web UI component operates seamlessly under Chrome/Firefox/Edge Selenium driver.</t>
        </is>
      </c>
      <c r="G73" s="17" t="inlineStr">
        <is>
          <t>Browser session active, navigated to NutriFit Web app Android UI route.</t>
        </is>
      </c>
      <c r="H73" s="17" t="inlineStr">
        <is>
          <t>1. Open NutriFit Web app on Chrome/Edge.
2. Navigate to Android UI screen.
3. Focus input field, enter invalid format data, trigger blur event, inspect validation error badge.
4. Capture DOM state and screenshot.</t>
        </is>
      </c>
      <c r="I73" s="17" t="inlineStr">
        <is>
          <t>Module: Android UI, Viewport: 1920x1080, Data: Invalid test string / out-of-bounds input</t>
        </is>
      </c>
      <c r="J73" s="17" t="inlineStr">
        <is>
          <t>Clear validation message displayed immediately under field. on Android UI module.</t>
        </is>
      </c>
      <c r="K73" s="17" t="inlineStr">
        <is>
          <t>Pending Execution</t>
        </is>
      </c>
      <c r="L73" s="16" t="inlineStr">
        <is>
          <t>High</t>
        </is>
      </c>
      <c r="M73" s="16" t="inlineStr">
        <is>
          <t>Major</t>
        </is>
      </c>
      <c r="N73" s="18" t="inlineStr">
        <is>
          <t>Not Executed</t>
        </is>
      </c>
      <c r="O73" s="17" t="inlineStr">
        <is>
          <t>evidence/sel-web-072_screenshot.png</t>
        </is>
      </c>
      <c r="P73" s="17" t="inlineStr">
        <is>
          <t>Automated baseline generation</t>
        </is>
      </c>
    </row>
    <row r="74" ht="36" customHeight="1">
      <c r="A74" s="16" t="inlineStr">
        <is>
          <t>SEL-WEB-073</t>
        </is>
      </c>
      <c r="B74" s="16" t="inlineStr">
        <is>
          <t>Selenium Web UI Testing</t>
        </is>
      </c>
      <c r="C74" s="17" t="inlineStr">
        <is>
          <t>Error Handling</t>
        </is>
      </c>
      <c r="D74" s="17" t="inlineStr">
        <is>
          <t>Verify interactive button states and hover effects in Error Handling module</t>
        </is>
      </c>
      <c r="E74" s="17" t="inlineStr">
        <is>
          <t>Web UI - Error Handling - Verify interactive button states and hover effects (#73)</t>
        </is>
      </c>
      <c r="F74" s="17" t="inlineStr">
        <is>
          <t>Ensure Error Handling web UI component operates seamlessly under Chrome/Firefox/Edge Selenium driver.</t>
        </is>
      </c>
      <c r="G74" s="17" t="inlineStr">
        <is>
          <t>Browser session active, navigated to NutriFit Web app Error Handling route.</t>
        </is>
      </c>
      <c r="H74" s="17" t="inlineStr">
        <is>
          <t>1. Open NutriFit Web app on Chrome/Edge.
2. Navigate to Error Handling screen.
3. Hover mouse over primary action button, verify CSS transition, click button.
4. Capture DOM state and screenshot.</t>
        </is>
      </c>
      <c r="I74" s="17" t="inlineStr">
        <is>
          <t>Module: Error Handling, Viewport: 1920x1080, Data: Primary CTA button selector</t>
        </is>
      </c>
      <c r="J74" s="17" t="inlineStr">
        <is>
          <t>Button transforms smoothly on hover and handles click event correctly. on Error Handling module.</t>
        </is>
      </c>
      <c r="K74" s="17" t="inlineStr">
        <is>
          <t>Pending Execution</t>
        </is>
      </c>
      <c r="L74" s="16" t="inlineStr">
        <is>
          <t>Medium</t>
        </is>
      </c>
      <c r="M74" s="16" t="inlineStr">
        <is>
          <t>Moderate</t>
        </is>
      </c>
      <c r="N74" s="18" t="inlineStr">
        <is>
          <t>Not Executed</t>
        </is>
      </c>
      <c r="O74" s="17" t="inlineStr">
        <is>
          <t>evidence/sel-web-073_screenshot.png</t>
        </is>
      </c>
      <c r="P74" s="17" t="inlineStr">
        <is>
          <t>Automated baseline generation</t>
        </is>
      </c>
    </row>
    <row r="75" ht="36" customHeight="1">
      <c r="A75" s="16" t="inlineStr">
        <is>
          <t>SEL-WEB-074</t>
        </is>
      </c>
      <c r="B75" s="16" t="inlineStr">
        <is>
          <t>Selenium Web UI Testing</t>
        </is>
      </c>
      <c r="C75" s="17" t="inlineStr">
        <is>
          <t>Logout</t>
        </is>
      </c>
      <c r="D75" s="17" t="inlineStr">
        <is>
          <t>Verify modal dialog overlay behavior in Logout module</t>
        </is>
      </c>
      <c r="E75" s="17" t="inlineStr">
        <is>
          <t>Web UI - Logout - Verify modal dialog overlay behavior (#74)</t>
        </is>
      </c>
      <c r="F75" s="17" t="inlineStr">
        <is>
          <t>Ensure Logout web UI component operates seamlessly under Chrome/Firefox/Edge Selenium driver.</t>
        </is>
      </c>
      <c r="G75" s="17" t="inlineStr">
        <is>
          <t>Browser session active, navigated to NutriFit Web app Logout route.</t>
        </is>
      </c>
      <c r="H75" s="17" t="inlineStr">
        <is>
          <t>1. Open NutriFit Web app on Chrome/Edge.
2. Navigate to Logout screen.
3. Trigger action opening dynamic modal, verify backdrop blur, click close icon.
4. Capture DOM state and screenshot.</t>
        </is>
      </c>
      <c r="I75" s="17" t="inlineStr">
        <is>
          <t>Module: Logout, Viewport: 1920x1080, Data: Modal trigger event</t>
        </is>
      </c>
      <c r="J75" s="17" t="inlineStr">
        <is>
          <t>Modal opens centered with focus trap; closes cleanly on overlay/icon click. on Logout module.</t>
        </is>
      </c>
      <c r="K75" s="17" t="inlineStr">
        <is>
          <t>Pending Execution</t>
        </is>
      </c>
      <c r="L75" s="16" t="inlineStr">
        <is>
          <t>Medium</t>
        </is>
      </c>
      <c r="M75" s="16" t="inlineStr">
        <is>
          <t>Major</t>
        </is>
      </c>
      <c r="N75" s="18" t="inlineStr">
        <is>
          <t>Not Executed</t>
        </is>
      </c>
      <c r="O75" s="17" t="inlineStr">
        <is>
          <t>evidence/sel-web-074_screenshot.png</t>
        </is>
      </c>
      <c r="P75" s="17" t="inlineStr">
        <is>
          <t>Automated baseline generation</t>
        </is>
      </c>
    </row>
    <row r="76" ht="36" customHeight="1">
      <c r="A76" s="16" t="inlineStr">
        <is>
          <t>SEL-WEB-075</t>
        </is>
      </c>
      <c r="B76" s="16" t="inlineStr">
        <is>
          <t>Selenium Web UI Testing</t>
        </is>
      </c>
      <c r="C76" s="17" t="inlineStr">
        <is>
          <t>Splash</t>
        </is>
      </c>
      <c r="D76" s="17" t="inlineStr">
        <is>
          <t>Verify table sorting and pagination controls in Splash module</t>
        </is>
      </c>
      <c r="E76" s="17" t="inlineStr">
        <is>
          <t>Web UI - Splash - Verify table sorting and pagination controls (#75)</t>
        </is>
      </c>
      <c r="F76" s="17" t="inlineStr">
        <is>
          <t>Ensure Splash web UI component operates seamlessly under Chrome/Firefox/Edge Selenium driver.</t>
        </is>
      </c>
      <c r="G76" s="17" t="inlineStr">
        <is>
          <t>Browser session active, navigated to NutriFit Web app Splash route.</t>
        </is>
      </c>
      <c r="H76" s="17" t="inlineStr">
        <is>
          <t>1. Open NutriFit Web app on Chrome/Edge.
2. Navigate to Splash screen.
3. Navigate to list view, click table column header for sorting, click next page button.
4. Capture DOM state and screenshot.</t>
        </is>
      </c>
      <c r="I76" s="17" t="inlineStr">
        <is>
          <t>Module: Splash, Viewport: 1920x1080, Data: Page size = 10</t>
        </is>
      </c>
      <c r="J76" s="17" t="inlineStr">
        <is>
          <t>Table updates sorted order instantly; page 2 records load cleanly. on Splash module.</t>
        </is>
      </c>
      <c r="K76" s="17" t="inlineStr">
        <is>
          <t>Pending Execution</t>
        </is>
      </c>
      <c r="L76" s="16" t="inlineStr">
        <is>
          <t>High</t>
        </is>
      </c>
      <c r="M76" s="16" t="inlineStr">
        <is>
          <t>Moderate</t>
        </is>
      </c>
      <c r="N76" s="18" t="inlineStr">
        <is>
          <t>Not Executed</t>
        </is>
      </c>
      <c r="O76" s="17" t="inlineStr">
        <is>
          <t>evidence/sel-web-075_screenshot.png</t>
        </is>
      </c>
      <c r="P76" s="17" t="inlineStr">
        <is>
          <t>Automated baseline generation</t>
        </is>
      </c>
    </row>
    <row r="77" ht="36" customHeight="1">
      <c r="A77" s="16" t="inlineStr">
        <is>
          <t>SEL-WEB-076</t>
        </is>
      </c>
      <c r="B77" s="16" t="inlineStr">
        <is>
          <t>Selenium Web UI Testing</t>
        </is>
      </c>
      <c r="C77" s="17" t="inlineStr">
        <is>
          <t>Login</t>
        </is>
      </c>
      <c r="D77" s="17" t="inlineStr">
        <is>
          <t>Verify theme switching (Dark/Light mode) on Web in Login module</t>
        </is>
      </c>
      <c r="E77" s="17" t="inlineStr">
        <is>
          <t>Web UI - Login - Verify theme switching (Dark/Light mode) on Web (#76)</t>
        </is>
      </c>
      <c r="F77" s="17" t="inlineStr">
        <is>
          <t>Ensure Login web UI component operates seamlessly under Chrome/Firefox/Edge Selenium driver.</t>
        </is>
      </c>
      <c r="G77" s="17" t="inlineStr">
        <is>
          <t>Browser session active, navigated to NutriFit Web app Login route.</t>
        </is>
      </c>
      <c r="H77" s="17" t="inlineStr">
        <is>
          <t>1. Open NutriFit Web app on Chrome/Edge.
2. Navigate to Login screen.
3. Click theme toggle switch in global header navbar.
4. Capture DOM state and screenshot.</t>
        </is>
      </c>
      <c r="I77" s="17" t="inlineStr">
        <is>
          <t>Module: Login, Viewport: 1920x1080, Data: Theme toggle selector</t>
        </is>
      </c>
      <c r="J77" s="17" t="inlineStr">
        <is>
          <t>UI colors switch smoothly across all visible DOM containers. on Login module.</t>
        </is>
      </c>
      <c r="K77" s="17" t="inlineStr">
        <is>
          <t>Pending Execution</t>
        </is>
      </c>
      <c r="L77" s="16" t="inlineStr">
        <is>
          <t>Medium</t>
        </is>
      </c>
      <c r="M77" s="16" t="inlineStr">
        <is>
          <t>Major</t>
        </is>
      </c>
      <c r="N77" s="18" t="inlineStr">
        <is>
          <t>Not Executed</t>
        </is>
      </c>
      <c r="O77" s="17" t="inlineStr">
        <is>
          <t>evidence/sel-web-076_screenshot.png</t>
        </is>
      </c>
      <c r="P77" s="17" t="inlineStr">
        <is>
          <t>Automated baseline generation</t>
        </is>
      </c>
    </row>
    <row r="78" ht="36" customHeight="1">
      <c r="A78" s="16" t="inlineStr">
        <is>
          <t>SEL-WEB-077</t>
        </is>
      </c>
      <c r="B78" s="16" t="inlineStr">
        <is>
          <t>Selenium Web UI Testing</t>
        </is>
      </c>
      <c r="C78" s="17" t="inlineStr">
        <is>
          <t>Signup</t>
        </is>
      </c>
      <c r="D78" s="17" t="inlineStr">
        <is>
          <t>Verify navigation drawer opening and item selection in Signup module</t>
        </is>
      </c>
      <c r="E78" s="17" t="inlineStr">
        <is>
          <t>Web UI - Signup - Verify navigation drawer opening and item selection (#77)</t>
        </is>
      </c>
      <c r="F78" s="17" t="inlineStr">
        <is>
          <t>Ensure Signup web UI component operates seamlessly under Chrome/Firefox/Edge Selenium driver.</t>
        </is>
      </c>
      <c r="G78" s="17" t="inlineStr">
        <is>
          <t>Browser session active, navigated to NutriFit Web app Signup route.</t>
        </is>
      </c>
      <c r="H78" s="17" t="inlineStr">
        <is>
          <t>1. Open NutriFit Web app on Chrome/Edge.
2. Navigate to Signup screen.
3. Click hamburger menu icon, select target sidebar menu item.
4. Capture DOM state and screenshot.</t>
        </is>
      </c>
      <c r="I78" s="17" t="inlineStr">
        <is>
          <t>Module: Signup, Viewport: 1920x1080, Data: Sidebar nav items</t>
        </is>
      </c>
      <c r="J78" s="17" t="inlineStr">
        <is>
          <t>Drawer slides out smoothly and routes user to target page. on Signup module.</t>
        </is>
      </c>
      <c r="K78" s="17" t="inlineStr">
        <is>
          <t>Pending Execution</t>
        </is>
      </c>
      <c r="L78" s="16" t="inlineStr">
        <is>
          <t>Medium</t>
        </is>
      </c>
      <c r="M78" s="16" t="inlineStr">
        <is>
          <t>Critical</t>
        </is>
      </c>
      <c r="N78" s="18" t="inlineStr">
        <is>
          <t>Not Executed</t>
        </is>
      </c>
      <c r="O78" s="17" t="inlineStr">
        <is>
          <t>evidence/sel-web-077_screenshot.png</t>
        </is>
      </c>
      <c r="P78" s="17" t="inlineStr">
        <is>
          <t>Automated baseline generation</t>
        </is>
      </c>
    </row>
    <row r="79" ht="36" customHeight="1">
      <c r="A79" s="16" t="inlineStr">
        <is>
          <t>SEL-WEB-078</t>
        </is>
      </c>
      <c r="B79" s="16" t="inlineStr">
        <is>
          <t>Selenium Web UI Testing</t>
        </is>
      </c>
      <c r="C79" s="17" t="inlineStr">
        <is>
          <t>Forgot Password</t>
        </is>
      </c>
      <c r="D79" s="17" t="inlineStr">
        <is>
          <t>Verify image lazy loading and fallback rendering in Forgot Password module</t>
        </is>
      </c>
      <c r="E79" s="17" t="inlineStr">
        <is>
          <t>Web UI - Forgot Password - Verify image lazy loading and fallback rendering (#78)</t>
        </is>
      </c>
      <c r="F79" s="17" t="inlineStr">
        <is>
          <t>Ensure Forgot Password web UI component operates seamlessly under Chrome/Firefox/Edge Selenium driver.</t>
        </is>
      </c>
      <c r="G79" s="17" t="inlineStr">
        <is>
          <t>Browser session active, navigated to NutriFit Web app Forgot Password route.</t>
        </is>
      </c>
      <c r="H79" s="17" t="inlineStr">
        <is>
          <t>1. Open NutriFit Web app on Chrome/Edge.
2. Navigate to Forgot Password screen.
3. Scroll down page rapidly to trigger image viewports.
4. Capture DOM state and screenshot.</t>
        </is>
      </c>
      <c r="I79" s="17" t="inlineStr">
        <is>
          <t>Module: Forgot Password, Viewport: 1920x1080, Data: High-res recipe / product images</t>
        </is>
      </c>
      <c r="J79" s="17" t="inlineStr">
        <is>
          <t>Images display lazy loading placeholders before rendering final image asset cleanly. on Forgot Password module.</t>
        </is>
      </c>
      <c r="K79" s="17" t="inlineStr">
        <is>
          <t>Pending Execution</t>
        </is>
      </c>
      <c r="L79" s="16" t="inlineStr">
        <is>
          <t>High</t>
        </is>
      </c>
      <c r="M79" s="16" t="inlineStr">
        <is>
          <t>Major</t>
        </is>
      </c>
      <c r="N79" s="18" t="inlineStr">
        <is>
          <t>Not Executed</t>
        </is>
      </c>
      <c r="O79" s="17" t="inlineStr">
        <is>
          <t>evidence/sel-web-078_screenshot.png</t>
        </is>
      </c>
      <c r="P79" s="17" t="inlineStr">
        <is>
          <t>Automated baseline generation</t>
        </is>
      </c>
    </row>
    <row r="80" ht="36" customHeight="1">
      <c r="A80" s="16" t="inlineStr">
        <is>
          <t>SEL-WEB-079</t>
        </is>
      </c>
      <c r="B80" s="16" t="inlineStr">
        <is>
          <t>Selenium Web UI Testing</t>
        </is>
      </c>
      <c r="C80" s="17" t="inlineStr">
        <is>
          <t>Email Verification</t>
        </is>
      </c>
      <c r="D80" s="17" t="inlineStr">
        <is>
          <t>Verify browser back and forward navigation history in Email Verification module</t>
        </is>
      </c>
      <c r="E80" s="17" t="inlineStr">
        <is>
          <t>Web UI - Email Verification - Verify browser back and forward navigation history (#79)</t>
        </is>
      </c>
      <c r="F80" s="17" t="inlineStr">
        <is>
          <t>Ensure Email Verification web UI component operates seamlessly under Chrome/Firefox/Edge Selenium driver.</t>
        </is>
      </c>
      <c r="G80" s="17" t="inlineStr">
        <is>
          <t>Browser session active, navigated to NutriFit Web app Email Verification route.</t>
        </is>
      </c>
      <c r="H80" s="17" t="inlineStr">
        <is>
          <t>1. Open NutriFit Web app on Chrome/Edge.
2. Navigate to Email Verification screen.
3. Navigate from Dashboard -&gt; Shop -&gt; Product Details, click browser Back, then Forward.
4. Capture DOM state and screenshot.</t>
        </is>
      </c>
      <c r="I80" s="17" t="inlineStr">
        <is>
          <t>Module: Email Verification, Viewport: 1920x1080, Data: Browser history stack</t>
        </is>
      </c>
      <c r="J80" s="17" t="inlineStr">
        <is>
          <t>URL state and page DOM sync perfectly with browser history state. on Email Verification module.</t>
        </is>
      </c>
      <c r="K80" s="17" t="inlineStr">
        <is>
          <t>Pending Execution</t>
        </is>
      </c>
      <c r="L80" s="16" t="inlineStr">
        <is>
          <t>Medium</t>
        </is>
      </c>
      <c r="M80" s="16" t="inlineStr">
        <is>
          <t>Moderate</t>
        </is>
      </c>
      <c r="N80" s="18" t="inlineStr">
        <is>
          <t>Not Executed</t>
        </is>
      </c>
      <c r="O80" s="17" t="inlineStr">
        <is>
          <t>evidence/sel-web-079_screenshot.png</t>
        </is>
      </c>
      <c r="P80" s="17" t="inlineStr">
        <is>
          <t>Automated baseline generation</t>
        </is>
      </c>
    </row>
    <row r="81" ht="36" customHeight="1">
      <c r="A81" s="16" t="inlineStr">
        <is>
          <t>SEL-WEB-080</t>
        </is>
      </c>
      <c r="B81" s="16" t="inlineStr">
        <is>
          <t>Selenium Web UI Testing</t>
        </is>
      </c>
      <c r="C81" s="17" t="inlineStr">
        <is>
          <t>Onboarding</t>
        </is>
      </c>
      <c r="D81" s="17" t="inlineStr">
        <is>
          <t>Verify accessibility aria-labels and keyboard tab traversal in Onboarding module</t>
        </is>
      </c>
      <c r="E81" s="17" t="inlineStr">
        <is>
          <t>Web UI - Onboarding - Verify accessibility aria-labels and keyboard tab traversal (#80)</t>
        </is>
      </c>
      <c r="F81" s="17" t="inlineStr">
        <is>
          <t>Ensure Onboarding web UI component operates seamlessly under Chrome/Firefox/Edge Selenium driver.</t>
        </is>
      </c>
      <c r="G81" s="17" t="inlineStr">
        <is>
          <t>Browser session active, navigated to NutriFit Web app Onboarding route.</t>
        </is>
      </c>
      <c r="H81" s="17" t="inlineStr">
        <is>
          <t>1. Open NutriFit Web app on Chrome/Edge.
2. Navigate to Onboarding screen.
3. Press TAB key repeatedly from top of web page to traverse focusable elements.
4. Capture DOM state and screenshot.</t>
        </is>
      </c>
      <c r="I81" s="17" t="inlineStr">
        <is>
          <t>Module: Onboarding, Viewport: 1920x1080, Data: Keyboard navigation</t>
        </is>
      </c>
      <c r="J81" s="17" t="inlineStr">
        <is>
          <t>Focus outline highlights each interactive element in logical DOM sequence. on Onboarding module.</t>
        </is>
      </c>
      <c r="K81" s="17" t="inlineStr">
        <is>
          <t>Pending Execution</t>
        </is>
      </c>
      <c r="L81" s="16" t="inlineStr">
        <is>
          <t>Low</t>
        </is>
      </c>
      <c r="M81" s="16" t="inlineStr">
        <is>
          <t>Major</t>
        </is>
      </c>
      <c r="N81" s="18" t="inlineStr">
        <is>
          <t>Not Executed</t>
        </is>
      </c>
      <c r="O81" s="17" t="inlineStr">
        <is>
          <t>evidence/sel-web-080_screenshot.png</t>
        </is>
      </c>
      <c r="P81" s="17" t="inlineStr">
        <is>
          <t>Automated baseline generation</t>
        </is>
      </c>
    </row>
    <row r="82" ht="36" customHeight="1">
      <c r="A82" s="16" t="inlineStr">
        <is>
          <t>SEL-WEB-081</t>
        </is>
      </c>
      <c r="B82" s="16" t="inlineStr">
        <is>
          <t>Selenium Web UI Testing</t>
        </is>
      </c>
      <c r="C82" s="17" t="inlineStr">
        <is>
          <t>Dashboard</t>
        </is>
      </c>
      <c r="D82" s="17" t="inlineStr">
        <is>
          <t>Verify page load responsiveness across desktop break points in Dashboard module</t>
        </is>
      </c>
      <c r="E82" s="17" t="inlineStr">
        <is>
          <t>Web UI - Dashboard - Verify page load responsiveness across desktop break points (#81)</t>
        </is>
      </c>
      <c r="F82" s="17" t="inlineStr">
        <is>
          <t>Ensure Dashboard web UI component operates seamlessly under Chrome/Firefox/Edge Selenium driver.</t>
        </is>
      </c>
      <c r="G82" s="17" t="inlineStr">
        <is>
          <t>Browser session active, navigated to NutriFit Web app Dashboard route.</t>
        </is>
      </c>
      <c r="H82" s="17" t="inlineStr">
        <is>
          <t>1. Open NutriFit Web app on Chrome/Edge.
2. Navigate to Dashboard screen.
3. Launch web browser at 1920x1080 resolution, navigate to portal, verify layout grid and header alignment.
4. Capture DOM state and screenshot.</t>
        </is>
      </c>
      <c r="I82" s="17" t="inlineStr">
        <is>
          <t>Module: Dashboard, Viewport: 1920x1080, Data: Standard viewport 1920x1080</t>
        </is>
      </c>
      <c r="J82" s="17" t="inlineStr">
        <is>
          <t>Layout scales seamlessly without horizontal overflow or overlapping text elements. on Dashboard module.</t>
        </is>
      </c>
      <c r="K82" s="17" t="inlineStr">
        <is>
          <t>Pending Execution</t>
        </is>
      </c>
      <c r="L82" s="16" t="inlineStr">
        <is>
          <t>High</t>
        </is>
      </c>
      <c r="M82" s="16" t="inlineStr">
        <is>
          <t>Moderate</t>
        </is>
      </c>
      <c r="N82" s="18" t="inlineStr">
        <is>
          <t>Not Executed</t>
        </is>
      </c>
      <c r="O82" s="17" t="inlineStr">
        <is>
          <t>evidence/sel-web-081_screenshot.png</t>
        </is>
      </c>
      <c r="P82" s="17" t="inlineStr">
        <is>
          <t>Automated baseline generation</t>
        </is>
      </c>
    </row>
    <row r="83" ht="36" customHeight="1">
      <c r="A83" s="16" t="inlineStr">
        <is>
          <t>SEL-WEB-082</t>
        </is>
      </c>
      <c r="B83" s="16" t="inlineStr">
        <is>
          <t>Selenium Web UI Testing</t>
        </is>
      </c>
      <c r="C83" s="17" t="inlineStr">
        <is>
          <t>Profile</t>
        </is>
      </c>
      <c r="D83" s="17" t="inlineStr">
        <is>
          <t>Verify form input validations and error hints in Profile module</t>
        </is>
      </c>
      <c r="E83" s="17" t="inlineStr">
        <is>
          <t>Web UI - Profile - Verify form input validations and error hints (#82)</t>
        </is>
      </c>
      <c r="F83" s="17" t="inlineStr">
        <is>
          <t>Ensure Profile web UI component operates seamlessly under Chrome/Firefox/Edge Selenium driver.</t>
        </is>
      </c>
      <c r="G83" s="17" t="inlineStr">
        <is>
          <t>Browser session active, navigated to NutriFit Web app Profile route.</t>
        </is>
      </c>
      <c r="H83" s="17" t="inlineStr">
        <is>
          <t>1. Open NutriFit Web app on Chrome/Edge.
2. Navigate to Profile screen.
3. Focus input field, enter invalid format data, trigger blur event, inspect validation error badge.
4. Capture DOM state and screenshot.</t>
        </is>
      </c>
      <c r="I83" s="17" t="inlineStr">
        <is>
          <t>Module: Profile, Viewport: 1920x1080, Data: Invalid test string / out-of-bounds input</t>
        </is>
      </c>
      <c r="J83" s="17" t="inlineStr">
        <is>
          <t>Clear validation message displayed immediately under field. on Profile module.</t>
        </is>
      </c>
      <c r="K83" s="17" t="inlineStr">
        <is>
          <t>Pending Execution</t>
        </is>
      </c>
      <c r="L83" s="16" t="inlineStr">
        <is>
          <t>Medium</t>
        </is>
      </c>
      <c r="M83" s="16" t="inlineStr">
        <is>
          <t>Major</t>
        </is>
      </c>
      <c r="N83" s="18" t="inlineStr">
        <is>
          <t>Not Executed</t>
        </is>
      </c>
      <c r="O83" s="17" t="inlineStr">
        <is>
          <t>evidence/sel-web-082_screenshot.png</t>
        </is>
      </c>
      <c r="P83" s="17" t="inlineStr">
        <is>
          <t>Automated baseline generation</t>
        </is>
      </c>
    </row>
    <row r="84" ht="36" customHeight="1">
      <c r="A84" s="16" t="inlineStr">
        <is>
          <t>SEL-WEB-083</t>
        </is>
      </c>
      <c r="B84" s="16" t="inlineStr">
        <is>
          <t>Selenium Web UI Testing</t>
        </is>
      </c>
      <c r="C84" s="17" t="inlineStr">
        <is>
          <t>Language Settings</t>
        </is>
      </c>
      <c r="D84" s="17" t="inlineStr">
        <is>
          <t>Verify interactive button states and hover effects in Language Settings module</t>
        </is>
      </c>
      <c r="E84" s="17" t="inlineStr">
        <is>
          <t>Web UI - Language Settings - Verify interactive button states and hover effects (#83)</t>
        </is>
      </c>
      <c r="F84" s="17" t="inlineStr">
        <is>
          <t>Ensure Language Settings web UI component operates seamlessly under Chrome/Firefox/Edge Selenium driver.</t>
        </is>
      </c>
      <c r="G84" s="17" t="inlineStr">
        <is>
          <t>Browser session active, navigated to NutriFit Web app Language Settings route.</t>
        </is>
      </c>
      <c r="H84" s="17" t="inlineStr">
        <is>
          <t>1. Open NutriFit Web app on Chrome/Edge.
2. Navigate to Language Settings screen.
3. Hover mouse over primary action button, verify CSS transition, click button.
4. Capture DOM state and screenshot.</t>
        </is>
      </c>
      <c r="I84" s="17" t="inlineStr">
        <is>
          <t>Module: Language Settings, Viewport: 1920x1080, Data: Primary CTA button selector</t>
        </is>
      </c>
      <c r="J84" s="17" t="inlineStr">
        <is>
          <t>Button transforms smoothly on hover and handles click event correctly. on Language Settings module.</t>
        </is>
      </c>
      <c r="K84" s="17" t="inlineStr">
        <is>
          <t>Pending Execution</t>
        </is>
      </c>
      <c r="L84" s="16" t="inlineStr">
        <is>
          <t>Medium</t>
        </is>
      </c>
      <c r="M84" s="16" t="inlineStr">
        <is>
          <t>Moderate</t>
        </is>
      </c>
      <c r="N84" s="18" t="inlineStr">
        <is>
          <t>Not Executed</t>
        </is>
      </c>
      <c r="O84" s="17" t="inlineStr">
        <is>
          <t>evidence/sel-web-083_screenshot.png</t>
        </is>
      </c>
      <c r="P84" s="17" t="inlineStr">
        <is>
          <t>Automated baseline generation</t>
        </is>
      </c>
    </row>
    <row r="85" ht="36" customHeight="1">
      <c r="A85" s="16" t="inlineStr">
        <is>
          <t>SEL-WEB-084</t>
        </is>
      </c>
      <c r="B85" s="16" t="inlineStr">
        <is>
          <t>Selenium Web UI Testing</t>
        </is>
      </c>
      <c r="C85" s="17" t="inlineStr">
        <is>
          <t>AI Trainer</t>
        </is>
      </c>
      <c r="D85" s="17" t="inlineStr">
        <is>
          <t>Verify modal dialog overlay behavior in AI Trainer module</t>
        </is>
      </c>
      <c r="E85" s="17" t="inlineStr">
        <is>
          <t>Web UI - AI Trainer - Verify modal dialog overlay behavior (#84)</t>
        </is>
      </c>
      <c r="F85" s="17" t="inlineStr">
        <is>
          <t>Ensure AI Trainer web UI component operates seamlessly under Chrome/Firefox/Edge Selenium driver.</t>
        </is>
      </c>
      <c r="G85" s="17" t="inlineStr">
        <is>
          <t>Browser session active, navigated to NutriFit Web app AI Trainer route.</t>
        </is>
      </c>
      <c r="H85" s="17" t="inlineStr">
        <is>
          <t>1. Open NutriFit Web app on Chrome/Edge.
2. Navigate to AI Trainer screen.
3. Trigger action opening dynamic modal, verify backdrop blur, click close icon.
4. Capture DOM state and screenshot.</t>
        </is>
      </c>
      <c r="I85" s="17" t="inlineStr">
        <is>
          <t>Module: AI Trainer, Viewport: 1920x1080, Data: Modal trigger event</t>
        </is>
      </c>
      <c r="J85" s="17" t="inlineStr">
        <is>
          <t>Modal opens centered with focus trap; closes cleanly on overlay/icon click. on AI Trainer module.</t>
        </is>
      </c>
      <c r="K85" s="17" t="inlineStr">
        <is>
          <t>Pending Execution</t>
        </is>
      </c>
      <c r="L85" s="16" t="inlineStr">
        <is>
          <t>High</t>
        </is>
      </c>
      <c r="M85" s="16" t="inlineStr">
        <is>
          <t>Critical</t>
        </is>
      </c>
      <c r="N85" s="18" t="inlineStr">
        <is>
          <t>Not Executed</t>
        </is>
      </c>
      <c r="O85" s="17" t="inlineStr">
        <is>
          <t>evidence/sel-web-084_screenshot.png</t>
        </is>
      </c>
      <c r="P85" s="17" t="inlineStr">
        <is>
          <t>Automated baseline generation</t>
        </is>
      </c>
    </row>
    <row r="86" ht="36" customHeight="1">
      <c r="A86" s="16" t="inlineStr">
        <is>
          <t>SEL-WEB-085</t>
        </is>
      </c>
      <c r="B86" s="16" t="inlineStr">
        <is>
          <t>Selenium Web UI Testing</t>
        </is>
      </c>
      <c r="C86" s="17" t="inlineStr">
        <is>
          <t>Workout Plan</t>
        </is>
      </c>
      <c r="D86" s="17" t="inlineStr">
        <is>
          <t>Verify table sorting and pagination controls in Workout Plan module</t>
        </is>
      </c>
      <c r="E86" s="17" t="inlineStr">
        <is>
          <t>Web UI - Workout Plan - Verify table sorting and pagination controls (#85)</t>
        </is>
      </c>
      <c r="F86" s="17" t="inlineStr">
        <is>
          <t>Ensure Workout Plan web UI component operates seamlessly under Chrome/Firefox/Edge Selenium driver.</t>
        </is>
      </c>
      <c r="G86" s="17" t="inlineStr">
        <is>
          <t>Browser session active, navigated to NutriFit Web app Workout Plan route.</t>
        </is>
      </c>
      <c r="H86" s="17" t="inlineStr">
        <is>
          <t>1. Open NutriFit Web app on Chrome/Edge.
2. Navigate to Workout Plan screen.
3. Navigate to list view, click table column header for sorting, click next page button.
4. Capture DOM state and screenshot.</t>
        </is>
      </c>
      <c r="I86" s="17" t="inlineStr">
        <is>
          <t>Module: Workout Plan, Viewport: 1920x1080, Data: Page size = 10</t>
        </is>
      </c>
      <c r="J86" s="17" t="inlineStr">
        <is>
          <t>Table updates sorted order instantly; page 2 records load cleanly. on Workout Plan module.</t>
        </is>
      </c>
      <c r="K86" s="17" t="inlineStr">
        <is>
          <t>Pending Execution</t>
        </is>
      </c>
      <c r="L86" s="16" t="inlineStr">
        <is>
          <t>Low</t>
        </is>
      </c>
      <c r="M86" s="16" t="inlineStr">
        <is>
          <t>Moderate</t>
        </is>
      </c>
      <c r="N86" s="18" t="inlineStr">
        <is>
          <t>Not Executed</t>
        </is>
      </c>
      <c r="O86" s="17" t="inlineStr">
        <is>
          <t>evidence/sel-web-085_screenshot.png</t>
        </is>
      </c>
      <c r="P86" s="17" t="inlineStr">
        <is>
          <t>Automated baseline generation</t>
        </is>
      </c>
    </row>
    <row r="87" ht="36" customHeight="1">
      <c r="A87" s="16" t="inlineStr">
        <is>
          <t>SEL-WEB-086</t>
        </is>
      </c>
      <c r="B87" s="16" t="inlineStr">
        <is>
          <t>Selenium Web UI Testing</t>
        </is>
      </c>
      <c r="C87" s="17" t="inlineStr">
        <is>
          <t>Diet Plan</t>
        </is>
      </c>
      <c r="D87" s="17" t="inlineStr">
        <is>
          <t>Verify theme switching (Dark/Light mode) on Web in Diet Plan module</t>
        </is>
      </c>
      <c r="E87" s="17" t="inlineStr">
        <is>
          <t>Web UI - Diet Plan - Verify theme switching (Dark/Light mode) on Web (#86)</t>
        </is>
      </c>
      <c r="F87" s="17" t="inlineStr">
        <is>
          <t>Ensure Diet Plan web UI component operates seamlessly under Chrome/Firefox/Edge Selenium driver.</t>
        </is>
      </c>
      <c r="G87" s="17" t="inlineStr">
        <is>
          <t>Browser session active, navigated to NutriFit Web app Diet Plan route.</t>
        </is>
      </c>
      <c r="H87" s="17" t="inlineStr">
        <is>
          <t>1. Open NutriFit Web app on Chrome/Edge.
2. Navigate to Diet Plan screen.
3. Click theme toggle switch in global header navbar.
4. Capture DOM state and screenshot.</t>
        </is>
      </c>
      <c r="I87" s="17" t="inlineStr">
        <is>
          <t>Module: Diet Plan, Viewport: 1920x1080, Data: Theme toggle selector</t>
        </is>
      </c>
      <c r="J87" s="17" t="inlineStr">
        <is>
          <t>UI colors switch smoothly across all visible DOM containers. on Diet Plan module.</t>
        </is>
      </c>
      <c r="K87" s="17" t="inlineStr">
        <is>
          <t>Pending Execution</t>
        </is>
      </c>
      <c r="L87" s="16" t="inlineStr">
        <is>
          <t>Medium</t>
        </is>
      </c>
      <c r="M87" s="16" t="inlineStr">
        <is>
          <t>Major</t>
        </is>
      </c>
      <c r="N87" s="18" t="inlineStr">
        <is>
          <t>Not Executed</t>
        </is>
      </c>
      <c r="O87" s="17" t="inlineStr">
        <is>
          <t>evidence/sel-web-086_screenshot.png</t>
        </is>
      </c>
      <c r="P87" s="17" t="inlineStr">
        <is>
          <t>Automated baseline generation</t>
        </is>
      </c>
    </row>
    <row r="88" ht="36" customHeight="1">
      <c r="A88" s="16" t="inlineStr">
        <is>
          <t>SEL-WEB-087</t>
        </is>
      </c>
      <c r="B88" s="16" t="inlineStr">
        <is>
          <t>Selenium Web UI Testing</t>
        </is>
      </c>
      <c r="C88" s="17" t="inlineStr">
        <is>
          <t>Budget Diet Plan</t>
        </is>
      </c>
      <c r="D88" s="17" t="inlineStr">
        <is>
          <t>Verify navigation drawer opening and item selection in Budget Diet Plan module</t>
        </is>
      </c>
      <c r="E88" s="17" t="inlineStr">
        <is>
          <t>Web UI - Budget Diet Plan - Verify navigation drawer opening and item selection (#87)</t>
        </is>
      </c>
      <c r="F88" s="17" t="inlineStr">
        <is>
          <t>Ensure Budget Diet Plan web UI component operates seamlessly under Chrome/Firefox/Edge Selenium driver.</t>
        </is>
      </c>
      <c r="G88" s="17" t="inlineStr">
        <is>
          <t>Browser session active, navigated to NutriFit Web app Budget Diet Plan route.</t>
        </is>
      </c>
      <c r="H88" s="17" t="inlineStr">
        <is>
          <t>1. Open NutriFit Web app on Chrome/Edge.
2. Navigate to Budget Diet Plan screen.
3. Click hamburger menu icon, select target sidebar menu item.
4. Capture DOM state and screenshot.</t>
        </is>
      </c>
      <c r="I88" s="17" t="inlineStr">
        <is>
          <t>Module: Budget Diet Plan, Viewport: 1920x1080, Data: Sidebar nav items</t>
        </is>
      </c>
      <c r="J88" s="17" t="inlineStr">
        <is>
          <t>Drawer slides out smoothly and routes user to target page. on Budget Diet Plan module.</t>
        </is>
      </c>
      <c r="K88" s="17" t="inlineStr">
        <is>
          <t>Pending Execution</t>
        </is>
      </c>
      <c r="L88" s="16" t="inlineStr">
        <is>
          <t>High</t>
        </is>
      </c>
      <c r="M88" s="16" t="inlineStr">
        <is>
          <t>Moderate</t>
        </is>
      </c>
      <c r="N88" s="18" t="inlineStr">
        <is>
          <t>Not Executed</t>
        </is>
      </c>
      <c r="O88" s="17" t="inlineStr">
        <is>
          <t>evidence/sel-web-087_screenshot.png</t>
        </is>
      </c>
      <c r="P88" s="17" t="inlineStr">
        <is>
          <t>Automated baseline generation</t>
        </is>
      </c>
    </row>
    <row r="89" ht="36" customHeight="1">
      <c r="A89" s="16" t="inlineStr">
        <is>
          <t>SEL-WEB-088</t>
        </is>
      </c>
      <c r="B89" s="16" t="inlineStr">
        <is>
          <t>Selenium Web UI Testing</t>
        </is>
      </c>
      <c r="C89" s="17" t="inlineStr">
        <is>
          <t>Stretching and Warm-up</t>
        </is>
      </c>
      <c r="D89" s="17" t="inlineStr">
        <is>
          <t>Verify image lazy loading and fallback rendering in Stretching and Warm-up module</t>
        </is>
      </c>
      <c r="E89" s="17" t="inlineStr">
        <is>
          <t>Web UI - Stretching and Warm-up - Verify image lazy loading and fallback rendering (#88)</t>
        </is>
      </c>
      <c r="F89" s="17" t="inlineStr">
        <is>
          <t>Ensure Stretching and Warm-up web UI component operates seamlessly under Chrome/Firefox/Edge Selenium driver.</t>
        </is>
      </c>
      <c r="G89" s="17" t="inlineStr">
        <is>
          <t>Browser session active, navigated to NutriFit Web app Stretching and Warm-up route.</t>
        </is>
      </c>
      <c r="H89" s="17" t="inlineStr">
        <is>
          <t>1. Open NutriFit Web app on Chrome/Edge.
2. Navigate to Stretching and Warm-up screen.
3. Scroll down page rapidly to trigger image viewports.
4. Capture DOM state and screenshot.</t>
        </is>
      </c>
      <c r="I89" s="17" t="inlineStr">
        <is>
          <t>Module: Stretching and Warm-up, Viewport: 1920x1080, Data: High-res recipe / product images</t>
        </is>
      </c>
      <c r="J89" s="17" t="inlineStr">
        <is>
          <t>Images display lazy loading placeholders before rendering final image asset cleanly. on Stretching and Warm-up module.</t>
        </is>
      </c>
      <c r="K89" s="17" t="inlineStr">
        <is>
          <t>Pending Execution</t>
        </is>
      </c>
      <c r="L89" s="16" t="inlineStr">
        <is>
          <t>Medium</t>
        </is>
      </c>
      <c r="M89" s="16" t="inlineStr">
        <is>
          <t>Major</t>
        </is>
      </c>
      <c r="N89" s="18" t="inlineStr">
        <is>
          <t>Not Executed</t>
        </is>
      </c>
      <c r="O89" s="17" t="inlineStr">
        <is>
          <t>evidence/sel-web-088_screenshot.png</t>
        </is>
      </c>
      <c r="P89" s="17" t="inlineStr">
        <is>
          <t>Automated baseline generation</t>
        </is>
      </c>
    </row>
    <row r="90" ht="36" customHeight="1">
      <c r="A90" s="16" t="inlineStr">
        <is>
          <t>SEL-WEB-089</t>
        </is>
      </c>
      <c r="B90" s="16" t="inlineStr">
        <is>
          <t>Selenium Web UI Testing</t>
        </is>
      </c>
      <c r="C90" s="17" t="inlineStr">
        <is>
          <t>Water Tracker</t>
        </is>
      </c>
      <c r="D90" s="17" t="inlineStr">
        <is>
          <t>Verify browser back and forward navigation history in Water Tracker module</t>
        </is>
      </c>
      <c r="E90" s="17" t="inlineStr">
        <is>
          <t>Web UI - Water Tracker - Verify browser back and forward navigation history (#89)</t>
        </is>
      </c>
      <c r="F90" s="17" t="inlineStr">
        <is>
          <t>Ensure Water Tracker web UI component operates seamlessly under Chrome/Firefox/Edge Selenium driver.</t>
        </is>
      </c>
      <c r="G90" s="17" t="inlineStr">
        <is>
          <t>Browser session active, navigated to NutriFit Web app Water Tracker route.</t>
        </is>
      </c>
      <c r="H90" s="17" t="inlineStr">
        <is>
          <t>1. Open NutriFit Web app on Chrome/Edge.
2. Navigate to Water Tracker screen.
3. Navigate from Dashboard -&gt; Shop -&gt; Product Details, click browser Back, then Forward.
4. Capture DOM state and screenshot.</t>
        </is>
      </c>
      <c r="I90" s="17" t="inlineStr">
        <is>
          <t>Module: Water Tracker, Viewport: 1920x1080, Data: Browser history stack</t>
        </is>
      </c>
      <c r="J90" s="17" t="inlineStr">
        <is>
          <t>URL state and page DOM sync perfectly with browser history state. on Water Tracker module.</t>
        </is>
      </c>
      <c r="K90" s="17" t="inlineStr">
        <is>
          <t>Pending Execution</t>
        </is>
      </c>
      <c r="L90" s="16" t="inlineStr">
        <is>
          <t>Medium</t>
        </is>
      </c>
      <c r="M90" s="16" t="inlineStr">
        <is>
          <t>Moderate</t>
        </is>
      </c>
      <c r="N90" s="18" t="inlineStr">
        <is>
          <t>Not Executed</t>
        </is>
      </c>
      <c r="O90" s="17" t="inlineStr">
        <is>
          <t>evidence/sel-web-089_screenshot.png</t>
        </is>
      </c>
      <c r="P90" s="17" t="inlineStr">
        <is>
          <t>Automated baseline generation</t>
        </is>
      </c>
    </row>
    <row r="91" ht="36" customHeight="1">
      <c r="A91" s="16" t="inlineStr">
        <is>
          <t>SEL-WEB-090</t>
        </is>
      </c>
      <c r="B91" s="16" t="inlineStr">
        <is>
          <t>Selenium Web UI Testing</t>
        </is>
      </c>
      <c r="C91" s="17" t="inlineStr">
        <is>
          <t>Sleep Tracker</t>
        </is>
      </c>
      <c r="D91" s="17" t="inlineStr">
        <is>
          <t>Verify accessibility aria-labels and keyboard tab traversal in Sleep Tracker module</t>
        </is>
      </c>
      <c r="E91" s="17" t="inlineStr">
        <is>
          <t>Web UI - Sleep Tracker - Verify accessibility aria-labels and keyboard tab traversal (#90)</t>
        </is>
      </c>
      <c r="F91" s="17" t="inlineStr">
        <is>
          <t>Ensure Sleep Tracker web UI component operates seamlessly under Chrome/Firefox/Edge Selenium driver.</t>
        </is>
      </c>
      <c r="G91" s="17" t="inlineStr">
        <is>
          <t>Browser session active, navigated to NutriFit Web app Sleep Tracker route.</t>
        </is>
      </c>
      <c r="H91" s="17" t="inlineStr">
        <is>
          <t>1. Open NutriFit Web app on Chrome/Edge.
2. Navigate to Sleep Tracker screen.
3. Press TAB key repeatedly from top of web page to traverse focusable elements.
4. Capture DOM state and screenshot.</t>
        </is>
      </c>
      <c r="I91" s="17" t="inlineStr">
        <is>
          <t>Module: Sleep Tracker, Viewport: 1920x1080, Data: Keyboard navigation</t>
        </is>
      </c>
      <c r="J91" s="17" t="inlineStr">
        <is>
          <t>Focus outline highlights each interactive element in logical DOM sequence. on Sleep Tracker module.</t>
        </is>
      </c>
      <c r="K91" s="17" t="inlineStr">
        <is>
          <t>Pending Execution</t>
        </is>
      </c>
      <c r="L91" s="16" t="inlineStr">
        <is>
          <t>High</t>
        </is>
      </c>
      <c r="M91" s="16" t="inlineStr">
        <is>
          <t>Major</t>
        </is>
      </c>
      <c r="N91" s="18" t="inlineStr">
        <is>
          <t>Not Executed</t>
        </is>
      </c>
      <c r="O91" s="17" t="inlineStr">
        <is>
          <t>evidence/sel-web-090_screenshot.png</t>
        </is>
      </c>
      <c r="P91" s="17" t="inlineStr">
        <is>
          <t>Automated baseline generation</t>
        </is>
      </c>
    </row>
    <row r="92" ht="36" customHeight="1">
      <c r="A92" s="16" t="inlineStr">
        <is>
          <t>SEL-WEB-091</t>
        </is>
      </c>
      <c r="B92" s="16" t="inlineStr">
        <is>
          <t>Selenium Web UI Testing</t>
        </is>
      </c>
      <c r="C92" s="17" t="inlineStr">
        <is>
          <t>Step Tracker</t>
        </is>
      </c>
      <c r="D92" s="17" t="inlineStr">
        <is>
          <t>Verify page load responsiveness across desktop break points in Step Tracker module</t>
        </is>
      </c>
      <c r="E92" s="17" t="inlineStr">
        <is>
          <t>Web UI - Step Tracker - Verify page load responsiveness across desktop break points (#91)</t>
        </is>
      </c>
      <c r="F92" s="17" t="inlineStr">
        <is>
          <t>Ensure Step Tracker web UI component operates seamlessly under Chrome/Firefox/Edge Selenium driver.</t>
        </is>
      </c>
      <c r="G92" s="17" t="inlineStr">
        <is>
          <t>Browser session active, navigated to NutriFit Web app Step Tracker route.</t>
        </is>
      </c>
      <c r="H92" s="17" t="inlineStr">
        <is>
          <t>1. Open NutriFit Web app on Chrome/Edge.
2. Navigate to Step Tracker screen.
3. Launch web browser at 1920x1080 resolution, navigate to portal, verify layout grid and header alignment.
4. Capture DOM state and screenshot.</t>
        </is>
      </c>
      <c r="I92" s="17" t="inlineStr">
        <is>
          <t>Module: Step Tracker, Viewport: 1920x1080, Data: Standard viewport 1920x1080</t>
        </is>
      </c>
      <c r="J92" s="17" t="inlineStr">
        <is>
          <t>Layout scales seamlessly without horizontal overflow or overlapping text elements. on Step Tracker module.</t>
        </is>
      </c>
      <c r="K92" s="17" t="inlineStr">
        <is>
          <t>Pending Execution</t>
        </is>
      </c>
      <c r="L92" s="16" t="inlineStr">
        <is>
          <t>Medium</t>
        </is>
      </c>
      <c r="M92" s="16" t="inlineStr">
        <is>
          <t>Critical</t>
        </is>
      </c>
      <c r="N92" s="18" t="inlineStr">
        <is>
          <t>Not Executed</t>
        </is>
      </c>
      <c r="O92" s="17" t="inlineStr">
        <is>
          <t>evidence/sel-web-091_screenshot.png</t>
        </is>
      </c>
      <c r="P92" s="17" t="inlineStr">
        <is>
          <t>Automated baseline generation</t>
        </is>
      </c>
    </row>
    <row r="93" ht="36" customHeight="1">
      <c r="A93" s="16" t="inlineStr">
        <is>
          <t>SEL-WEB-092</t>
        </is>
      </c>
      <c r="B93" s="16" t="inlineStr">
        <is>
          <t>Selenium Web UI Testing</t>
        </is>
      </c>
      <c r="C93" s="17" t="inlineStr">
        <is>
          <t>Calorie Calculator</t>
        </is>
      </c>
      <c r="D93" s="17" t="inlineStr">
        <is>
          <t>Verify form input validations and error hints in Calorie Calculator module</t>
        </is>
      </c>
      <c r="E93" s="17" t="inlineStr">
        <is>
          <t>Web UI - Calorie Calculator - Verify form input validations and error hints (#92)</t>
        </is>
      </c>
      <c r="F93" s="17" t="inlineStr">
        <is>
          <t>Ensure Calorie Calculator web UI component operates seamlessly under Chrome/Firefox/Edge Selenium driver.</t>
        </is>
      </c>
      <c r="G93" s="17" t="inlineStr">
        <is>
          <t>Browser session active, navigated to NutriFit Web app Calorie Calculator route.</t>
        </is>
      </c>
      <c r="H93" s="17" t="inlineStr">
        <is>
          <t>1. Open NutriFit Web app on Chrome/Edge.
2. Navigate to Calorie Calculator screen.
3. Focus input field, enter invalid format data, trigger blur event, inspect validation error badge.
4. Capture DOM state and screenshot.</t>
        </is>
      </c>
      <c r="I93" s="17" t="inlineStr">
        <is>
          <t>Module: Calorie Calculator, Viewport: 1920x1080, Data: Invalid test string / out-of-bounds input</t>
        </is>
      </c>
      <c r="J93" s="17" t="inlineStr">
        <is>
          <t>Clear validation message displayed immediately under field. on Calorie Calculator module.</t>
        </is>
      </c>
      <c r="K93" s="17" t="inlineStr">
        <is>
          <t>Pending Execution</t>
        </is>
      </c>
      <c r="L93" s="16" t="inlineStr">
        <is>
          <t>Medium</t>
        </is>
      </c>
      <c r="M93" s="16" t="inlineStr">
        <is>
          <t>Major</t>
        </is>
      </c>
      <c r="N93" s="18" t="inlineStr">
        <is>
          <t>Not Executed</t>
        </is>
      </c>
      <c r="O93" s="17" t="inlineStr">
        <is>
          <t>evidence/sel-web-092_screenshot.png</t>
        </is>
      </c>
      <c r="P93" s="17" t="inlineStr">
        <is>
          <t>Automated baseline generation</t>
        </is>
      </c>
    </row>
    <row r="94" ht="36" customHeight="1">
      <c r="A94" s="16" t="inlineStr">
        <is>
          <t>SEL-WEB-093</t>
        </is>
      </c>
      <c r="B94" s="16" t="inlineStr">
        <is>
          <t>Selenium Web UI Testing</t>
        </is>
      </c>
      <c r="C94" s="17" t="inlineStr">
        <is>
          <t>Meal Reminder</t>
        </is>
      </c>
      <c r="D94" s="17" t="inlineStr">
        <is>
          <t>Verify interactive button states and hover effects in Meal Reminder module</t>
        </is>
      </c>
      <c r="E94" s="17" t="inlineStr">
        <is>
          <t>Web UI - Meal Reminder - Verify interactive button states and hover effects (#93)</t>
        </is>
      </c>
      <c r="F94" s="17" t="inlineStr">
        <is>
          <t>Ensure Meal Reminder web UI component operates seamlessly under Chrome/Firefox/Edge Selenium driver.</t>
        </is>
      </c>
      <c r="G94" s="17" t="inlineStr">
        <is>
          <t>Browser session active, navigated to NutriFit Web app Meal Reminder route.</t>
        </is>
      </c>
      <c r="H94" s="17" t="inlineStr">
        <is>
          <t>1. Open NutriFit Web app on Chrome/Edge.
2. Navigate to Meal Reminder screen.
3. Hover mouse over primary action button, verify CSS transition, click button.
4. Capture DOM state and screenshot.</t>
        </is>
      </c>
      <c r="I94" s="17" t="inlineStr">
        <is>
          <t>Module: Meal Reminder, Viewport: 1920x1080, Data: Primary CTA button selector</t>
        </is>
      </c>
      <c r="J94" s="17" t="inlineStr">
        <is>
          <t>Button transforms smoothly on hover and handles click event correctly. on Meal Reminder module.</t>
        </is>
      </c>
      <c r="K94" s="17" t="inlineStr">
        <is>
          <t>Pending Execution</t>
        </is>
      </c>
      <c r="L94" s="16" t="inlineStr">
        <is>
          <t>High</t>
        </is>
      </c>
      <c r="M94" s="16" t="inlineStr">
        <is>
          <t>Moderate</t>
        </is>
      </c>
      <c r="N94" s="18" t="inlineStr">
        <is>
          <t>Not Executed</t>
        </is>
      </c>
      <c r="O94" s="17" t="inlineStr">
        <is>
          <t>evidence/sel-web-093_screenshot.png</t>
        </is>
      </c>
      <c r="P94" s="17" t="inlineStr">
        <is>
          <t>Automated baseline generation</t>
        </is>
      </c>
    </row>
    <row r="95" ht="36" customHeight="1">
      <c r="A95" s="16" t="inlineStr">
        <is>
          <t>SEL-WEB-094</t>
        </is>
      </c>
      <c r="B95" s="16" t="inlineStr">
        <is>
          <t>Selenium Web UI Testing</t>
        </is>
      </c>
      <c r="C95" s="17" t="inlineStr">
        <is>
          <t>Notifications</t>
        </is>
      </c>
      <c r="D95" s="17" t="inlineStr">
        <is>
          <t>Verify modal dialog overlay behavior in Notifications module</t>
        </is>
      </c>
      <c r="E95" s="17" t="inlineStr">
        <is>
          <t>Web UI - Notifications - Verify modal dialog overlay behavior (#94)</t>
        </is>
      </c>
      <c r="F95" s="17" t="inlineStr">
        <is>
          <t>Ensure Notifications web UI component operates seamlessly under Chrome/Firefox/Edge Selenium driver.</t>
        </is>
      </c>
      <c r="G95" s="17" t="inlineStr">
        <is>
          <t>Browser session active, navigated to NutriFit Web app Notifications route.</t>
        </is>
      </c>
      <c r="H95" s="17" t="inlineStr">
        <is>
          <t>1. Open NutriFit Web app on Chrome/Edge.
2. Navigate to Notifications screen.
3. Trigger action opening dynamic modal, verify backdrop blur, click close icon.
4. Capture DOM state and screenshot.</t>
        </is>
      </c>
      <c r="I95" s="17" t="inlineStr">
        <is>
          <t>Module: Notifications, Viewport: 1920x1080, Data: Modal trigger event</t>
        </is>
      </c>
      <c r="J95" s="17" t="inlineStr">
        <is>
          <t>Modal opens centered with focus trap; closes cleanly on overlay/icon click. on Notifications module.</t>
        </is>
      </c>
      <c r="K95" s="17" t="inlineStr">
        <is>
          <t>Pending Execution</t>
        </is>
      </c>
      <c r="L95" s="16" t="inlineStr">
        <is>
          <t>Medium</t>
        </is>
      </c>
      <c r="M95" s="16" t="inlineStr">
        <is>
          <t>Major</t>
        </is>
      </c>
      <c r="N95" s="18" t="inlineStr">
        <is>
          <t>Not Executed</t>
        </is>
      </c>
      <c r="O95" s="17" t="inlineStr">
        <is>
          <t>evidence/sel-web-094_screenshot.png</t>
        </is>
      </c>
      <c r="P95" s="17" t="inlineStr">
        <is>
          <t>Automated baseline generation</t>
        </is>
      </c>
    </row>
    <row r="96" ht="36" customHeight="1">
      <c r="A96" s="16" t="inlineStr">
        <is>
          <t>SEL-WEB-095</t>
        </is>
      </c>
      <c r="B96" s="16" t="inlineStr">
        <is>
          <t>Selenium Web UI Testing</t>
        </is>
      </c>
      <c r="C96" s="17" t="inlineStr">
        <is>
          <t>Shop</t>
        </is>
      </c>
      <c r="D96" s="17" t="inlineStr">
        <is>
          <t>Verify table sorting and pagination controls in Shop module</t>
        </is>
      </c>
      <c r="E96" s="17" t="inlineStr">
        <is>
          <t>Web UI - Shop - Verify table sorting and pagination controls (#95)</t>
        </is>
      </c>
      <c r="F96" s="17" t="inlineStr">
        <is>
          <t>Ensure Shop web UI component operates seamlessly under Chrome/Firefox/Edge Selenium driver.</t>
        </is>
      </c>
      <c r="G96" s="17" t="inlineStr">
        <is>
          <t>Browser session active, navigated to NutriFit Web app Shop route.</t>
        </is>
      </c>
      <c r="H96" s="17" t="inlineStr">
        <is>
          <t>1. Open NutriFit Web app on Chrome/Edge.
2. Navigate to Shop screen.
3. Navigate to list view, click table column header for sorting, click next page button.
4. Capture DOM state and screenshot.</t>
        </is>
      </c>
      <c r="I96" s="17" t="inlineStr">
        <is>
          <t>Module: Shop, Viewport: 1920x1080, Data: Page size = 10</t>
        </is>
      </c>
      <c r="J96" s="17" t="inlineStr">
        <is>
          <t>Table updates sorted order instantly; page 2 records load cleanly. on Shop module.</t>
        </is>
      </c>
      <c r="K96" s="17" t="inlineStr">
        <is>
          <t>Pending Execution</t>
        </is>
      </c>
      <c r="L96" s="16" t="inlineStr">
        <is>
          <t>Low</t>
        </is>
      </c>
      <c r="M96" s="16" t="inlineStr">
        <is>
          <t>Moderate</t>
        </is>
      </c>
      <c r="N96" s="18" t="inlineStr">
        <is>
          <t>Not Executed</t>
        </is>
      </c>
      <c r="O96" s="17" t="inlineStr">
        <is>
          <t>evidence/sel-web-095_screenshot.png</t>
        </is>
      </c>
      <c r="P96" s="17" t="inlineStr">
        <is>
          <t>Automated baseline generation</t>
        </is>
      </c>
    </row>
    <row r="97" ht="36" customHeight="1">
      <c r="A97" s="16" t="inlineStr">
        <is>
          <t>SEL-WEB-096</t>
        </is>
      </c>
      <c r="B97" s="16" t="inlineStr">
        <is>
          <t>Selenium Web UI Testing</t>
        </is>
      </c>
      <c r="C97" s="17" t="inlineStr">
        <is>
          <t>Product Search and Filters</t>
        </is>
      </c>
      <c r="D97" s="17" t="inlineStr">
        <is>
          <t>Verify theme switching (Dark/Light mode) on Web in Product Search and Filters module</t>
        </is>
      </c>
      <c r="E97" s="17" t="inlineStr">
        <is>
          <t>Web UI - Product Search and Filters - Verify theme switching (Dark/Light mode) on Web (#96)</t>
        </is>
      </c>
      <c r="F97" s="17" t="inlineStr">
        <is>
          <t>Ensure Product Search and Filters web UI component operates seamlessly under Chrome/Firefox/Edge Selenium driver.</t>
        </is>
      </c>
      <c r="G97" s="17" t="inlineStr">
        <is>
          <t>Browser session active, navigated to NutriFit Web app Product Search and Filters route.</t>
        </is>
      </c>
      <c r="H97" s="17" t="inlineStr">
        <is>
          <t>1. Open NutriFit Web app on Chrome/Edge.
2. Navigate to Product Search and Filters screen.
3. Click theme toggle switch in global header navbar.
4. Capture DOM state and screenshot.</t>
        </is>
      </c>
      <c r="I97" s="17" t="inlineStr">
        <is>
          <t>Module: Product Search and Filters, Viewport: 1920x1080, Data: Theme toggle selector</t>
        </is>
      </c>
      <c r="J97" s="17" t="inlineStr">
        <is>
          <t>UI colors switch smoothly across all visible DOM containers. on Product Search and Filters module.</t>
        </is>
      </c>
      <c r="K97" s="17" t="inlineStr">
        <is>
          <t>Pending Execution</t>
        </is>
      </c>
      <c r="L97" s="16" t="inlineStr">
        <is>
          <t>High</t>
        </is>
      </c>
      <c r="M97" s="16" t="inlineStr">
        <is>
          <t>Major</t>
        </is>
      </c>
      <c r="N97" s="18" t="inlineStr">
        <is>
          <t>Not Executed</t>
        </is>
      </c>
      <c r="O97" s="17" t="inlineStr">
        <is>
          <t>evidence/sel-web-096_screenshot.png</t>
        </is>
      </c>
      <c r="P97" s="17" t="inlineStr">
        <is>
          <t>Automated baseline generation</t>
        </is>
      </c>
    </row>
    <row r="98" ht="36" customHeight="1">
      <c r="A98" s="16" t="inlineStr">
        <is>
          <t>SEL-WEB-097</t>
        </is>
      </c>
      <c r="B98" s="16" t="inlineStr">
        <is>
          <t>Selenium Web UI Testing</t>
        </is>
      </c>
      <c r="C98" s="17" t="inlineStr">
        <is>
          <t>Product Details</t>
        </is>
      </c>
      <c r="D98" s="17" t="inlineStr">
        <is>
          <t>Verify navigation drawer opening and item selection in Product Details module</t>
        </is>
      </c>
      <c r="E98" s="17" t="inlineStr">
        <is>
          <t>Web UI - Product Details - Verify navigation drawer opening and item selection (#97)</t>
        </is>
      </c>
      <c r="F98" s="17" t="inlineStr">
        <is>
          <t>Ensure Product Details web UI component operates seamlessly under Chrome/Firefox/Edge Selenium driver.</t>
        </is>
      </c>
      <c r="G98" s="17" t="inlineStr">
        <is>
          <t>Browser session active, navigated to NutriFit Web app Product Details route.</t>
        </is>
      </c>
      <c r="H98" s="17" t="inlineStr">
        <is>
          <t>1. Open NutriFit Web app on Chrome/Edge.
2. Navigate to Product Details screen.
3. Click hamburger menu icon, select target sidebar menu item.
4. Capture DOM state and screenshot.</t>
        </is>
      </c>
      <c r="I98" s="17" t="inlineStr">
        <is>
          <t>Module: Product Details, Viewport: 1920x1080, Data: Sidebar nav items</t>
        </is>
      </c>
      <c r="J98" s="17" t="inlineStr">
        <is>
          <t>Drawer slides out smoothly and routes user to target page. on Product Details module.</t>
        </is>
      </c>
      <c r="K98" s="17" t="inlineStr">
        <is>
          <t>Pending Execution</t>
        </is>
      </c>
      <c r="L98" s="16" t="inlineStr">
        <is>
          <t>Medium</t>
        </is>
      </c>
      <c r="M98" s="16" t="inlineStr">
        <is>
          <t>Moderate</t>
        </is>
      </c>
      <c r="N98" s="18" t="inlineStr">
        <is>
          <t>Not Executed</t>
        </is>
      </c>
      <c r="O98" s="17" t="inlineStr">
        <is>
          <t>evidence/sel-web-097_screenshot.png</t>
        </is>
      </c>
      <c r="P98" s="17" t="inlineStr">
        <is>
          <t>Automated baseline generation</t>
        </is>
      </c>
    </row>
    <row r="99" ht="36" customHeight="1">
      <c r="A99" s="16" t="inlineStr">
        <is>
          <t>SEL-WEB-098</t>
        </is>
      </c>
      <c r="B99" s="16" t="inlineStr">
        <is>
          <t>Selenium Web UI Testing</t>
        </is>
      </c>
      <c r="C99" s="17" t="inlineStr">
        <is>
          <t>Wishlist</t>
        </is>
      </c>
      <c r="D99" s="17" t="inlineStr">
        <is>
          <t>Verify image lazy loading and fallback rendering in Wishlist module</t>
        </is>
      </c>
      <c r="E99" s="17" t="inlineStr">
        <is>
          <t>Web UI - Wishlist - Verify image lazy loading and fallback rendering (#98)</t>
        </is>
      </c>
      <c r="F99" s="17" t="inlineStr">
        <is>
          <t>Ensure Wishlist web UI component operates seamlessly under Chrome/Firefox/Edge Selenium driver.</t>
        </is>
      </c>
      <c r="G99" s="17" t="inlineStr">
        <is>
          <t>Browser session active, navigated to NutriFit Web app Wishlist route.</t>
        </is>
      </c>
      <c r="H99" s="17" t="inlineStr">
        <is>
          <t>1. Open NutriFit Web app on Chrome/Edge.
2. Navigate to Wishlist screen.
3. Scroll down page rapidly to trigger image viewports.
4. Capture DOM state and screenshot.</t>
        </is>
      </c>
      <c r="I99" s="17" t="inlineStr">
        <is>
          <t>Module: Wishlist, Viewport: 1920x1080, Data: High-res recipe / product images</t>
        </is>
      </c>
      <c r="J99" s="17" t="inlineStr">
        <is>
          <t>Images display lazy loading placeholders before rendering final image asset cleanly. on Wishlist module.</t>
        </is>
      </c>
      <c r="K99" s="17" t="inlineStr">
        <is>
          <t>Pending Execution</t>
        </is>
      </c>
      <c r="L99" s="16" t="inlineStr">
        <is>
          <t>Medium</t>
        </is>
      </c>
      <c r="M99" s="16" t="inlineStr">
        <is>
          <t>Critical</t>
        </is>
      </c>
      <c r="N99" s="18" t="inlineStr">
        <is>
          <t>Not Executed</t>
        </is>
      </c>
      <c r="O99" s="17" t="inlineStr">
        <is>
          <t>evidence/sel-web-098_screenshot.png</t>
        </is>
      </c>
      <c r="P99" s="17" t="inlineStr">
        <is>
          <t>Automated baseline generation</t>
        </is>
      </c>
    </row>
    <row r="100" ht="36" customHeight="1">
      <c r="A100" s="16" t="inlineStr">
        <is>
          <t>SEL-WEB-099</t>
        </is>
      </c>
      <c r="B100" s="16" t="inlineStr">
        <is>
          <t>Selenium Web UI Testing</t>
        </is>
      </c>
      <c r="C100" s="17" t="inlineStr">
        <is>
          <t>Cart</t>
        </is>
      </c>
      <c r="D100" s="17" t="inlineStr">
        <is>
          <t>Verify browser back and forward navigation history in Cart module</t>
        </is>
      </c>
      <c r="E100" s="17" t="inlineStr">
        <is>
          <t>Web UI - Cart - Verify browser back and forward navigation history (#99)</t>
        </is>
      </c>
      <c r="F100" s="17" t="inlineStr">
        <is>
          <t>Ensure Cart web UI component operates seamlessly under Chrome/Firefox/Edge Selenium driver.</t>
        </is>
      </c>
      <c r="G100" s="17" t="inlineStr">
        <is>
          <t>Browser session active, navigated to NutriFit Web app Cart route.</t>
        </is>
      </c>
      <c r="H100" s="17" t="inlineStr">
        <is>
          <t>1. Open NutriFit Web app on Chrome/Edge.
2. Navigate to Cart screen.
3. Navigate from Dashboard -&gt; Shop -&gt; Product Details, click browser Back, then Forward.
4. Capture DOM state and screenshot.</t>
        </is>
      </c>
      <c r="I100" s="17" t="inlineStr">
        <is>
          <t>Module: Cart, Viewport: 1920x1080, Data: Browser history stack</t>
        </is>
      </c>
      <c r="J100" s="17" t="inlineStr">
        <is>
          <t>URL state and page DOM sync perfectly with browser history state. on Cart module.</t>
        </is>
      </c>
      <c r="K100" s="17" t="inlineStr">
        <is>
          <t>Pending Execution</t>
        </is>
      </c>
      <c r="L100" s="16" t="inlineStr">
        <is>
          <t>High</t>
        </is>
      </c>
      <c r="M100" s="16" t="inlineStr">
        <is>
          <t>Moderate</t>
        </is>
      </c>
      <c r="N100" s="18" t="inlineStr">
        <is>
          <t>Not Executed</t>
        </is>
      </c>
      <c r="O100" s="17" t="inlineStr">
        <is>
          <t>evidence/sel-web-099_screenshot.png</t>
        </is>
      </c>
      <c r="P100" s="17" t="inlineStr">
        <is>
          <t>Automated baseline generation</t>
        </is>
      </c>
    </row>
    <row r="101" ht="36" customHeight="1">
      <c r="A101" s="16" t="inlineStr">
        <is>
          <t>SEL-WEB-100</t>
        </is>
      </c>
      <c r="B101" s="16" t="inlineStr">
        <is>
          <t>Selenium Web UI Testing</t>
        </is>
      </c>
      <c r="C101" s="17" t="inlineStr">
        <is>
          <t>Checkout</t>
        </is>
      </c>
      <c r="D101" s="17" t="inlineStr">
        <is>
          <t>Verify accessibility aria-labels and keyboard tab traversal in Checkout module</t>
        </is>
      </c>
      <c r="E101" s="17" t="inlineStr">
        <is>
          <t>Web UI - Checkout - Verify accessibility aria-labels and keyboard tab traversal (#100)</t>
        </is>
      </c>
      <c r="F101" s="17" t="inlineStr">
        <is>
          <t>Ensure Checkout web UI component operates seamlessly under Chrome/Firefox/Edge Selenium driver.</t>
        </is>
      </c>
      <c r="G101" s="17" t="inlineStr">
        <is>
          <t>Browser session active, navigated to NutriFit Web app Checkout route.</t>
        </is>
      </c>
      <c r="H101" s="17" t="inlineStr">
        <is>
          <t>1. Open NutriFit Web app on Chrome/Edge.
2. Navigate to Checkout screen.
3. Press TAB key repeatedly from top of web page to traverse focusable elements.
4. Capture DOM state and screenshot.</t>
        </is>
      </c>
      <c r="I101" s="17" t="inlineStr">
        <is>
          <t>Module: Checkout, Viewport: 1920x1080, Data: Keyboard navigation</t>
        </is>
      </c>
      <c r="J101" s="17" t="inlineStr">
        <is>
          <t>Focus outline highlights each interactive element in logical DOM sequence. on Checkout module.</t>
        </is>
      </c>
      <c r="K101" s="17" t="inlineStr">
        <is>
          <t>Pending Execution</t>
        </is>
      </c>
      <c r="L101" s="16" t="inlineStr">
        <is>
          <t>Low</t>
        </is>
      </c>
      <c r="M101" s="16" t="inlineStr">
        <is>
          <t>Major</t>
        </is>
      </c>
      <c r="N101" s="18" t="inlineStr">
        <is>
          <t>Not Executed</t>
        </is>
      </c>
      <c r="O101" s="17" t="inlineStr">
        <is>
          <t>evidence/sel-web-100_screenshot.png</t>
        </is>
      </c>
      <c r="P101" s="17" t="inlineStr">
        <is>
          <t>Automated baseline generation</t>
        </is>
      </c>
    </row>
  </sheetData>
  <autoFilter ref="A1:P1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9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20" customWidth="1" min="3" max="3"/>
    <col width="30" customWidth="1" min="4" max="4"/>
    <col width="35" customWidth="1" min="5" max="5"/>
    <col width="35" customWidth="1" min="6" max="6"/>
    <col width="30" customWidth="1" min="7" max="7"/>
    <col width="45" customWidth="1" min="8" max="8"/>
    <col width="25" customWidth="1" min="9" max="9"/>
    <col width="35" customWidth="1" min="10" max="10"/>
    <col width="20" customWidth="1" min="11" max="11"/>
    <col width="12" customWidth="1" min="12" max="12"/>
    <col width="12" customWidth="1" min="13" max="13"/>
    <col width="15" customWidth="1" min="14" max="14"/>
    <col width="25" customWidth="1" min="15" max="15"/>
    <col width="25" customWidth="1" min="16" max="16"/>
  </cols>
  <sheetData>
    <row r="1" ht="28" customHeight="1">
      <c r="A1" s="15" t="inlineStr">
        <is>
          <t>Test Case ID</t>
        </is>
      </c>
      <c r="B1" s="15" t="inlineStr">
        <is>
          <t>Testing Type</t>
        </is>
      </c>
      <c r="C1" s="15" t="inlineStr">
        <is>
          <t>Module</t>
        </is>
      </c>
      <c r="D1" s="15" t="inlineStr">
        <is>
          <t>Test Scenario</t>
        </is>
      </c>
      <c r="E1" s="15" t="inlineStr">
        <is>
          <t>Test Case Title</t>
        </is>
      </c>
      <c r="F1" s="15" t="inlineStr">
        <is>
          <t>Objective</t>
        </is>
      </c>
      <c r="G1" s="15" t="inlineStr">
        <is>
          <t>Preconditions</t>
        </is>
      </c>
      <c r="H1" s="15" t="inlineStr">
        <is>
          <t>Test Steps</t>
        </is>
      </c>
      <c r="I1" s="15" t="inlineStr">
        <is>
          <t>Test Data</t>
        </is>
      </c>
      <c r="J1" s="15" t="inlineStr">
        <is>
          <t>Expected Result</t>
        </is>
      </c>
      <c r="K1" s="15" t="inlineStr">
        <is>
          <t>Actual Result</t>
        </is>
      </c>
      <c r="L1" s="15" t="inlineStr">
        <is>
          <t>Priority</t>
        </is>
      </c>
      <c r="M1" s="15" t="inlineStr">
        <is>
          <t>Severity</t>
        </is>
      </c>
      <c r="N1" s="15" t="inlineStr">
        <is>
          <t>Status</t>
        </is>
      </c>
      <c r="O1" s="15" t="inlineStr">
        <is>
          <t>Evidence Path</t>
        </is>
      </c>
      <c r="P1" s="15" t="inlineStr">
        <is>
          <t>Remarks</t>
        </is>
      </c>
    </row>
    <row r="2" ht="36" customHeight="1">
      <c r="A2" s="16" t="inlineStr">
        <is>
          <t>APP-AND-001</t>
        </is>
      </c>
      <c r="B2" s="16" t="inlineStr">
        <is>
          <t>Appium Android E2E Testing</t>
        </is>
      </c>
      <c r="C2" s="17" t="inlineStr">
        <is>
          <t>Splash</t>
        </is>
      </c>
      <c r="D2" s="17" t="inlineStr">
        <is>
          <t>Verify native touch swipe and scroll gestures for Android Splash</t>
        </is>
      </c>
      <c r="E2" s="17" t="inlineStr">
        <is>
          <t>Android E2E - Splash - Verify native touch swipe and scroll gestures (#1)</t>
        </is>
      </c>
      <c r="F2" s="17" t="inlineStr">
        <is>
          <t>Verify native Android application behavior for Splash using Appium automation.</t>
        </is>
      </c>
      <c r="G2" s="17" t="inlineStr">
        <is>
          <t>NutriFit APK installed on Android Emulator/Device (API level 33+), Appium session running.</t>
        </is>
      </c>
      <c r="H2" s="17" t="inlineStr">
        <is>
          <t>1. Launch Appium driver session.
2. Open Splash view via native element selector.
3. Perform vertical swipe gesture on scrollable listview container.
4. Verify UI state.</t>
        </is>
      </c>
      <c r="I2" s="17" t="inlineStr">
        <is>
          <t>Device: Pixel 7 Pro (API 34), Package: com.nutrifit.app, Module: Splash</t>
        </is>
      </c>
      <c r="J2" s="17" t="inlineStr">
        <is>
          <t>Container scrolls smoothly without frame drops or touch drag locking. for Splash screen on Android.</t>
        </is>
      </c>
      <c r="K2" s="17" t="inlineStr">
        <is>
          <t>Pending Execution</t>
        </is>
      </c>
      <c r="L2" s="16" t="inlineStr">
        <is>
          <t>Medium</t>
        </is>
      </c>
      <c r="M2" s="16" t="inlineStr">
        <is>
          <t>Moderate</t>
        </is>
      </c>
      <c r="N2" s="18" t="inlineStr">
        <is>
          <t>Not Executed</t>
        </is>
      </c>
      <c r="O2" s="17" t="inlineStr">
        <is>
          <t>evidence/app-and-001_screenshot.png</t>
        </is>
      </c>
      <c r="P2" s="17" t="inlineStr">
        <is>
          <t>Automated baseline generation</t>
        </is>
      </c>
    </row>
    <row r="3" ht="36" customHeight="1">
      <c r="A3" s="16" t="inlineStr">
        <is>
          <t>APP-AND-002</t>
        </is>
      </c>
      <c r="B3" s="16" t="inlineStr">
        <is>
          <t>Appium Android E2E Testing</t>
        </is>
      </c>
      <c r="C3" s="17" t="inlineStr">
        <is>
          <t>Login</t>
        </is>
      </c>
      <c r="D3" s="17" t="inlineStr">
        <is>
          <t>Verify hardware back button behavior for Android Login</t>
        </is>
      </c>
      <c r="E3" s="17" t="inlineStr">
        <is>
          <t>Android E2E - Login - Verify hardware back button behavior (#2)</t>
        </is>
      </c>
      <c r="F3" s="17" t="inlineStr">
        <is>
          <t>Verify native Android application behavior for Login using Appium automation.</t>
        </is>
      </c>
      <c r="G3" s="17" t="inlineStr">
        <is>
          <t>NutriFit APK installed on Android Emulator/Device (API level 33+), Appium session running.</t>
        </is>
      </c>
      <c r="H3" s="17" t="inlineStr">
        <is>
          <t>1. Launch Appium driver session.
2. Open Login view via native element selector.
3. Navigate deep into feature stack, press hardware back button.
4. Verify UI state.</t>
        </is>
      </c>
      <c r="I3" s="17" t="inlineStr">
        <is>
          <t>Device: Pixel 7 Pro (API 34), Package: com.nutrifit.app, Module: Login</t>
        </is>
      </c>
      <c r="J3" s="17" t="inlineStr">
        <is>
          <t>App returns to previous screen cleanly without exiting app unexpectedly. for Login screen on Android.</t>
        </is>
      </c>
      <c r="K3" s="17" t="inlineStr">
        <is>
          <t>Pending Execution</t>
        </is>
      </c>
      <c r="L3" s="16" t="inlineStr">
        <is>
          <t>High</t>
        </is>
      </c>
      <c r="M3" s="16" t="inlineStr">
        <is>
          <t>Moderate</t>
        </is>
      </c>
      <c r="N3" s="18" t="inlineStr">
        <is>
          <t>Not Executed</t>
        </is>
      </c>
      <c r="O3" s="17" t="inlineStr">
        <is>
          <t>evidence/app-and-002_screenshot.png</t>
        </is>
      </c>
      <c r="P3" s="17" t="inlineStr">
        <is>
          <t>Automated baseline generation</t>
        </is>
      </c>
    </row>
    <row r="4" ht="36" customHeight="1">
      <c r="A4" s="16" t="inlineStr">
        <is>
          <t>APP-AND-003</t>
        </is>
      </c>
      <c r="B4" s="16" t="inlineStr">
        <is>
          <t>Appium Android E2E Testing</t>
        </is>
      </c>
      <c r="C4" s="17" t="inlineStr">
        <is>
          <t>Signup</t>
        </is>
      </c>
      <c r="D4" s="17" t="inlineStr">
        <is>
          <t>Verify device orientation toggle (Portrait to Landscape) for Android Signup</t>
        </is>
      </c>
      <c r="E4" s="17" t="inlineStr">
        <is>
          <t>Android E2E - Signup - Verify device orientation toggle (Portrait to Landscape) (#3)</t>
        </is>
      </c>
      <c r="F4" s="17" t="inlineStr">
        <is>
          <t>Verify native Android application behavior for Signup using Appium automation.</t>
        </is>
      </c>
      <c r="G4" s="17" t="inlineStr">
        <is>
          <t>NutriFit APK installed on Android Emulator/Device (API level 33+), Appium session running.</t>
        </is>
      </c>
      <c r="H4" s="17" t="inlineStr">
        <is>
          <t>1. Launch Appium driver session.
2. Open Signup view via native element selector.
3. Trigger device rotation to landscape, verify view adaptation.
4. Verify UI state.</t>
        </is>
      </c>
      <c r="I4" s="17" t="inlineStr">
        <is>
          <t>Device: Pixel 7 Pro (API 34), Package: com.nutrifit.app, Module: Signup</t>
        </is>
      </c>
      <c r="J4" s="17" t="inlineStr">
        <is>
          <t>UI resizes responsively in landscape without clipping key buttons. for Signup screen on Android.</t>
        </is>
      </c>
      <c r="K4" s="17" t="inlineStr">
        <is>
          <t>Pending Execution</t>
        </is>
      </c>
      <c r="L4" s="16" t="inlineStr">
        <is>
          <t>Medium</t>
        </is>
      </c>
      <c r="M4" s="16" t="inlineStr">
        <is>
          <t>Major</t>
        </is>
      </c>
      <c r="N4" s="18" t="inlineStr">
        <is>
          <t>Not Executed</t>
        </is>
      </c>
      <c r="O4" s="17" t="inlineStr">
        <is>
          <t>evidence/app-and-003_screenshot.png</t>
        </is>
      </c>
      <c r="P4" s="17" t="inlineStr">
        <is>
          <t>Automated baseline generation</t>
        </is>
      </c>
    </row>
    <row r="5" ht="36" customHeight="1">
      <c r="A5" s="16" t="inlineStr">
        <is>
          <t>APP-AND-004</t>
        </is>
      </c>
      <c r="B5" s="16" t="inlineStr">
        <is>
          <t>Appium Android E2E Testing</t>
        </is>
      </c>
      <c r="C5" s="17" t="inlineStr">
        <is>
          <t>Forgot Password</t>
        </is>
      </c>
      <c r="D5" s="17" t="inlineStr">
        <is>
          <t>Verify system notification banner pop-up and tap action for Android Forgot Password</t>
        </is>
      </c>
      <c r="E5" s="17" t="inlineStr">
        <is>
          <t>Android E2E - Forgot Password - Verify system notification banner pop-up and tap action (#4)</t>
        </is>
      </c>
      <c r="F5" s="17" t="inlineStr">
        <is>
          <t>Verify native Android application behavior for Forgot Password using Appium automation.</t>
        </is>
      </c>
      <c r="G5" s="17" t="inlineStr">
        <is>
          <t>NutriFit APK installed on Android Emulator/Device (API level 33+), Appium session running.</t>
        </is>
      </c>
      <c r="H5" s="17" t="inlineStr">
        <is>
          <t>1. Launch Appium driver session.
2. Open Forgot Password view via native element selector.
3. Trigger local push alert, pull down Android notification shade, tap notification.
4. Verify UI state.</t>
        </is>
      </c>
      <c r="I5" s="17" t="inlineStr">
        <is>
          <t>Device: Pixel 7 Pro (API 34), Package: com.nutrifit.app, Module: Forgot Password</t>
        </is>
      </c>
      <c r="J5" s="17" t="inlineStr">
        <is>
          <t>App opens target screen specified in notification payload. for Forgot Password screen on Android.</t>
        </is>
      </c>
      <c r="K5" s="17" t="inlineStr">
        <is>
          <t>Pending Execution</t>
        </is>
      </c>
      <c r="L5" s="16" t="inlineStr">
        <is>
          <t>High</t>
        </is>
      </c>
      <c r="M5" s="16" t="inlineStr">
        <is>
          <t>Moderate</t>
        </is>
      </c>
      <c r="N5" s="18" t="inlineStr">
        <is>
          <t>Not Executed</t>
        </is>
      </c>
      <c r="O5" s="17" t="inlineStr">
        <is>
          <t>evidence/app-and-004_screenshot.png</t>
        </is>
      </c>
      <c r="P5" s="17" t="inlineStr">
        <is>
          <t>Automated baseline generation</t>
        </is>
      </c>
    </row>
    <row r="6" ht="36" customHeight="1">
      <c r="A6" s="16" t="inlineStr">
        <is>
          <t>APP-AND-005</t>
        </is>
      </c>
      <c r="B6" s="16" t="inlineStr">
        <is>
          <t>Appium Android E2E Testing</t>
        </is>
      </c>
      <c r="C6" s="17" t="inlineStr">
        <is>
          <t>Email Verification</t>
        </is>
      </c>
      <c r="D6" s="17" t="inlineStr">
        <is>
          <t>Verify biometric authentication prompt (Fingerprint/Face) for Android Email Verification</t>
        </is>
      </c>
      <c r="E6" s="17" t="inlineStr">
        <is>
          <t>Android E2E - Email Verification - Verify biometric authentication prompt (Fingerprint/Face) (#5)</t>
        </is>
      </c>
      <c r="F6" s="17" t="inlineStr">
        <is>
          <t>Verify native Android application behavior for Email Verification using Appium automation.</t>
        </is>
      </c>
      <c r="G6" s="17" t="inlineStr">
        <is>
          <t>NutriFit APK installed on Android Emulator/Device (API level 33+), Appium session running.</t>
        </is>
      </c>
      <c r="H6" s="17" t="inlineStr">
        <is>
          <t>1. Launch Appium driver session.
2. Open Email Verification view via native element selector.
3. Trigger sensitive action requiring biometric authentication.
4. Verify UI state.</t>
        </is>
      </c>
      <c r="I6" s="17" t="inlineStr">
        <is>
          <t>Device: Pixel 7 Pro (API 34), Package: com.nutrifit.app, Module: Email Verification</t>
        </is>
      </c>
      <c r="J6" s="17" t="inlineStr">
        <is>
          <t>Native Android BiometricPrompt appears; success unlocks target view. for Email Verification screen on Android.</t>
        </is>
      </c>
      <c r="K6" s="17" t="inlineStr">
        <is>
          <t>Pending Execution</t>
        </is>
      </c>
      <c r="L6" s="16" t="inlineStr">
        <is>
          <t>Medium</t>
        </is>
      </c>
      <c r="M6" s="16" t="inlineStr">
        <is>
          <t>Moderate</t>
        </is>
      </c>
      <c r="N6" s="18" t="inlineStr">
        <is>
          <t>Not Executed</t>
        </is>
      </c>
      <c r="O6" s="17" t="inlineStr">
        <is>
          <t>evidence/app-and-005_screenshot.png</t>
        </is>
      </c>
      <c r="P6" s="17" t="inlineStr">
        <is>
          <t>Automated baseline generation</t>
        </is>
      </c>
    </row>
    <row r="7" ht="36" customHeight="1">
      <c r="A7" s="16" t="inlineStr">
        <is>
          <t>APP-AND-006</t>
        </is>
      </c>
      <c r="B7" s="16" t="inlineStr">
        <is>
          <t>Appium Android E2E Testing</t>
        </is>
      </c>
      <c r="C7" s="17" t="inlineStr">
        <is>
          <t>Onboarding</t>
        </is>
      </c>
      <c r="D7" s="17" t="inlineStr">
        <is>
          <t>Verify camera permission request dialog and image capture for Android Onboarding</t>
        </is>
      </c>
      <c r="E7" s="17" t="inlineStr">
        <is>
          <t>Android E2E - Onboarding - Verify camera permission request dialog and image capture (#6)</t>
        </is>
      </c>
      <c r="F7" s="17" t="inlineStr">
        <is>
          <t>Verify native Android application behavior for Onboarding using Appium automation.</t>
        </is>
      </c>
      <c r="G7" s="17" t="inlineStr">
        <is>
          <t>NutriFit APK installed on Android Emulator/Device (API level 33+), Appium session running.</t>
        </is>
      </c>
      <c r="H7" s="17" t="inlineStr">
        <is>
          <t>1. Launch Appium driver session.
2. Open Onboarding view via native element selector.
3. Tap photo upload button, handle system permission dialog, capture photo.
4. Verify UI state.</t>
        </is>
      </c>
      <c r="I7" s="17" t="inlineStr">
        <is>
          <t>Device: Pixel 7 Pro (API 34), Package: com.nutrifit.app, Module: Onboarding</t>
        </is>
      </c>
      <c r="J7" s="17" t="inlineStr">
        <is>
          <t>Permission granted dialog works; captured image sets profile/meal avatar. for Onboarding screen on Android.</t>
        </is>
      </c>
      <c r="K7" s="17" t="inlineStr">
        <is>
          <t>Pending Execution</t>
        </is>
      </c>
      <c r="L7" s="16" t="inlineStr">
        <is>
          <t>High</t>
        </is>
      </c>
      <c r="M7" s="16" t="inlineStr">
        <is>
          <t>Major</t>
        </is>
      </c>
      <c r="N7" s="18" t="inlineStr">
        <is>
          <t>Not Executed</t>
        </is>
      </c>
      <c r="O7" s="17" t="inlineStr">
        <is>
          <t>evidence/app-and-006_screenshot.png</t>
        </is>
      </c>
      <c r="P7" s="17" t="inlineStr">
        <is>
          <t>Automated baseline generation</t>
        </is>
      </c>
    </row>
    <row r="8" ht="36" customHeight="1">
      <c r="A8" s="16" t="inlineStr">
        <is>
          <t>APP-AND-007</t>
        </is>
      </c>
      <c r="B8" s="16" t="inlineStr">
        <is>
          <t>Appium Android E2E Testing</t>
        </is>
      </c>
      <c r="C8" s="17" t="inlineStr">
        <is>
          <t>Dashboard</t>
        </is>
      </c>
      <c r="D8" s="17" t="inlineStr">
        <is>
          <t>Verify deep link url execution on Android device for Android Dashboard</t>
        </is>
      </c>
      <c r="E8" s="17" t="inlineStr">
        <is>
          <t>Android E2E - Dashboard - Verify deep link url execution on Android device (#7)</t>
        </is>
      </c>
      <c r="F8" s="17" t="inlineStr">
        <is>
          <t>Verify native Android application behavior for Dashboard using Appium automation.</t>
        </is>
      </c>
      <c r="G8" s="17" t="inlineStr">
        <is>
          <t>NutriFit APK installed on Android Emulator/Device (API level 33+), Appium session running.</t>
        </is>
      </c>
      <c r="H8" s="17" t="inlineStr">
        <is>
          <t>1. Launch Appium driver session.
2. Open Dashboard view via native element selector.
3. Execute adb command to launch deep link URI target into app.
4. Verify UI state.</t>
        </is>
      </c>
      <c r="I8" s="17" t="inlineStr">
        <is>
          <t>Device: Pixel 7 Pro (API 34), Package: com.nutrifit.app, Module: Dashboard</t>
        </is>
      </c>
      <c r="J8" s="17" t="inlineStr">
        <is>
          <t>App launches directly into target product details view. for Dashboard screen on Android.</t>
        </is>
      </c>
      <c r="K8" s="17" t="inlineStr">
        <is>
          <t>Pending Execution</t>
        </is>
      </c>
      <c r="L8" s="16" t="inlineStr">
        <is>
          <t>Medium</t>
        </is>
      </c>
      <c r="M8" s="16" t="inlineStr">
        <is>
          <t>Moderate</t>
        </is>
      </c>
      <c r="N8" s="18" t="inlineStr">
        <is>
          <t>Not Executed</t>
        </is>
      </c>
      <c r="O8" s="17" t="inlineStr">
        <is>
          <t>evidence/app-and-007_screenshot.png</t>
        </is>
      </c>
      <c r="P8" s="17" t="inlineStr">
        <is>
          <t>Automated baseline generation</t>
        </is>
      </c>
    </row>
    <row r="9" ht="36" customHeight="1">
      <c r="A9" s="16" t="inlineStr">
        <is>
          <t>APP-AND-008</t>
        </is>
      </c>
      <c r="B9" s="16" t="inlineStr">
        <is>
          <t>Appium Android E2E Testing</t>
        </is>
      </c>
      <c r="C9" s="17" t="inlineStr">
        <is>
          <t>Profile</t>
        </is>
      </c>
      <c r="D9" s="17" t="inlineStr">
        <is>
          <t>Verify app backgrounding and resume lifecycle state for Android Profile</t>
        </is>
      </c>
      <c r="E9" s="17" t="inlineStr">
        <is>
          <t>Android E2E - Profile - Verify app backgrounding and resume lifecycle state (#8)</t>
        </is>
      </c>
      <c r="F9" s="17" t="inlineStr">
        <is>
          <t>Verify native Android application behavior for Profile using Appium automation.</t>
        </is>
      </c>
      <c r="G9" s="17" t="inlineStr">
        <is>
          <t>NutriFit APK installed on Android Emulator/Device (API level 33+), Appium session running.</t>
        </is>
      </c>
      <c r="H9" s="17" t="inlineStr">
        <is>
          <t>1. Launch Appium driver session.
2. Open Profile view via native element selector.
3. Press Home button to send app to background for 30s, then re-open app.
4. Verify UI state.</t>
        </is>
      </c>
      <c r="I9" s="17" t="inlineStr">
        <is>
          <t>Device: Pixel 7 Pro (API 34), Package: com.nutrifit.app, Module: Profile</t>
        </is>
      </c>
      <c r="J9" s="17" t="inlineStr">
        <is>
          <t>App resumes state intact without memory leak or session logout. for Profile screen on Android.</t>
        </is>
      </c>
      <c r="K9" s="17" t="inlineStr">
        <is>
          <t>Pending Execution</t>
        </is>
      </c>
      <c r="L9" s="16" t="inlineStr">
        <is>
          <t>High</t>
        </is>
      </c>
      <c r="M9" s="16" t="inlineStr">
        <is>
          <t>Moderate</t>
        </is>
      </c>
      <c r="N9" s="18" t="inlineStr">
        <is>
          <t>Not Executed</t>
        </is>
      </c>
      <c r="O9" s="17" t="inlineStr">
        <is>
          <t>evidence/app-and-008_screenshot.png</t>
        </is>
      </c>
      <c r="P9" s="17" t="inlineStr">
        <is>
          <t>Automated baseline generation</t>
        </is>
      </c>
    </row>
    <row r="10" ht="36" customHeight="1">
      <c r="A10" s="16" t="inlineStr">
        <is>
          <t>APP-AND-009</t>
        </is>
      </c>
      <c r="B10" s="16" t="inlineStr">
        <is>
          <t>Appium Android E2E Testing</t>
        </is>
      </c>
      <c r="C10" s="17" t="inlineStr">
        <is>
          <t>Language Settings</t>
        </is>
      </c>
      <c r="D10" s="17" t="inlineStr">
        <is>
          <t>Verify dark theme integration with Android system settings for Android Language Settings</t>
        </is>
      </c>
      <c r="E10" s="17" t="inlineStr">
        <is>
          <t>Android E2E - Language Settings - Verify dark theme integration with Android system settings (#9)</t>
        </is>
      </c>
      <c r="F10" s="17" t="inlineStr">
        <is>
          <t>Verify native Android application behavior for Language Settings using Appium automation.</t>
        </is>
      </c>
      <c r="G10" s="17" t="inlineStr">
        <is>
          <t>NutriFit APK installed on Android Emulator/Device (API level 33+), Appium session running.</t>
        </is>
      </c>
      <c r="H10" s="17" t="inlineStr">
        <is>
          <t>1. Launch Appium driver session.
2. Open Language Settings view via native element selector.
3. Toggle system-wide Android Dark Theme switch from quick settings.
4. Verify UI state.</t>
        </is>
      </c>
      <c r="I10" s="17" t="inlineStr">
        <is>
          <t>Device: Pixel 7 Pro (API 34), Package: com.nutrifit.app, Module: Language Settings</t>
        </is>
      </c>
      <c r="J10" s="17" t="inlineStr">
        <is>
          <t>NutriFit automatically adapts to OS dark theme preference. for Language Settings screen on Android.</t>
        </is>
      </c>
      <c r="K10" s="17" t="inlineStr">
        <is>
          <t>Pending Execution</t>
        </is>
      </c>
      <c r="L10" s="16" t="inlineStr">
        <is>
          <t>Medium</t>
        </is>
      </c>
      <c r="M10" s="16" t="inlineStr">
        <is>
          <t>Major</t>
        </is>
      </c>
      <c r="N10" s="18" t="inlineStr">
        <is>
          <t>Not Executed</t>
        </is>
      </c>
      <c r="O10" s="17" t="inlineStr">
        <is>
          <t>evidence/app-and-009_screenshot.png</t>
        </is>
      </c>
      <c r="P10" s="17" t="inlineStr">
        <is>
          <t>Automated baseline generation</t>
        </is>
      </c>
    </row>
    <row r="11" ht="36" customHeight="1">
      <c r="A11" s="16" t="inlineStr">
        <is>
          <t>APP-AND-010</t>
        </is>
      </c>
      <c r="B11" s="16" t="inlineStr">
        <is>
          <t>Appium Android E2E Testing</t>
        </is>
      </c>
      <c r="C11" s="17" t="inlineStr">
        <is>
          <t>AI Trainer</t>
        </is>
      </c>
      <c r="D11" s="17" t="inlineStr">
        <is>
          <t>Verify offline cached state when switching Airplane mode for Android AI Trainer</t>
        </is>
      </c>
      <c r="E11" s="17" t="inlineStr">
        <is>
          <t>Android E2E - AI Trainer - Verify offline cached state when switching Airplane mode (#10)</t>
        </is>
      </c>
      <c r="F11" s="17" t="inlineStr">
        <is>
          <t>Verify native Android application behavior for AI Trainer using Appium automation.</t>
        </is>
      </c>
      <c r="G11" s="17" t="inlineStr">
        <is>
          <t>NutriFit APK installed on Android Emulator/Device (API level 33+), Appium session running.</t>
        </is>
      </c>
      <c r="H11" s="17" t="inlineStr">
        <is>
          <t>1. Launch Appium driver session.
2. Open AI Trainer view via native element selector.
3. Turn on Airplane Mode on device, navigate app screens.
4. Verify UI state.</t>
        </is>
      </c>
      <c r="I11" s="17" t="inlineStr">
        <is>
          <t>Device: Pixel 7 Pro (API 34), Package: com.nutrifit.app, Module: AI Trainer</t>
        </is>
      </c>
      <c r="J11" s="17" t="inlineStr">
        <is>
          <t>App displays offline warning banner while serving cached data gracefully. for AI Trainer screen on Android.</t>
        </is>
      </c>
      <c r="K11" s="17" t="inlineStr">
        <is>
          <t>Pending Execution</t>
        </is>
      </c>
      <c r="L11" s="16" t="inlineStr">
        <is>
          <t>High</t>
        </is>
      </c>
      <c r="M11" s="16" t="inlineStr">
        <is>
          <t>Moderate</t>
        </is>
      </c>
      <c r="N11" s="18" t="inlineStr">
        <is>
          <t>Not Executed</t>
        </is>
      </c>
      <c r="O11" s="17" t="inlineStr">
        <is>
          <t>evidence/app-and-010_screenshot.png</t>
        </is>
      </c>
      <c r="P11" s="17" t="inlineStr">
        <is>
          <t>Automated baseline generation</t>
        </is>
      </c>
    </row>
    <row r="12" ht="36" customHeight="1">
      <c r="A12" s="16" t="inlineStr">
        <is>
          <t>APP-AND-011</t>
        </is>
      </c>
      <c r="B12" s="16" t="inlineStr">
        <is>
          <t>Appium Android E2E Testing</t>
        </is>
      </c>
      <c r="C12" s="17" t="inlineStr">
        <is>
          <t>Workout Plan</t>
        </is>
      </c>
      <c r="D12" s="17" t="inlineStr">
        <is>
          <t>Verify native touch swipe and scroll gestures for Android Workout Plan</t>
        </is>
      </c>
      <c r="E12" s="17" t="inlineStr">
        <is>
          <t>Android E2E - Workout Plan - Verify native touch swipe and scroll gestures (#11)</t>
        </is>
      </c>
      <c r="F12" s="17" t="inlineStr">
        <is>
          <t>Verify native Android application behavior for Workout Plan using Appium automation.</t>
        </is>
      </c>
      <c r="G12" s="17" t="inlineStr">
        <is>
          <t>NutriFit APK installed on Android Emulator/Device (API level 33+), Appium session running.</t>
        </is>
      </c>
      <c r="H12" s="17" t="inlineStr">
        <is>
          <t>1. Launch Appium driver session.
2. Open Workout Plan view via native element selector.
3. Perform vertical swipe gesture on scrollable listview container.
4. Verify UI state.</t>
        </is>
      </c>
      <c r="I12" s="17" t="inlineStr">
        <is>
          <t>Device: Pixel 7 Pro (API 34), Package: com.nutrifit.app, Module: Workout Plan</t>
        </is>
      </c>
      <c r="J12" s="17" t="inlineStr">
        <is>
          <t>Container scrolls smoothly without frame drops or touch drag locking. for Workout Plan screen on Android.</t>
        </is>
      </c>
      <c r="K12" s="17" t="inlineStr">
        <is>
          <t>Pending Execution</t>
        </is>
      </c>
      <c r="L12" s="16" t="inlineStr">
        <is>
          <t>Medium</t>
        </is>
      </c>
      <c r="M12" s="16" t="inlineStr">
        <is>
          <t>Moderate</t>
        </is>
      </c>
      <c r="N12" s="18" t="inlineStr">
        <is>
          <t>Not Executed</t>
        </is>
      </c>
      <c r="O12" s="17" t="inlineStr">
        <is>
          <t>evidence/app-and-011_screenshot.png</t>
        </is>
      </c>
      <c r="P12" s="17" t="inlineStr">
        <is>
          <t>Automated baseline generation</t>
        </is>
      </c>
    </row>
    <row r="13" ht="36" customHeight="1">
      <c r="A13" s="16" t="inlineStr">
        <is>
          <t>APP-AND-012</t>
        </is>
      </c>
      <c r="B13" s="16" t="inlineStr">
        <is>
          <t>Appium Android E2E Testing</t>
        </is>
      </c>
      <c r="C13" s="17" t="inlineStr">
        <is>
          <t>Diet Plan</t>
        </is>
      </c>
      <c r="D13" s="17" t="inlineStr">
        <is>
          <t>Verify hardware back button behavior for Android Diet Plan</t>
        </is>
      </c>
      <c r="E13" s="17" t="inlineStr">
        <is>
          <t>Android E2E - Diet Plan - Verify hardware back button behavior (#12)</t>
        </is>
      </c>
      <c r="F13" s="17" t="inlineStr">
        <is>
          <t>Verify native Android application behavior for Diet Plan using Appium automation.</t>
        </is>
      </c>
      <c r="G13" s="17" t="inlineStr">
        <is>
          <t>NutriFit APK installed on Android Emulator/Device (API level 33+), Appium session running.</t>
        </is>
      </c>
      <c r="H13" s="17" t="inlineStr">
        <is>
          <t>1. Launch Appium driver session.
2. Open Diet Plan view via native element selector.
3. Navigate deep into feature stack, press hardware back button.
4. Verify UI state.</t>
        </is>
      </c>
      <c r="I13" s="17" t="inlineStr">
        <is>
          <t>Device: Pixel 7 Pro (API 34), Package: com.nutrifit.app, Module: Diet Plan</t>
        </is>
      </c>
      <c r="J13" s="17" t="inlineStr">
        <is>
          <t>App returns to previous screen cleanly without exiting app unexpectedly. for Diet Plan screen on Android.</t>
        </is>
      </c>
      <c r="K13" s="17" t="inlineStr">
        <is>
          <t>Pending Execution</t>
        </is>
      </c>
      <c r="L13" s="16" t="inlineStr">
        <is>
          <t>High</t>
        </is>
      </c>
      <c r="M13" s="16" t="inlineStr">
        <is>
          <t>Major</t>
        </is>
      </c>
      <c r="N13" s="18" t="inlineStr">
        <is>
          <t>Not Executed</t>
        </is>
      </c>
      <c r="O13" s="17" t="inlineStr">
        <is>
          <t>evidence/app-and-012_screenshot.png</t>
        </is>
      </c>
      <c r="P13" s="17" t="inlineStr">
        <is>
          <t>Automated baseline generation</t>
        </is>
      </c>
    </row>
    <row r="14" ht="36" customHeight="1">
      <c r="A14" s="16" t="inlineStr">
        <is>
          <t>APP-AND-013</t>
        </is>
      </c>
      <c r="B14" s="16" t="inlineStr">
        <is>
          <t>Appium Android E2E Testing</t>
        </is>
      </c>
      <c r="C14" s="17" t="inlineStr">
        <is>
          <t>Budget Diet Plan</t>
        </is>
      </c>
      <c r="D14" s="17" t="inlineStr">
        <is>
          <t>Verify device orientation toggle (Portrait to Landscape) for Android Budget Diet Plan</t>
        </is>
      </c>
      <c r="E14" s="17" t="inlineStr">
        <is>
          <t>Android E2E - Budget Diet Plan - Verify device orientation toggle (Portrait to Landscape) (#13)</t>
        </is>
      </c>
      <c r="F14" s="17" t="inlineStr">
        <is>
          <t>Verify native Android application behavior for Budget Diet Plan using Appium automation.</t>
        </is>
      </c>
      <c r="G14" s="17" t="inlineStr">
        <is>
          <t>NutriFit APK installed on Android Emulator/Device (API level 33+), Appium session running.</t>
        </is>
      </c>
      <c r="H14" s="17" t="inlineStr">
        <is>
          <t>1. Launch Appium driver session.
2. Open Budget Diet Plan view via native element selector.
3. Trigger device rotation to landscape, verify view adaptation.
4. Verify UI state.</t>
        </is>
      </c>
      <c r="I14" s="17" t="inlineStr">
        <is>
          <t>Device: Pixel 7 Pro (API 34), Package: com.nutrifit.app, Module: Budget Diet Plan</t>
        </is>
      </c>
      <c r="J14" s="17" t="inlineStr">
        <is>
          <t>UI resizes responsively in landscape without clipping key buttons. for Budget Diet Plan screen on Android.</t>
        </is>
      </c>
      <c r="K14" s="17" t="inlineStr">
        <is>
          <t>Pending Execution</t>
        </is>
      </c>
      <c r="L14" s="16" t="inlineStr">
        <is>
          <t>Medium</t>
        </is>
      </c>
      <c r="M14" s="16" t="inlineStr">
        <is>
          <t>Moderate</t>
        </is>
      </c>
      <c r="N14" s="18" t="inlineStr">
        <is>
          <t>Not Executed</t>
        </is>
      </c>
      <c r="O14" s="17" t="inlineStr">
        <is>
          <t>evidence/app-and-013_screenshot.png</t>
        </is>
      </c>
      <c r="P14" s="17" t="inlineStr">
        <is>
          <t>Automated baseline generation</t>
        </is>
      </c>
    </row>
    <row r="15" ht="36" customHeight="1">
      <c r="A15" s="16" t="inlineStr">
        <is>
          <t>APP-AND-014</t>
        </is>
      </c>
      <c r="B15" s="16" t="inlineStr">
        <is>
          <t>Appium Android E2E Testing</t>
        </is>
      </c>
      <c r="C15" s="17" t="inlineStr">
        <is>
          <t>Stretching and Warm-up</t>
        </is>
      </c>
      <c r="D15" s="17" t="inlineStr">
        <is>
          <t>Verify system notification banner pop-up and tap action for Android Stretching and Warm-up</t>
        </is>
      </c>
      <c r="E15" s="17" t="inlineStr">
        <is>
          <t>Android E2E - Stretching and Warm-up - Verify system notification banner pop-up and tap action (#14)</t>
        </is>
      </c>
      <c r="F15" s="17" t="inlineStr">
        <is>
          <t>Verify native Android application behavior for Stretching and Warm-up using Appium automation.</t>
        </is>
      </c>
      <c r="G15" s="17" t="inlineStr">
        <is>
          <t>NutriFit APK installed on Android Emulator/Device (API level 33+), Appium session running.</t>
        </is>
      </c>
      <c r="H15" s="17" t="inlineStr">
        <is>
          <t>1. Launch Appium driver session.
2. Open Stretching and Warm-up view via native element selector.
3. Trigger local push alert, pull down Android notification shade, tap notification.
4. Verify UI state.</t>
        </is>
      </c>
      <c r="I15" s="17" t="inlineStr">
        <is>
          <t>Device: Pixel 7 Pro (API 34), Package: com.nutrifit.app, Module: Stretching and Warm-up</t>
        </is>
      </c>
      <c r="J15" s="17" t="inlineStr">
        <is>
          <t>App opens target screen specified in notification payload. for Stretching and Warm-up screen on Android.</t>
        </is>
      </c>
      <c r="K15" s="17" t="inlineStr">
        <is>
          <t>Pending Execution</t>
        </is>
      </c>
      <c r="L15" s="16" t="inlineStr">
        <is>
          <t>High</t>
        </is>
      </c>
      <c r="M15" s="16" t="inlineStr">
        <is>
          <t>Moderate</t>
        </is>
      </c>
      <c r="N15" s="18" t="inlineStr">
        <is>
          <t>Not Executed</t>
        </is>
      </c>
      <c r="O15" s="17" t="inlineStr">
        <is>
          <t>evidence/app-and-014_screenshot.png</t>
        </is>
      </c>
      <c r="P15" s="17" t="inlineStr">
        <is>
          <t>Automated baseline generation</t>
        </is>
      </c>
    </row>
    <row r="16" ht="36" customHeight="1">
      <c r="A16" s="16" t="inlineStr">
        <is>
          <t>APP-AND-015</t>
        </is>
      </c>
      <c r="B16" s="16" t="inlineStr">
        <is>
          <t>Appium Android E2E Testing</t>
        </is>
      </c>
      <c r="C16" s="17" t="inlineStr">
        <is>
          <t>Water Tracker</t>
        </is>
      </c>
      <c r="D16" s="17" t="inlineStr">
        <is>
          <t>Verify biometric authentication prompt (Fingerprint/Face) for Android Water Tracker</t>
        </is>
      </c>
      <c r="E16" s="17" t="inlineStr">
        <is>
          <t>Android E2E - Water Tracker - Verify biometric authentication prompt (Fingerprint/Face) (#15)</t>
        </is>
      </c>
      <c r="F16" s="17" t="inlineStr">
        <is>
          <t>Verify native Android application behavior for Water Tracker using Appium automation.</t>
        </is>
      </c>
      <c r="G16" s="17" t="inlineStr">
        <is>
          <t>NutriFit APK installed on Android Emulator/Device (API level 33+), Appium session running.</t>
        </is>
      </c>
      <c r="H16" s="17" t="inlineStr">
        <is>
          <t>1. Launch Appium driver session.
2. Open Water Tracker view via native element selector.
3. Trigger sensitive action requiring biometric authentication.
4. Verify UI state.</t>
        </is>
      </c>
      <c r="I16" s="17" t="inlineStr">
        <is>
          <t>Device: Pixel 7 Pro (API 34), Package: com.nutrifit.app, Module: Water Tracker</t>
        </is>
      </c>
      <c r="J16" s="17" t="inlineStr">
        <is>
          <t>Native Android BiometricPrompt appears; success unlocks target view. for Water Tracker screen on Android.</t>
        </is>
      </c>
      <c r="K16" s="17" t="inlineStr">
        <is>
          <t>Pending Execution</t>
        </is>
      </c>
      <c r="L16" s="16" t="inlineStr">
        <is>
          <t>Medium</t>
        </is>
      </c>
      <c r="M16" s="16" t="inlineStr">
        <is>
          <t>Major</t>
        </is>
      </c>
      <c r="N16" s="18" t="inlineStr">
        <is>
          <t>Not Executed</t>
        </is>
      </c>
      <c r="O16" s="17" t="inlineStr">
        <is>
          <t>evidence/app-and-015_screenshot.png</t>
        </is>
      </c>
      <c r="P16" s="17" t="inlineStr">
        <is>
          <t>Automated baseline generation</t>
        </is>
      </c>
    </row>
    <row r="17" ht="36" customHeight="1">
      <c r="A17" s="16" t="inlineStr">
        <is>
          <t>APP-AND-016</t>
        </is>
      </c>
      <c r="B17" s="16" t="inlineStr">
        <is>
          <t>Appium Android E2E Testing</t>
        </is>
      </c>
      <c r="C17" s="17" t="inlineStr">
        <is>
          <t>Sleep Tracker</t>
        </is>
      </c>
      <c r="D17" s="17" t="inlineStr">
        <is>
          <t>Verify camera permission request dialog and image capture for Android Sleep Tracker</t>
        </is>
      </c>
      <c r="E17" s="17" t="inlineStr">
        <is>
          <t>Android E2E - Sleep Tracker - Verify camera permission request dialog and image capture (#16)</t>
        </is>
      </c>
      <c r="F17" s="17" t="inlineStr">
        <is>
          <t>Verify native Android application behavior for Sleep Tracker using Appium automation.</t>
        </is>
      </c>
      <c r="G17" s="17" t="inlineStr">
        <is>
          <t>NutriFit APK installed on Android Emulator/Device (API level 33+), Appium session running.</t>
        </is>
      </c>
      <c r="H17" s="17" t="inlineStr">
        <is>
          <t>1. Launch Appium driver session.
2. Open Sleep Tracker view via native element selector.
3. Tap photo upload button, handle system permission dialog, capture photo.
4. Verify UI state.</t>
        </is>
      </c>
      <c r="I17" s="17" t="inlineStr">
        <is>
          <t>Device: Pixel 7 Pro (API 34), Package: com.nutrifit.app, Module: Sleep Tracker</t>
        </is>
      </c>
      <c r="J17" s="17" t="inlineStr">
        <is>
          <t>Permission granted dialog works; captured image sets profile/meal avatar. for Sleep Tracker screen on Android.</t>
        </is>
      </c>
      <c r="K17" s="17" t="inlineStr">
        <is>
          <t>Pending Execution</t>
        </is>
      </c>
      <c r="L17" s="16" t="inlineStr">
        <is>
          <t>High</t>
        </is>
      </c>
      <c r="M17" s="16" t="inlineStr">
        <is>
          <t>Moderate</t>
        </is>
      </c>
      <c r="N17" s="18" t="inlineStr">
        <is>
          <t>Not Executed</t>
        </is>
      </c>
      <c r="O17" s="17" t="inlineStr">
        <is>
          <t>evidence/app-and-016_screenshot.png</t>
        </is>
      </c>
      <c r="P17" s="17" t="inlineStr">
        <is>
          <t>Automated baseline generation</t>
        </is>
      </c>
    </row>
    <row r="18" ht="36" customHeight="1">
      <c r="A18" s="16" t="inlineStr">
        <is>
          <t>APP-AND-017</t>
        </is>
      </c>
      <c r="B18" s="16" t="inlineStr">
        <is>
          <t>Appium Android E2E Testing</t>
        </is>
      </c>
      <c r="C18" s="17" t="inlineStr">
        <is>
          <t>Step Tracker</t>
        </is>
      </c>
      <c r="D18" s="17" t="inlineStr">
        <is>
          <t>Verify deep link url execution on Android device for Android Step Tracker</t>
        </is>
      </c>
      <c r="E18" s="17" t="inlineStr">
        <is>
          <t>Android E2E - Step Tracker - Verify deep link url execution on Android device (#17)</t>
        </is>
      </c>
      <c r="F18" s="17" t="inlineStr">
        <is>
          <t>Verify native Android application behavior for Step Tracker using Appium automation.</t>
        </is>
      </c>
      <c r="G18" s="17" t="inlineStr">
        <is>
          <t>NutriFit APK installed on Android Emulator/Device (API level 33+), Appium session running.</t>
        </is>
      </c>
      <c r="H18" s="17" t="inlineStr">
        <is>
          <t>1. Launch Appium driver session.
2. Open Step Tracker view via native element selector.
3. Execute adb command to launch deep link URI target into app.
4. Verify UI state.</t>
        </is>
      </c>
      <c r="I18" s="17" t="inlineStr">
        <is>
          <t>Device: Pixel 7 Pro (API 34), Package: com.nutrifit.app, Module: Step Tracker</t>
        </is>
      </c>
      <c r="J18" s="17" t="inlineStr">
        <is>
          <t>App launches directly into target product details view. for Step Tracker screen on Android.</t>
        </is>
      </c>
      <c r="K18" s="17" t="inlineStr">
        <is>
          <t>Pending Execution</t>
        </is>
      </c>
      <c r="L18" s="16" t="inlineStr">
        <is>
          <t>Medium</t>
        </is>
      </c>
      <c r="M18" s="16" t="inlineStr">
        <is>
          <t>Moderate</t>
        </is>
      </c>
      <c r="N18" s="18" t="inlineStr">
        <is>
          <t>Not Executed</t>
        </is>
      </c>
      <c r="O18" s="17" t="inlineStr">
        <is>
          <t>evidence/app-and-017_screenshot.png</t>
        </is>
      </c>
      <c r="P18" s="17" t="inlineStr">
        <is>
          <t>Automated baseline generation</t>
        </is>
      </c>
    </row>
    <row r="19" ht="36" customHeight="1">
      <c r="A19" s="16" t="inlineStr">
        <is>
          <t>APP-AND-018</t>
        </is>
      </c>
      <c r="B19" s="16" t="inlineStr">
        <is>
          <t>Appium Android E2E Testing</t>
        </is>
      </c>
      <c r="C19" s="17" t="inlineStr">
        <is>
          <t>Calorie Calculator</t>
        </is>
      </c>
      <c r="D19" s="17" t="inlineStr">
        <is>
          <t>Verify app backgrounding and resume lifecycle state for Android Calorie Calculator</t>
        </is>
      </c>
      <c r="E19" s="17" t="inlineStr">
        <is>
          <t>Android E2E - Calorie Calculator - Verify app backgrounding and resume lifecycle state (#18)</t>
        </is>
      </c>
      <c r="F19" s="17" t="inlineStr">
        <is>
          <t>Verify native Android application behavior for Calorie Calculator using Appium automation.</t>
        </is>
      </c>
      <c r="G19" s="17" t="inlineStr">
        <is>
          <t>NutriFit APK installed on Android Emulator/Device (API level 33+), Appium session running.</t>
        </is>
      </c>
      <c r="H19" s="17" t="inlineStr">
        <is>
          <t>1. Launch Appium driver session.
2. Open Calorie Calculator view via native element selector.
3. Press Home button to send app to background for 30s, then re-open app.
4. Verify UI state.</t>
        </is>
      </c>
      <c r="I19" s="17" t="inlineStr">
        <is>
          <t>Device: Pixel 7 Pro (API 34), Package: com.nutrifit.app, Module: Calorie Calculator</t>
        </is>
      </c>
      <c r="J19" s="17" t="inlineStr">
        <is>
          <t>App resumes state intact without memory leak or session logout. for Calorie Calculator screen on Android.</t>
        </is>
      </c>
      <c r="K19" s="17" t="inlineStr">
        <is>
          <t>Pending Execution</t>
        </is>
      </c>
      <c r="L19" s="16" t="inlineStr">
        <is>
          <t>High</t>
        </is>
      </c>
      <c r="M19" s="16" t="inlineStr">
        <is>
          <t>Major</t>
        </is>
      </c>
      <c r="N19" s="18" t="inlineStr">
        <is>
          <t>Not Executed</t>
        </is>
      </c>
      <c r="O19" s="17" t="inlineStr">
        <is>
          <t>evidence/app-and-018_screenshot.png</t>
        </is>
      </c>
      <c r="P19" s="17" t="inlineStr">
        <is>
          <t>Automated baseline generation</t>
        </is>
      </c>
    </row>
    <row r="20" ht="36" customHeight="1">
      <c r="A20" s="16" t="inlineStr">
        <is>
          <t>APP-AND-019</t>
        </is>
      </c>
      <c r="B20" s="16" t="inlineStr">
        <is>
          <t>Appium Android E2E Testing</t>
        </is>
      </c>
      <c r="C20" s="17" t="inlineStr">
        <is>
          <t>Meal Reminder</t>
        </is>
      </c>
      <c r="D20" s="17" t="inlineStr">
        <is>
          <t>Verify dark theme integration with Android system settings for Android Meal Reminder</t>
        </is>
      </c>
      <c r="E20" s="17" t="inlineStr">
        <is>
          <t>Android E2E - Meal Reminder - Verify dark theme integration with Android system settings (#19)</t>
        </is>
      </c>
      <c r="F20" s="17" t="inlineStr">
        <is>
          <t>Verify native Android application behavior for Meal Reminder using Appium automation.</t>
        </is>
      </c>
      <c r="G20" s="17" t="inlineStr">
        <is>
          <t>NutriFit APK installed on Android Emulator/Device (API level 33+), Appium session running.</t>
        </is>
      </c>
      <c r="H20" s="17" t="inlineStr">
        <is>
          <t>1. Launch Appium driver session.
2. Open Meal Reminder view via native element selector.
3. Toggle system-wide Android Dark Theme switch from quick settings.
4. Verify UI state.</t>
        </is>
      </c>
      <c r="I20" s="17" t="inlineStr">
        <is>
          <t>Device: Pixel 7 Pro (API 34), Package: com.nutrifit.app, Module: Meal Reminder</t>
        </is>
      </c>
      <c r="J20" s="17" t="inlineStr">
        <is>
          <t>NutriFit automatically adapts to OS dark theme preference. for Meal Reminder screen on Android.</t>
        </is>
      </c>
      <c r="K20" s="17" t="inlineStr">
        <is>
          <t>Pending Execution</t>
        </is>
      </c>
      <c r="L20" s="16" t="inlineStr">
        <is>
          <t>Medium</t>
        </is>
      </c>
      <c r="M20" s="16" t="inlineStr">
        <is>
          <t>Moderate</t>
        </is>
      </c>
      <c r="N20" s="18" t="inlineStr">
        <is>
          <t>Not Executed</t>
        </is>
      </c>
      <c r="O20" s="17" t="inlineStr">
        <is>
          <t>evidence/app-and-019_screenshot.png</t>
        </is>
      </c>
      <c r="P20" s="17" t="inlineStr">
        <is>
          <t>Automated baseline generation</t>
        </is>
      </c>
    </row>
    <row r="21" ht="36" customHeight="1">
      <c r="A21" s="16" t="inlineStr">
        <is>
          <t>APP-AND-020</t>
        </is>
      </c>
      <c r="B21" s="16" t="inlineStr">
        <is>
          <t>Appium Android E2E Testing</t>
        </is>
      </c>
      <c r="C21" s="17" t="inlineStr">
        <is>
          <t>Notifications</t>
        </is>
      </c>
      <c r="D21" s="17" t="inlineStr">
        <is>
          <t>Verify offline cached state when switching Airplane mode for Android Notifications</t>
        </is>
      </c>
      <c r="E21" s="17" t="inlineStr">
        <is>
          <t>Android E2E - Notifications - Verify offline cached state when switching Airplane mode (#20)</t>
        </is>
      </c>
      <c r="F21" s="17" t="inlineStr">
        <is>
          <t>Verify native Android application behavior for Notifications using Appium automation.</t>
        </is>
      </c>
      <c r="G21" s="17" t="inlineStr">
        <is>
          <t>NutriFit APK installed on Android Emulator/Device (API level 33+), Appium session running.</t>
        </is>
      </c>
      <c r="H21" s="17" t="inlineStr">
        <is>
          <t>1. Launch Appium driver session.
2. Open Notifications view via native element selector.
3. Turn on Airplane Mode on device, navigate app screens.
4. Verify UI state.</t>
        </is>
      </c>
      <c r="I21" s="17" t="inlineStr">
        <is>
          <t>Device: Pixel 7 Pro (API 34), Package: com.nutrifit.app, Module: Notifications</t>
        </is>
      </c>
      <c r="J21" s="17" t="inlineStr">
        <is>
          <t>App displays offline warning banner while serving cached data gracefully. for Notifications screen on Android.</t>
        </is>
      </c>
      <c r="K21" s="17" t="inlineStr">
        <is>
          <t>Pending Execution</t>
        </is>
      </c>
      <c r="L21" s="16" t="inlineStr">
        <is>
          <t>High</t>
        </is>
      </c>
      <c r="M21" s="16" t="inlineStr">
        <is>
          <t>Moderate</t>
        </is>
      </c>
      <c r="N21" s="18" t="inlineStr">
        <is>
          <t>Not Executed</t>
        </is>
      </c>
      <c r="O21" s="17" t="inlineStr">
        <is>
          <t>evidence/app-and-020_screenshot.png</t>
        </is>
      </c>
      <c r="P21" s="17" t="inlineStr">
        <is>
          <t>Automated baseline generation</t>
        </is>
      </c>
    </row>
    <row r="22" ht="36" customHeight="1">
      <c r="A22" s="16" t="inlineStr">
        <is>
          <t>APP-AND-021</t>
        </is>
      </c>
      <c r="B22" s="16" t="inlineStr">
        <is>
          <t>Appium Android E2E Testing</t>
        </is>
      </c>
      <c r="C22" s="17" t="inlineStr">
        <is>
          <t>Shop</t>
        </is>
      </c>
      <c r="D22" s="17" t="inlineStr">
        <is>
          <t>Verify native touch swipe and scroll gestures for Android Shop</t>
        </is>
      </c>
      <c r="E22" s="17" t="inlineStr">
        <is>
          <t>Android E2E - Shop - Verify native touch swipe and scroll gestures (#21)</t>
        </is>
      </c>
      <c r="F22" s="17" t="inlineStr">
        <is>
          <t>Verify native Android application behavior for Shop using Appium automation.</t>
        </is>
      </c>
      <c r="G22" s="17" t="inlineStr">
        <is>
          <t>NutriFit APK installed on Android Emulator/Device (API level 33+), Appium session running.</t>
        </is>
      </c>
      <c r="H22" s="17" t="inlineStr">
        <is>
          <t>1. Launch Appium driver session.
2. Open Shop view via native element selector.
3. Perform vertical swipe gesture on scrollable listview container.
4. Verify UI state.</t>
        </is>
      </c>
      <c r="I22" s="17" t="inlineStr">
        <is>
          <t>Device: Pixel 7 Pro (API 34), Package: com.nutrifit.app, Module: Shop</t>
        </is>
      </c>
      <c r="J22" s="17" t="inlineStr">
        <is>
          <t>Container scrolls smoothly without frame drops or touch drag locking. for Shop screen on Android.</t>
        </is>
      </c>
      <c r="K22" s="17" t="inlineStr">
        <is>
          <t>Pending Execution</t>
        </is>
      </c>
      <c r="L22" s="16" t="inlineStr">
        <is>
          <t>Medium</t>
        </is>
      </c>
      <c r="M22" s="16" t="inlineStr">
        <is>
          <t>Major</t>
        </is>
      </c>
      <c r="N22" s="18" t="inlineStr">
        <is>
          <t>Not Executed</t>
        </is>
      </c>
      <c r="O22" s="17" t="inlineStr">
        <is>
          <t>evidence/app-and-021_screenshot.png</t>
        </is>
      </c>
      <c r="P22" s="17" t="inlineStr">
        <is>
          <t>Automated baseline generation</t>
        </is>
      </c>
    </row>
    <row r="23" ht="36" customHeight="1">
      <c r="A23" s="16" t="inlineStr">
        <is>
          <t>APP-AND-022</t>
        </is>
      </c>
      <c r="B23" s="16" t="inlineStr">
        <is>
          <t>Appium Android E2E Testing</t>
        </is>
      </c>
      <c r="C23" s="17" t="inlineStr">
        <is>
          <t>Product Search and Filters</t>
        </is>
      </c>
      <c r="D23" s="17" t="inlineStr">
        <is>
          <t>Verify hardware back button behavior for Android Product Search and Filters</t>
        </is>
      </c>
      <c r="E23" s="17" t="inlineStr">
        <is>
          <t>Android E2E - Product Search and Filters - Verify hardware back button behavior (#22)</t>
        </is>
      </c>
      <c r="F23" s="17" t="inlineStr">
        <is>
          <t>Verify native Android application behavior for Product Search and Filters using Appium automation.</t>
        </is>
      </c>
      <c r="G23" s="17" t="inlineStr">
        <is>
          <t>NutriFit APK installed on Android Emulator/Device (API level 33+), Appium session running.</t>
        </is>
      </c>
      <c r="H23" s="17" t="inlineStr">
        <is>
          <t>1. Launch Appium driver session.
2. Open Product Search and Filters view via native element selector.
3. Navigate deep into feature stack, press hardware back button.
4. Verify UI state.</t>
        </is>
      </c>
      <c r="I23" s="17" t="inlineStr">
        <is>
          <t>Device: Pixel 7 Pro (API 34), Package: com.nutrifit.app, Module: Product Search and Filters</t>
        </is>
      </c>
      <c r="J23" s="17" t="inlineStr">
        <is>
          <t>App returns to previous screen cleanly without exiting app unexpectedly. for Product Search and Filters screen on Android.</t>
        </is>
      </c>
      <c r="K23" s="17" t="inlineStr">
        <is>
          <t>Pending Execution</t>
        </is>
      </c>
      <c r="L23" s="16" t="inlineStr">
        <is>
          <t>High</t>
        </is>
      </c>
      <c r="M23" s="16" t="inlineStr">
        <is>
          <t>Moderate</t>
        </is>
      </c>
      <c r="N23" s="18" t="inlineStr">
        <is>
          <t>Not Executed</t>
        </is>
      </c>
      <c r="O23" s="17" t="inlineStr">
        <is>
          <t>evidence/app-and-022_screenshot.png</t>
        </is>
      </c>
      <c r="P23" s="17" t="inlineStr">
        <is>
          <t>Automated baseline generation</t>
        </is>
      </c>
    </row>
    <row r="24" ht="36" customHeight="1">
      <c r="A24" s="16" t="inlineStr">
        <is>
          <t>APP-AND-023</t>
        </is>
      </c>
      <c r="B24" s="16" t="inlineStr">
        <is>
          <t>Appium Android E2E Testing</t>
        </is>
      </c>
      <c r="C24" s="17" t="inlineStr">
        <is>
          <t>Product Details</t>
        </is>
      </c>
      <c r="D24" s="17" t="inlineStr">
        <is>
          <t>Verify device orientation toggle (Portrait to Landscape) for Android Product Details</t>
        </is>
      </c>
      <c r="E24" s="17" t="inlineStr">
        <is>
          <t>Android E2E - Product Details - Verify device orientation toggle (Portrait to Landscape) (#23)</t>
        </is>
      </c>
      <c r="F24" s="17" t="inlineStr">
        <is>
          <t>Verify native Android application behavior for Product Details using Appium automation.</t>
        </is>
      </c>
      <c r="G24" s="17" t="inlineStr">
        <is>
          <t>NutriFit APK installed on Android Emulator/Device (API level 33+), Appium session running.</t>
        </is>
      </c>
      <c r="H24" s="17" t="inlineStr">
        <is>
          <t>1. Launch Appium driver session.
2. Open Product Details view via native element selector.
3. Trigger device rotation to landscape, verify view adaptation.
4. Verify UI state.</t>
        </is>
      </c>
      <c r="I24" s="17" t="inlineStr">
        <is>
          <t>Device: Pixel 7 Pro (API 34), Package: com.nutrifit.app, Module: Product Details</t>
        </is>
      </c>
      <c r="J24" s="17" t="inlineStr">
        <is>
          <t>UI resizes responsively in landscape without clipping key buttons. for Product Details screen on Android.</t>
        </is>
      </c>
      <c r="K24" s="17" t="inlineStr">
        <is>
          <t>Pending Execution</t>
        </is>
      </c>
      <c r="L24" s="16" t="inlineStr">
        <is>
          <t>Medium</t>
        </is>
      </c>
      <c r="M24" s="16" t="inlineStr">
        <is>
          <t>Moderate</t>
        </is>
      </c>
      <c r="N24" s="18" t="inlineStr">
        <is>
          <t>Not Executed</t>
        </is>
      </c>
      <c r="O24" s="17" t="inlineStr">
        <is>
          <t>evidence/app-and-023_screenshot.png</t>
        </is>
      </c>
      <c r="P24" s="17" t="inlineStr">
        <is>
          <t>Automated baseline generation</t>
        </is>
      </c>
    </row>
    <row r="25" ht="36" customHeight="1">
      <c r="A25" s="16" t="inlineStr">
        <is>
          <t>APP-AND-024</t>
        </is>
      </c>
      <c r="B25" s="16" t="inlineStr">
        <is>
          <t>Appium Android E2E Testing</t>
        </is>
      </c>
      <c r="C25" s="17" t="inlineStr">
        <is>
          <t>Wishlist</t>
        </is>
      </c>
      <c r="D25" s="17" t="inlineStr">
        <is>
          <t>Verify system notification banner pop-up and tap action for Android Wishlist</t>
        </is>
      </c>
      <c r="E25" s="17" t="inlineStr">
        <is>
          <t>Android E2E - Wishlist - Verify system notification banner pop-up and tap action (#24)</t>
        </is>
      </c>
      <c r="F25" s="17" t="inlineStr">
        <is>
          <t>Verify native Android application behavior for Wishlist using Appium automation.</t>
        </is>
      </c>
      <c r="G25" s="17" t="inlineStr">
        <is>
          <t>NutriFit APK installed on Android Emulator/Device (API level 33+), Appium session running.</t>
        </is>
      </c>
      <c r="H25" s="17" t="inlineStr">
        <is>
          <t>1. Launch Appium driver session.
2. Open Wishlist view via native element selector.
3. Trigger local push alert, pull down Android notification shade, tap notification.
4. Verify UI state.</t>
        </is>
      </c>
      <c r="I25" s="17" t="inlineStr">
        <is>
          <t>Device: Pixel 7 Pro (API 34), Package: com.nutrifit.app, Module: Wishlist</t>
        </is>
      </c>
      <c r="J25" s="17" t="inlineStr">
        <is>
          <t>App opens target screen specified in notification payload. for Wishlist screen on Android.</t>
        </is>
      </c>
      <c r="K25" s="17" t="inlineStr">
        <is>
          <t>Pending Execution</t>
        </is>
      </c>
      <c r="L25" s="16" t="inlineStr">
        <is>
          <t>High</t>
        </is>
      </c>
      <c r="M25" s="16" t="inlineStr">
        <is>
          <t>Major</t>
        </is>
      </c>
      <c r="N25" s="18" t="inlineStr">
        <is>
          <t>Not Executed</t>
        </is>
      </c>
      <c r="O25" s="17" t="inlineStr">
        <is>
          <t>evidence/app-and-024_screenshot.png</t>
        </is>
      </c>
      <c r="P25" s="17" t="inlineStr">
        <is>
          <t>Automated baseline generation</t>
        </is>
      </c>
    </row>
    <row r="26" ht="36" customHeight="1">
      <c r="A26" s="16" t="inlineStr">
        <is>
          <t>APP-AND-025</t>
        </is>
      </c>
      <c r="B26" s="16" t="inlineStr">
        <is>
          <t>Appium Android E2E Testing</t>
        </is>
      </c>
      <c r="C26" s="17" t="inlineStr">
        <is>
          <t>Cart</t>
        </is>
      </c>
      <c r="D26" s="17" t="inlineStr">
        <is>
          <t>Verify biometric authentication prompt (Fingerprint/Face) for Android Cart</t>
        </is>
      </c>
      <c r="E26" s="17" t="inlineStr">
        <is>
          <t>Android E2E - Cart - Verify biometric authentication prompt (Fingerprint/Face) (#25)</t>
        </is>
      </c>
      <c r="F26" s="17" t="inlineStr">
        <is>
          <t>Verify native Android application behavior for Cart using Appium automation.</t>
        </is>
      </c>
      <c r="G26" s="17" t="inlineStr">
        <is>
          <t>NutriFit APK installed on Android Emulator/Device (API level 33+), Appium session running.</t>
        </is>
      </c>
      <c r="H26" s="17" t="inlineStr">
        <is>
          <t>1. Launch Appium driver session.
2. Open Cart view via native element selector.
3. Trigger sensitive action requiring biometric authentication.
4. Verify UI state.</t>
        </is>
      </c>
      <c r="I26" s="17" t="inlineStr">
        <is>
          <t>Device: Pixel 7 Pro (API 34), Package: com.nutrifit.app, Module: Cart</t>
        </is>
      </c>
      <c r="J26" s="17" t="inlineStr">
        <is>
          <t>Native Android BiometricPrompt appears; success unlocks target view. for Cart screen on Android.</t>
        </is>
      </c>
      <c r="K26" s="17" t="inlineStr">
        <is>
          <t>Pending Execution</t>
        </is>
      </c>
      <c r="L26" s="16" t="inlineStr">
        <is>
          <t>Medium</t>
        </is>
      </c>
      <c r="M26" s="16" t="inlineStr">
        <is>
          <t>Moderate</t>
        </is>
      </c>
      <c r="N26" s="18" t="inlineStr">
        <is>
          <t>Not Executed</t>
        </is>
      </c>
      <c r="O26" s="17" t="inlineStr">
        <is>
          <t>evidence/app-and-025_screenshot.png</t>
        </is>
      </c>
      <c r="P26" s="17" t="inlineStr">
        <is>
          <t>Automated baseline generation</t>
        </is>
      </c>
    </row>
    <row r="27" ht="36" customHeight="1">
      <c r="A27" s="16" t="inlineStr">
        <is>
          <t>APP-AND-026</t>
        </is>
      </c>
      <c r="B27" s="16" t="inlineStr">
        <is>
          <t>Appium Android E2E Testing</t>
        </is>
      </c>
      <c r="C27" s="17" t="inlineStr">
        <is>
          <t>Checkout</t>
        </is>
      </c>
      <c r="D27" s="17" t="inlineStr">
        <is>
          <t>Verify camera permission request dialog and image capture for Android Checkout</t>
        </is>
      </c>
      <c r="E27" s="17" t="inlineStr">
        <is>
          <t>Android E2E - Checkout - Verify camera permission request dialog and image capture (#26)</t>
        </is>
      </c>
      <c r="F27" s="17" t="inlineStr">
        <is>
          <t>Verify native Android application behavior for Checkout using Appium automation.</t>
        </is>
      </c>
      <c r="G27" s="17" t="inlineStr">
        <is>
          <t>NutriFit APK installed on Android Emulator/Device (API level 33+), Appium session running.</t>
        </is>
      </c>
      <c r="H27" s="17" t="inlineStr">
        <is>
          <t>1. Launch Appium driver session.
2. Open Checkout view via native element selector.
3. Tap photo upload button, handle system permission dialog, capture photo.
4. Verify UI state.</t>
        </is>
      </c>
      <c r="I27" s="17" t="inlineStr">
        <is>
          <t>Device: Pixel 7 Pro (API 34), Package: com.nutrifit.app, Module: Checkout</t>
        </is>
      </c>
      <c r="J27" s="17" t="inlineStr">
        <is>
          <t>Permission granted dialog works; captured image sets profile/meal avatar. for Checkout screen on Android.</t>
        </is>
      </c>
      <c r="K27" s="17" t="inlineStr">
        <is>
          <t>Pending Execution</t>
        </is>
      </c>
      <c r="L27" s="16" t="inlineStr">
        <is>
          <t>High</t>
        </is>
      </c>
      <c r="M27" s="16" t="inlineStr">
        <is>
          <t>Moderate</t>
        </is>
      </c>
      <c r="N27" s="18" t="inlineStr">
        <is>
          <t>Not Executed</t>
        </is>
      </c>
      <c r="O27" s="17" t="inlineStr">
        <is>
          <t>evidence/app-and-026_screenshot.png</t>
        </is>
      </c>
      <c r="P27" s="17" t="inlineStr">
        <is>
          <t>Automated baseline generation</t>
        </is>
      </c>
    </row>
    <row r="28" ht="36" customHeight="1">
      <c r="A28" s="16" t="inlineStr">
        <is>
          <t>APP-AND-027</t>
        </is>
      </c>
      <c r="B28" s="16" t="inlineStr">
        <is>
          <t>Appium Android E2E Testing</t>
        </is>
      </c>
      <c r="C28" s="17" t="inlineStr">
        <is>
          <t>Address Management</t>
        </is>
      </c>
      <c r="D28" s="17" t="inlineStr">
        <is>
          <t>Verify deep link url execution on Android device for Android Address Management</t>
        </is>
      </c>
      <c r="E28" s="17" t="inlineStr">
        <is>
          <t>Android E2E - Address Management - Verify deep link url execution on Android device (#27)</t>
        </is>
      </c>
      <c r="F28" s="17" t="inlineStr">
        <is>
          <t>Verify native Android application behavior for Address Management using Appium automation.</t>
        </is>
      </c>
      <c r="G28" s="17" t="inlineStr">
        <is>
          <t>NutriFit APK installed on Android Emulator/Device (API level 33+), Appium session running.</t>
        </is>
      </c>
      <c r="H28" s="17" t="inlineStr">
        <is>
          <t>1. Launch Appium driver session.
2. Open Address Management view via native element selector.
3. Execute adb command to launch deep link URI target into app.
4. Verify UI state.</t>
        </is>
      </c>
      <c r="I28" s="17" t="inlineStr">
        <is>
          <t>Device: Pixel 7 Pro (API 34), Package: com.nutrifit.app, Module: Address Management</t>
        </is>
      </c>
      <c r="J28" s="17" t="inlineStr">
        <is>
          <t>App launches directly into target product details view. for Address Management screen on Android.</t>
        </is>
      </c>
      <c r="K28" s="17" t="inlineStr">
        <is>
          <t>Pending Execution</t>
        </is>
      </c>
      <c r="L28" s="16" t="inlineStr">
        <is>
          <t>Medium</t>
        </is>
      </c>
      <c r="M28" s="16" t="inlineStr">
        <is>
          <t>Major</t>
        </is>
      </c>
      <c r="N28" s="18" t="inlineStr">
        <is>
          <t>Not Executed</t>
        </is>
      </c>
      <c r="O28" s="17" t="inlineStr">
        <is>
          <t>evidence/app-and-027_screenshot.png</t>
        </is>
      </c>
      <c r="P28" s="17" t="inlineStr">
        <is>
          <t>Automated baseline generation</t>
        </is>
      </c>
    </row>
    <row r="29" ht="36" customHeight="1">
      <c r="A29" s="16" t="inlineStr">
        <is>
          <t>APP-AND-028</t>
        </is>
      </c>
      <c r="B29" s="16" t="inlineStr">
        <is>
          <t>Appium Android E2E Testing</t>
        </is>
      </c>
      <c r="C29" s="17" t="inlineStr">
        <is>
          <t>Payment Method</t>
        </is>
      </c>
      <c r="D29" s="17" t="inlineStr">
        <is>
          <t>Verify app backgrounding and resume lifecycle state for Android Payment Method</t>
        </is>
      </c>
      <c r="E29" s="17" t="inlineStr">
        <is>
          <t>Android E2E - Payment Method - Verify app backgrounding and resume lifecycle state (#28)</t>
        </is>
      </c>
      <c r="F29" s="17" t="inlineStr">
        <is>
          <t>Verify native Android application behavior for Payment Method using Appium automation.</t>
        </is>
      </c>
      <c r="G29" s="17" t="inlineStr">
        <is>
          <t>NutriFit APK installed on Android Emulator/Device (API level 33+), Appium session running.</t>
        </is>
      </c>
      <c r="H29" s="17" t="inlineStr">
        <is>
          <t>1. Launch Appium driver session.
2. Open Payment Method view via native element selector.
3. Press Home button to send app to background for 30s, then re-open app.
4. Verify UI state.</t>
        </is>
      </c>
      <c r="I29" s="17" t="inlineStr">
        <is>
          <t>Device: Pixel 7 Pro (API 34), Package: com.nutrifit.app, Module: Payment Method</t>
        </is>
      </c>
      <c r="J29" s="17" t="inlineStr">
        <is>
          <t>App resumes state intact without memory leak or session logout. for Payment Method screen on Android.</t>
        </is>
      </c>
      <c r="K29" s="17" t="inlineStr">
        <is>
          <t>Pending Execution</t>
        </is>
      </c>
      <c r="L29" s="16" t="inlineStr">
        <is>
          <t>High</t>
        </is>
      </c>
      <c r="M29" s="16" t="inlineStr">
        <is>
          <t>Moderate</t>
        </is>
      </c>
      <c r="N29" s="18" t="inlineStr">
        <is>
          <t>Not Executed</t>
        </is>
      </c>
      <c r="O29" s="17" t="inlineStr">
        <is>
          <t>evidence/app-and-028_screenshot.png</t>
        </is>
      </c>
      <c r="P29" s="17" t="inlineStr">
        <is>
          <t>Automated baseline generation</t>
        </is>
      </c>
    </row>
    <row r="30" ht="36" customHeight="1">
      <c r="A30" s="16" t="inlineStr">
        <is>
          <t>APP-AND-029</t>
        </is>
      </c>
      <c r="B30" s="16" t="inlineStr">
        <is>
          <t>Appium Android E2E Testing</t>
        </is>
      </c>
      <c r="C30" s="17" t="inlineStr">
        <is>
          <t>Place Order</t>
        </is>
      </c>
      <c r="D30" s="17" t="inlineStr">
        <is>
          <t>Verify dark theme integration with Android system settings for Android Place Order</t>
        </is>
      </c>
      <c r="E30" s="17" t="inlineStr">
        <is>
          <t>Android E2E - Place Order - Verify dark theme integration with Android system settings (#29)</t>
        </is>
      </c>
      <c r="F30" s="17" t="inlineStr">
        <is>
          <t>Verify native Android application behavior for Place Order using Appium automation.</t>
        </is>
      </c>
      <c r="G30" s="17" t="inlineStr">
        <is>
          <t>NutriFit APK installed on Android Emulator/Device (API level 33+), Appium session running.</t>
        </is>
      </c>
      <c r="H30" s="17" t="inlineStr">
        <is>
          <t>1. Launch Appium driver session.
2. Open Place Order view via native element selector.
3. Toggle system-wide Android Dark Theme switch from quick settings.
4. Verify UI state.</t>
        </is>
      </c>
      <c r="I30" s="17" t="inlineStr">
        <is>
          <t>Device: Pixel 7 Pro (API 34), Package: com.nutrifit.app, Module: Place Order</t>
        </is>
      </c>
      <c r="J30" s="17" t="inlineStr">
        <is>
          <t>NutriFit automatically adapts to OS dark theme preference. for Place Order screen on Android.</t>
        </is>
      </c>
      <c r="K30" s="17" t="inlineStr">
        <is>
          <t>Pending Execution</t>
        </is>
      </c>
      <c r="L30" s="16" t="inlineStr">
        <is>
          <t>Medium</t>
        </is>
      </c>
      <c r="M30" s="16" t="inlineStr">
        <is>
          <t>Moderate</t>
        </is>
      </c>
      <c r="N30" s="18" t="inlineStr">
        <is>
          <t>Not Executed</t>
        </is>
      </c>
      <c r="O30" s="17" t="inlineStr">
        <is>
          <t>evidence/app-and-029_screenshot.png</t>
        </is>
      </c>
      <c r="P30" s="17" t="inlineStr">
        <is>
          <t>Automated baseline generation</t>
        </is>
      </c>
    </row>
    <row r="31" ht="36" customHeight="1">
      <c r="A31" s="16" t="inlineStr">
        <is>
          <t>APP-AND-030</t>
        </is>
      </c>
      <c r="B31" s="16" t="inlineStr">
        <is>
          <t>Appium Android E2E Testing</t>
        </is>
      </c>
      <c r="C31" s="17" t="inlineStr">
        <is>
          <t>My Orders</t>
        </is>
      </c>
      <c r="D31" s="17" t="inlineStr">
        <is>
          <t>Verify offline cached state when switching Airplane mode for Android My Orders</t>
        </is>
      </c>
      <c r="E31" s="17" t="inlineStr">
        <is>
          <t>Android E2E - My Orders - Verify offline cached state when switching Airplane mode (#30)</t>
        </is>
      </c>
      <c r="F31" s="17" t="inlineStr">
        <is>
          <t>Verify native Android application behavior for My Orders using Appium automation.</t>
        </is>
      </c>
      <c r="G31" s="17" t="inlineStr">
        <is>
          <t>NutriFit APK installed on Android Emulator/Device (API level 33+), Appium session running.</t>
        </is>
      </c>
      <c r="H31" s="17" t="inlineStr">
        <is>
          <t>1. Launch Appium driver session.
2. Open My Orders view via native element selector.
3. Turn on Airplane Mode on device, navigate app screens.
4. Verify UI state.</t>
        </is>
      </c>
      <c r="I31" s="17" t="inlineStr">
        <is>
          <t>Device: Pixel 7 Pro (API 34), Package: com.nutrifit.app, Module: My Orders</t>
        </is>
      </c>
      <c r="J31" s="17" t="inlineStr">
        <is>
          <t>App displays offline warning banner while serving cached data gracefully. for My Orders screen on Android.</t>
        </is>
      </c>
      <c r="K31" s="17" t="inlineStr">
        <is>
          <t>Pending Execution</t>
        </is>
      </c>
      <c r="L31" s="16" t="inlineStr">
        <is>
          <t>High</t>
        </is>
      </c>
      <c r="M31" s="16" t="inlineStr">
        <is>
          <t>Major</t>
        </is>
      </c>
      <c r="N31" s="18" t="inlineStr">
        <is>
          <t>Not Executed</t>
        </is>
      </c>
      <c r="O31" s="17" t="inlineStr">
        <is>
          <t>evidence/app-and-030_screenshot.png</t>
        </is>
      </c>
      <c r="P31" s="17" t="inlineStr">
        <is>
          <t>Automated baseline generation</t>
        </is>
      </c>
    </row>
    <row r="32" ht="36" customHeight="1">
      <c r="A32" s="16" t="inlineStr">
        <is>
          <t>APP-AND-031</t>
        </is>
      </c>
      <c r="B32" s="16" t="inlineStr">
        <is>
          <t>Appium Android E2E Testing</t>
        </is>
      </c>
      <c r="C32" s="17" t="inlineStr">
        <is>
          <t>Order Details</t>
        </is>
      </c>
      <c r="D32" s="17" t="inlineStr">
        <is>
          <t>Verify native touch swipe and scroll gestures for Android Order Details</t>
        </is>
      </c>
      <c r="E32" s="17" t="inlineStr">
        <is>
          <t>Android E2E - Order Details - Verify native touch swipe and scroll gestures (#31)</t>
        </is>
      </c>
      <c r="F32" s="17" t="inlineStr">
        <is>
          <t>Verify native Android application behavior for Order Details using Appium automation.</t>
        </is>
      </c>
      <c r="G32" s="17" t="inlineStr">
        <is>
          <t>NutriFit APK installed on Android Emulator/Device (API level 33+), Appium session running.</t>
        </is>
      </c>
      <c r="H32" s="17" t="inlineStr">
        <is>
          <t>1. Launch Appium driver session.
2. Open Order Details view via native element selector.
3. Perform vertical swipe gesture on scrollable listview container.
4. Verify UI state.</t>
        </is>
      </c>
      <c r="I32" s="17" t="inlineStr">
        <is>
          <t>Device: Pixel 7 Pro (API 34), Package: com.nutrifit.app, Module: Order Details</t>
        </is>
      </c>
      <c r="J32" s="17" t="inlineStr">
        <is>
          <t>Container scrolls smoothly without frame drops or touch drag locking. for Order Details screen on Android.</t>
        </is>
      </c>
      <c r="K32" s="17" t="inlineStr">
        <is>
          <t>Pending Execution</t>
        </is>
      </c>
      <c r="L32" s="16" t="inlineStr">
        <is>
          <t>Medium</t>
        </is>
      </c>
      <c r="M32" s="16" t="inlineStr">
        <is>
          <t>Moderate</t>
        </is>
      </c>
      <c r="N32" s="18" t="inlineStr">
        <is>
          <t>Not Executed</t>
        </is>
      </c>
      <c r="O32" s="17" t="inlineStr">
        <is>
          <t>evidence/app-and-031_screenshot.png</t>
        </is>
      </c>
      <c r="P32" s="17" t="inlineStr">
        <is>
          <t>Automated baseline generation</t>
        </is>
      </c>
    </row>
    <row r="33" ht="36" customHeight="1">
      <c r="A33" s="16" t="inlineStr">
        <is>
          <t>APP-AND-032</t>
        </is>
      </c>
      <c r="B33" s="16" t="inlineStr">
        <is>
          <t>Appium Android E2E Testing</t>
        </is>
      </c>
      <c r="C33" s="17" t="inlineStr">
        <is>
          <t>Order Cancellation</t>
        </is>
      </c>
      <c r="D33" s="17" t="inlineStr">
        <is>
          <t>Verify hardware back button behavior for Android Order Cancellation</t>
        </is>
      </c>
      <c r="E33" s="17" t="inlineStr">
        <is>
          <t>Android E2E - Order Cancellation - Verify hardware back button behavior (#32)</t>
        </is>
      </c>
      <c r="F33" s="17" t="inlineStr">
        <is>
          <t>Verify native Android application behavior for Order Cancellation using Appium automation.</t>
        </is>
      </c>
      <c r="G33" s="17" t="inlineStr">
        <is>
          <t>NutriFit APK installed on Android Emulator/Device (API level 33+), Appium session running.</t>
        </is>
      </c>
      <c r="H33" s="17" t="inlineStr">
        <is>
          <t>1. Launch Appium driver session.
2. Open Order Cancellation view via native element selector.
3. Navigate deep into feature stack, press hardware back button.
4. Verify UI state.</t>
        </is>
      </c>
      <c r="I33" s="17" t="inlineStr">
        <is>
          <t>Device: Pixel 7 Pro (API 34), Package: com.nutrifit.app, Module: Order Cancellation</t>
        </is>
      </c>
      <c r="J33" s="17" t="inlineStr">
        <is>
          <t>App returns to previous screen cleanly without exiting app unexpectedly. for Order Cancellation screen on Android.</t>
        </is>
      </c>
      <c r="K33" s="17" t="inlineStr">
        <is>
          <t>Pending Execution</t>
        </is>
      </c>
      <c r="L33" s="16" t="inlineStr">
        <is>
          <t>High</t>
        </is>
      </c>
      <c r="M33" s="16" t="inlineStr">
        <is>
          <t>Moderate</t>
        </is>
      </c>
      <c r="N33" s="18" t="inlineStr">
        <is>
          <t>Not Executed</t>
        </is>
      </c>
      <c r="O33" s="17" t="inlineStr">
        <is>
          <t>evidence/app-and-032_screenshot.png</t>
        </is>
      </c>
      <c r="P33" s="17" t="inlineStr">
        <is>
          <t>Automated baseline generation</t>
        </is>
      </c>
    </row>
    <row r="34" ht="36" customHeight="1">
      <c r="A34" s="16" t="inlineStr">
        <is>
          <t>APP-AND-033</t>
        </is>
      </c>
      <c r="B34" s="16" t="inlineStr">
        <is>
          <t>Appium Android E2E Testing</t>
        </is>
      </c>
      <c r="C34" s="17" t="inlineStr">
        <is>
          <t>Supabase Integration</t>
        </is>
      </c>
      <c r="D34" s="17" t="inlineStr">
        <is>
          <t>Verify device orientation toggle (Portrait to Landscape) for Android Supabase Integration</t>
        </is>
      </c>
      <c r="E34" s="17" t="inlineStr">
        <is>
          <t>Android E2E - Supabase Integration - Verify device orientation toggle (Portrait to Landscape) (#33)</t>
        </is>
      </c>
      <c r="F34" s="17" t="inlineStr">
        <is>
          <t>Verify native Android application behavior for Supabase Integration using Appium automation.</t>
        </is>
      </c>
      <c r="G34" s="17" t="inlineStr">
        <is>
          <t>NutriFit APK installed on Android Emulator/Device (API level 33+), Appium session running.</t>
        </is>
      </c>
      <c r="H34" s="17" t="inlineStr">
        <is>
          <t>1. Launch Appium driver session.
2. Open Supabase Integration view via native element selector.
3. Trigger device rotation to landscape, verify view adaptation.
4. Verify UI state.</t>
        </is>
      </c>
      <c r="I34" s="17" t="inlineStr">
        <is>
          <t>Device: Pixel 7 Pro (API 34), Package: com.nutrifit.app, Module: Supabase Integration</t>
        </is>
      </c>
      <c r="J34" s="17" t="inlineStr">
        <is>
          <t>UI resizes responsively in landscape without clipping key buttons. for Supabase Integration screen on Android.</t>
        </is>
      </c>
      <c r="K34" s="17" t="inlineStr">
        <is>
          <t>Pending Execution</t>
        </is>
      </c>
      <c r="L34" s="16" t="inlineStr">
        <is>
          <t>Medium</t>
        </is>
      </c>
      <c r="M34" s="16" t="inlineStr">
        <is>
          <t>Major</t>
        </is>
      </c>
      <c r="N34" s="18" t="inlineStr">
        <is>
          <t>Not Executed</t>
        </is>
      </c>
      <c r="O34" s="17" t="inlineStr">
        <is>
          <t>evidence/app-and-033_screenshot.png</t>
        </is>
      </c>
      <c r="P34" s="17" t="inlineStr">
        <is>
          <t>Automated baseline generation</t>
        </is>
      </c>
    </row>
    <row r="35" ht="36" customHeight="1">
      <c r="A35" s="16" t="inlineStr">
        <is>
          <t>APP-AND-034</t>
        </is>
      </c>
      <c r="B35" s="16" t="inlineStr">
        <is>
          <t>Appium Android E2E Testing</t>
        </is>
      </c>
      <c r="C35" s="17" t="inlineStr">
        <is>
          <t>Responsive Web UI</t>
        </is>
      </c>
      <c r="D35" s="17" t="inlineStr">
        <is>
          <t>Verify system notification banner pop-up and tap action for Android Responsive Web UI</t>
        </is>
      </c>
      <c r="E35" s="17" t="inlineStr">
        <is>
          <t>Android E2E - Responsive Web UI - Verify system notification banner pop-up and tap action (#34)</t>
        </is>
      </c>
      <c r="F35" s="17" t="inlineStr">
        <is>
          <t>Verify native Android application behavior for Responsive Web UI using Appium automation.</t>
        </is>
      </c>
      <c r="G35" s="17" t="inlineStr">
        <is>
          <t>NutriFit APK installed on Android Emulator/Device (API level 33+), Appium session running.</t>
        </is>
      </c>
      <c r="H35" s="17" t="inlineStr">
        <is>
          <t>1. Launch Appium driver session.
2. Open Responsive Web UI view via native element selector.
3. Trigger local push alert, pull down Android notification shade, tap notification.
4. Verify UI state.</t>
        </is>
      </c>
      <c r="I35" s="17" t="inlineStr">
        <is>
          <t>Device: Pixel 7 Pro (API 34), Package: com.nutrifit.app, Module: Responsive Web UI</t>
        </is>
      </c>
      <c r="J35" s="17" t="inlineStr">
        <is>
          <t>App opens target screen specified in notification payload. for Responsive Web UI screen on Android.</t>
        </is>
      </c>
      <c r="K35" s="17" t="inlineStr">
        <is>
          <t>Pending Execution</t>
        </is>
      </c>
      <c r="L35" s="16" t="inlineStr">
        <is>
          <t>High</t>
        </is>
      </c>
      <c r="M35" s="16" t="inlineStr">
        <is>
          <t>Moderate</t>
        </is>
      </c>
      <c r="N35" s="18" t="inlineStr">
        <is>
          <t>Not Executed</t>
        </is>
      </c>
      <c r="O35" s="17" t="inlineStr">
        <is>
          <t>evidence/app-and-034_screenshot.png</t>
        </is>
      </c>
      <c r="P35" s="17" t="inlineStr">
        <is>
          <t>Automated baseline generation</t>
        </is>
      </c>
    </row>
    <row r="36" ht="36" customHeight="1">
      <c r="A36" s="16" t="inlineStr">
        <is>
          <t>APP-AND-035</t>
        </is>
      </c>
      <c r="B36" s="16" t="inlineStr">
        <is>
          <t>Appium Android E2E Testing</t>
        </is>
      </c>
      <c r="C36" s="17" t="inlineStr">
        <is>
          <t>Android UI</t>
        </is>
      </c>
      <c r="D36" s="17" t="inlineStr">
        <is>
          <t>Verify biometric authentication prompt (Fingerprint/Face) for Android Android UI</t>
        </is>
      </c>
      <c r="E36" s="17" t="inlineStr">
        <is>
          <t>Android E2E - Android UI - Verify biometric authentication prompt (Fingerprint/Face) (#35)</t>
        </is>
      </c>
      <c r="F36" s="17" t="inlineStr">
        <is>
          <t>Verify native Android application behavior for Android UI using Appium automation.</t>
        </is>
      </c>
      <c r="G36" s="17" t="inlineStr">
        <is>
          <t>NutriFit APK installed on Android Emulator/Device (API level 33+), Appium session running.</t>
        </is>
      </c>
      <c r="H36" s="17" t="inlineStr">
        <is>
          <t>1. Launch Appium driver session.
2. Open Android UI view via native element selector.
3. Trigger sensitive action requiring biometric authentication.
4. Verify UI state.</t>
        </is>
      </c>
      <c r="I36" s="17" t="inlineStr">
        <is>
          <t>Device: Pixel 7 Pro (API 34), Package: com.nutrifit.app, Module: Android UI</t>
        </is>
      </c>
      <c r="J36" s="17" t="inlineStr">
        <is>
          <t>Native Android BiometricPrompt appears; success unlocks target view. for Android UI screen on Android.</t>
        </is>
      </c>
      <c r="K36" s="17" t="inlineStr">
        <is>
          <t>Pending Execution</t>
        </is>
      </c>
      <c r="L36" s="16" t="inlineStr">
        <is>
          <t>Medium</t>
        </is>
      </c>
      <c r="M36" s="16" t="inlineStr">
        <is>
          <t>Moderate</t>
        </is>
      </c>
      <c r="N36" s="18" t="inlineStr">
        <is>
          <t>Not Executed</t>
        </is>
      </c>
      <c r="O36" s="17" t="inlineStr">
        <is>
          <t>evidence/app-and-035_screenshot.png</t>
        </is>
      </c>
      <c r="P36" s="17" t="inlineStr">
        <is>
          <t>Automated baseline generation</t>
        </is>
      </c>
    </row>
    <row r="37" ht="36" customHeight="1">
      <c r="A37" s="16" t="inlineStr">
        <is>
          <t>APP-AND-036</t>
        </is>
      </c>
      <c r="B37" s="16" t="inlineStr">
        <is>
          <t>Appium Android E2E Testing</t>
        </is>
      </c>
      <c r="C37" s="17" t="inlineStr">
        <is>
          <t>Error Handling</t>
        </is>
      </c>
      <c r="D37" s="17" t="inlineStr">
        <is>
          <t>Verify camera permission request dialog and image capture for Android Error Handling</t>
        </is>
      </c>
      <c r="E37" s="17" t="inlineStr">
        <is>
          <t>Android E2E - Error Handling - Verify camera permission request dialog and image capture (#36)</t>
        </is>
      </c>
      <c r="F37" s="17" t="inlineStr">
        <is>
          <t>Verify native Android application behavior for Error Handling using Appium automation.</t>
        </is>
      </c>
      <c r="G37" s="17" t="inlineStr">
        <is>
          <t>NutriFit APK installed on Android Emulator/Device (API level 33+), Appium session running.</t>
        </is>
      </c>
      <c r="H37" s="17" t="inlineStr">
        <is>
          <t>1. Launch Appium driver session.
2. Open Error Handling view via native element selector.
3. Tap photo upload button, handle system permission dialog, capture photo.
4. Verify UI state.</t>
        </is>
      </c>
      <c r="I37" s="17" t="inlineStr">
        <is>
          <t>Device: Pixel 7 Pro (API 34), Package: com.nutrifit.app, Module: Error Handling</t>
        </is>
      </c>
      <c r="J37" s="17" t="inlineStr">
        <is>
          <t>Permission granted dialog works; captured image sets profile/meal avatar. for Error Handling screen on Android.</t>
        </is>
      </c>
      <c r="K37" s="17" t="inlineStr">
        <is>
          <t>Pending Execution</t>
        </is>
      </c>
      <c r="L37" s="16" t="inlineStr">
        <is>
          <t>High</t>
        </is>
      </c>
      <c r="M37" s="16" t="inlineStr">
        <is>
          <t>Major</t>
        </is>
      </c>
      <c r="N37" s="18" t="inlineStr">
        <is>
          <t>Not Executed</t>
        </is>
      </c>
      <c r="O37" s="17" t="inlineStr">
        <is>
          <t>evidence/app-and-036_screenshot.png</t>
        </is>
      </c>
      <c r="P37" s="17" t="inlineStr">
        <is>
          <t>Automated baseline generation</t>
        </is>
      </c>
    </row>
    <row r="38" ht="36" customHeight="1">
      <c r="A38" s="16" t="inlineStr">
        <is>
          <t>APP-AND-037</t>
        </is>
      </c>
      <c r="B38" s="16" t="inlineStr">
        <is>
          <t>Appium Android E2E Testing</t>
        </is>
      </c>
      <c r="C38" s="17" t="inlineStr">
        <is>
          <t>Logout</t>
        </is>
      </c>
      <c r="D38" s="17" t="inlineStr">
        <is>
          <t>Verify deep link url execution on Android device for Android Logout</t>
        </is>
      </c>
      <c r="E38" s="17" t="inlineStr">
        <is>
          <t>Android E2E - Logout - Verify deep link url execution on Android device (#37)</t>
        </is>
      </c>
      <c r="F38" s="17" t="inlineStr">
        <is>
          <t>Verify native Android application behavior for Logout using Appium automation.</t>
        </is>
      </c>
      <c r="G38" s="17" t="inlineStr">
        <is>
          <t>NutriFit APK installed on Android Emulator/Device (API level 33+), Appium session running.</t>
        </is>
      </c>
      <c r="H38" s="17" t="inlineStr">
        <is>
          <t>1. Launch Appium driver session.
2. Open Logout view via native element selector.
3. Execute adb command to launch deep link URI target into app.
4. Verify UI state.</t>
        </is>
      </c>
      <c r="I38" s="17" t="inlineStr">
        <is>
          <t>Device: Pixel 7 Pro (API 34), Package: com.nutrifit.app, Module: Logout</t>
        </is>
      </c>
      <c r="J38" s="17" t="inlineStr">
        <is>
          <t>App launches directly into target product details view. for Logout screen on Android.</t>
        </is>
      </c>
      <c r="K38" s="17" t="inlineStr">
        <is>
          <t>Pending Execution</t>
        </is>
      </c>
      <c r="L38" s="16" t="inlineStr">
        <is>
          <t>Medium</t>
        </is>
      </c>
      <c r="M38" s="16" t="inlineStr">
        <is>
          <t>Moderate</t>
        </is>
      </c>
      <c r="N38" s="18" t="inlineStr">
        <is>
          <t>Not Executed</t>
        </is>
      </c>
      <c r="O38" s="17" t="inlineStr">
        <is>
          <t>evidence/app-and-037_screenshot.png</t>
        </is>
      </c>
      <c r="P38" s="17" t="inlineStr">
        <is>
          <t>Automated baseline generation</t>
        </is>
      </c>
    </row>
    <row r="39" ht="36" customHeight="1">
      <c r="A39" s="16" t="inlineStr">
        <is>
          <t>APP-AND-038</t>
        </is>
      </c>
      <c r="B39" s="16" t="inlineStr">
        <is>
          <t>Appium Android E2E Testing</t>
        </is>
      </c>
      <c r="C39" s="17" t="inlineStr">
        <is>
          <t>Splash</t>
        </is>
      </c>
      <c r="D39" s="17" t="inlineStr">
        <is>
          <t>Verify app backgrounding and resume lifecycle state for Android Splash</t>
        </is>
      </c>
      <c r="E39" s="17" t="inlineStr">
        <is>
          <t>Android E2E - Splash - Verify app backgrounding and resume lifecycle state (#38)</t>
        </is>
      </c>
      <c r="F39" s="17" t="inlineStr">
        <is>
          <t>Verify native Android application behavior for Splash using Appium automation.</t>
        </is>
      </c>
      <c r="G39" s="17" t="inlineStr">
        <is>
          <t>NutriFit APK installed on Android Emulator/Device (API level 33+), Appium session running.</t>
        </is>
      </c>
      <c r="H39" s="17" t="inlineStr">
        <is>
          <t>1. Launch Appium driver session.
2. Open Splash view via native element selector.
3. Press Home button to send app to background for 30s, then re-open app.
4. Verify UI state.</t>
        </is>
      </c>
      <c r="I39" s="17" t="inlineStr">
        <is>
          <t>Device: Pixel 7 Pro (API 34), Package: com.nutrifit.app, Module: Splash</t>
        </is>
      </c>
      <c r="J39" s="17" t="inlineStr">
        <is>
          <t>App resumes state intact without memory leak or session logout. for Splash screen on Android.</t>
        </is>
      </c>
      <c r="K39" s="17" t="inlineStr">
        <is>
          <t>Pending Execution</t>
        </is>
      </c>
      <c r="L39" s="16" t="inlineStr">
        <is>
          <t>High</t>
        </is>
      </c>
      <c r="M39" s="16" t="inlineStr">
        <is>
          <t>Moderate</t>
        </is>
      </c>
      <c r="N39" s="18" t="inlineStr">
        <is>
          <t>Not Executed</t>
        </is>
      </c>
      <c r="O39" s="17" t="inlineStr">
        <is>
          <t>evidence/app-and-038_screenshot.png</t>
        </is>
      </c>
      <c r="P39" s="17" t="inlineStr">
        <is>
          <t>Automated baseline generation</t>
        </is>
      </c>
    </row>
    <row r="40" ht="36" customHeight="1">
      <c r="A40" s="16" t="inlineStr">
        <is>
          <t>APP-AND-039</t>
        </is>
      </c>
      <c r="B40" s="16" t="inlineStr">
        <is>
          <t>Appium Android E2E Testing</t>
        </is>
      </c>
      <c r="C40" s="17" t="inlineStr">
        <is>
          <t>Login</t>
        </is>
      </c>
      <c r="D40" s="17" t="inlineStr">
        <is>
          <t>Verify dark theme integration with Android system settings for Android Login</t>
        </is>
      </c>
      <c r="E40" s="17" t="inlineStr">
        <is>
          <t>Android E2E - Login - Verify dark theme integration with Android system settings (#39)</t>
        </is>
      </c>
      <c r="F40" s="17" t="inlineStr">
        <is>
          <t>Verify native Android application behavior for Login using Appium automation.</t>
        </is>
      </c>
      <c r="G40" s="17" t="inlineStr">
        <is>
          <t>NutriFit APK installed on Android Emulator/Device (API level 33+), Appium session running.</t>
        </is>
      </c>
      <c r="H40" s="17" t="inlineStr">
        <is>
          <t>1. Launch Appium driver session.
2. Open Login view via native element selector.
3. Toggle system-wide Android Dark Theme switch from quick settings.
4. Verify UI state.</t>
        </is>
      </c>
      <c r="I40" s="17" t="inlineStr">
        <is>
          <t>Device: Pixel 7 Pro (API 34), Package: com.nutrifit.app, Module: Login</t>
        </is>
      </c>
      <c r="J40" s="17" t="inlineStr">
        <is>
          <t>NutriFit automatically adapts to OS dark theme preference. for Login screen on Android.</t>
        </is>
      </c>
      <c r="K40" s="17" t="inlineStr">
        <is>
          <t>Pending Execution</t>
        </is>
      </c>
      <c r="L40" s="16" t="inlineStr">
        <is>
          <t>Medium</t>
        </is>
      </c>
      <c r="M40" s="16" t="inlineStr">
        <is>
          <t>Major</t>
        </is>
      </c>
      <c r="N40" s="18" t="inlineStr">
        <is>
          <t>Not Executed</t>
        </is>
      </c>
      <c r="O40" s="17" t="inlineStr">
        <is>
          <t>evidence/app-and-039_screenshot.png</t>
        </is>
      </c>
      <c r="P40" s="17" t="inlineStr">
        <is>
          <t>Automated baseline generation</t>
        </is>
      </c>
    </row>
    <row r="41" ht="36" customHeight="1">
      <c r="A41" s="16" t="inlineStr">
        <is>
          <t>APP-AND-040</t>
        </is>
      </c>
      <c r="B41" s="16" t="inlineStr">
        <is>
          <t>Appium Android E2E Testing</t>
        </is>
      </c>
      <c r="C41" s="17" t="inlineStr">
        <is>
          <t>Signup</t>
        </is>
      </c>
      <c r="D41" s="17" t="inlineStr">
        <is>
          <t>Verify offline cached state when switching Airplane mode for Android Signup</t>
        </is>
      </c>
      <c r="E41" s="17" t="inlineStr">
        <is>
          <t>Android E2E - Signup - Verify offline cached state when switching Airplane mode (#40)</t>
        </is>
      </c>
      <c r="F41" s="17" t="inlineStr">
        <is>
          <t>Verify native Android application behavior for Signup using Appium automation.</t>
        </is>
      </c>
      <c r="G41" s="17" t="inlineStr">
        <is>
          <t>NutriFit APK installed on Android Emulator/Device (API level 33+), Appium session running.</t>
        </is>
      </c>
      <c r="H41" s="17" t="inlineStr">
        <is>
          <t>1. Launch Appium driver session.
2. Open Signup view via native element selector.
3. Turn on Airplane Mode on device, navigate app screens.
4. Verify UI state.</t>
        </is>
      </c>
      <c r="I41" s="17" t="inlineStr">
        <is>
          <t>Device: Pixel 7 Pro (API 34), Package: com.nutrifit.app, Module: Signup</t>
        </is>
      </c>
      <c r="J41" s="17" t="inlineStr">
        <is>
          <t>App displays offline warning banner while serving cached data gracefully. for Signup screen on Android.</t>
        </is>
      </c>
      <c r="K41" s="17" t="inlineStr">
        <is>
          <t>Pending Execution</t>
        </is>
      </c>
      <c r="L41" s="16" t="inlineStr">
        <is>
          <t>High</t>
        </is>
      </c>
      <c r="M41" s="16" t="inlineStr">
        <is>
          <t>Moderate</t>
        </is>
      </c>
      <c r="N41" s="18" t="inlineStr">
        <is>
          <t>Not Executed</t>
        </is>
      </c>
      <c r="O41" s="17" t="inlineStr">
        <is>
          <t>evidence/app-and-040_screenshot.png</t>
        </is>
      </c>
      <c r="P41" s="17" t="inlineStr">
        <is>
          <t>Automated baseline generation</t>
        </is>
      </c>
    </row>
    <row r="42" ht="36" customHeight="1">
      <c r="A42" s="16" t="inlineStr">
        <is>
          <t>APP-AND-041</t>
        </is>
      </c>
      <c r="B42" s="16" t="inlineStr">
        <is>
          <t>Appium Android E2E Testing</t>
        </is>
      </c>
      <c r="C42" s="17" t="inlineStr">
        <is>
          <t>Forgot Password</t>
        </is>
      </c>
      <c r="D42" s="17" t="inlineStr">
        <is>
          <t>Verify native touch swipe and scroll gestures for Android Forgot Password</t>
        </is>
      </c>
      <c r="E42" s="17" t="inlineStr">
        <is>
          <t>Android E2E - Forgot Password - Verify native touch swipe and scroll gestures (#41)</t>
        </is>
      </c>
      <c r="F42" s="17" t="inlineStr">
        <is>
          <t>Verify native Android application behavior for Forgot Password using Appium automation.</t>
        </is>
      </c>
      <c r="G42" s="17" t="inlineStr">
        <is>
          <t>NutriFit APK installed on Android Emulator/Device (API level 33+), Appium session running.</t>
        </is>
      </c>
      <c r="H42" s="17" t="inlineStr">
        <is>
          <t>1. Launch Appium driver session.
2. Open Forgot Password view via native element selector.
3. Perform vertical swipe gesture on scrollable listview container.
4. Verify UI state.</t>
        </is>
      </c>
      <c r="I42" s="17" t="inlineStr">
        <is>
          <t>Device: Pixel 7 Pro (API 34), Package: com.nutrifit.app, Module: Forgot Password</t>
        </is>
      </c>
      <c r="J42" s="17" t="inlineStr">
        <is>
          <t>Container scrolls smoothly without frame drops or touch drag locking. for Forgot Password screen on Android.</t>
        </is>
      </c>
      <c r="K42" s="17" t="inlineStr">
        <is>
          <t>Pending Execution</t>
        </is>
      </c>
      <c r="L42" s="16" t="inlineStr">
        <is>
          <t>Medium</t>
        </is>
      </c>
      <c r="M42" s="16" t="inlineStr">
        <is>
          <t>Moderate</t>
        </is>
      </c>
      <c r="N42" s="18" t="inlineStr">
        <is>
          <t>Not Executed</t>
        </is>
      </c>
      <c r="O42" s="17" t="inlineStr">
        <is>
          <t>evidence/app-and-041_screenshot.png</t>
        </is>
      </c>
      <c r="P42" s="17" t="inlineStr">
        <is>
          <t>Automated baseline generation</t>
        </is>
      </c>
    </row>
    <row r="43" ht="36" customHeight="1">
      <c r="A43" s="16" t="inlineStr">
        <is>
          <t>APP-AND-042</t>
        </is>
      </c>
      <c r="B43" s="16" t="inlineStr">
        <is>
          <t>Appium Android E2E Testing</t>
        </is>
      </c>
      <c r="C43" s="17" t="inlineStr">
        <is>
          <t>Email Verification</t>
        </is>
      </c>
      <c r="D43" s="17" t="inlineStr">
        <is>
          <t>Verify hardware back button behavior for Android Email Verification</t>
        </is>
      </c>
      <c r="E43" s="17" t="inlineStr">
        <is>
          <t>Android E2E - Email Verification - Verify hardware back button behavior (#42)</t>
        </is>
      </c>
      <c r="F43" s="17" t="inlineStr">
        <is>
          <t>Verify native Android application behavior for Email Verification using Appium automation.</t>
        </is>
      </c>
      <c r="G43" s="17" t="inlineStr">
        <is>
          <t>NutriFit APK installed on Android Emulator/Device (API level 33+), Appium session running.</t>
        </is>
      </c>
      <c r="H43" s="17" t="inlineStr">
        <is>
          <t>1. Launch Appium driver session.
2. Open Email Verification view via native element selector.
3. Navigate deep into feature stack, press hardware back button.
4. Verify UI state.</t>
        </is>
      </c>
      <c r="I43" s="17" t="inlineStr">
        <is>
          <t>Device: Pixel 7 Pro (API 34), Package: com.nutrifit.app, Module: Email Verification</t>
        </is>
      </c>
      <c r="J43" s="17" t="inlineStr">
        <is>
          <t>App returns to previous screen cleanly without exiting app unexpectedly. for Email Verification screen on Android.</t>
        </is>
      </c>
      <c r="K43" s="17" t="inlineStr">
        <is>
          <t>Pending Execution</t>
        </is>
      </c>
      <c r="L43" s="16" t="inlineStr">
        <is>
          <t>High</t>
        </is>
      </c>
      <c r="M43" s="16" t="inlineStr">
        <is>
          <t>Major</t>
        </is>
      </c>
      <c r="N43" s="18" t="inlineStr">
        <is>
          <t>Not Executed</t>
        </is>
      </c>
      <c r="O43" s="17" t="inlineStr">
        <is>
          <t>evidence/app-and-042_screenshot.png</t>
        </is>
      </c>
      <c r="P43" s="17" t="inlineStr">
        <is>
          <t>Automated baseline generation</t>
        </is>
      </c>
    </row>
    <row r="44" ht="36" customHeight="1">
      <c r="A44" s="16" t="inlineStr">
        <is>
          <t>APP-AND-043</t>
        </is>
      </c>
      <c r="B44" s="16" t="inlineStr">
        <is>
          <t>Appium Android E2E Testing</t>
        </is>
      </c>
      <c r="C44" s="17" t="inlineStr">
        <is>
          <t>Onboarding</t>
        </is>
      </c>
      <c r="D44" s="17" t="inlineStr">
        <is>
          <t>Verify device orientation toggle (Portrait to Landscape) for Android Onboarding</t>
        </is>
      </c>
      <c r="E44" s="17" t="inlineStr">
        <is>
          <t>Android E2E - Onboarding - Verify device orientation toggle (Portrait to Landscape) (#43)</t>
        </is>
      </c>
      <c r="F44" s="17" t="inlineStr">
        <is>
          <t>Verify native Android application behavior for Onboarding using Appium automation.</t>
        </is>
      </c>
      <c r="G44" s="17" t="inlineStr">
        <is>
          <t>NutriFit APK installed on Android Emulator/Device (API level 33+), Appium session running.</t>
        </is>
      </c>
      <c r="H44" s="17" t="inlineStr">
        <is>
          <t>1. Launch Appium driver session.
2. Open Onboarding view via native element selector.
3. Trigger device rotation to landscape, verify view adaptation.
4. Verify UI state.</t>
        </is>
      </c>
      <c r="I44" s="17" t="inlineStr">
        <is>
          <t>Device: Pixel 7 Pro (API 34), Package: com.nutrifit.app, Module: Onboarding</t>
        </is>
      </c>
      <c r="J44" s="17" t="inlineStr">
        <is>
          <t>UI resizes responsively in landscape without clipping key buttons. for Onboarding screen on Android.</t>
        </is>
      </c>
      <c r="K44" s="17" t="inlineStr">
        <is>
          <t>Pending Execution</t>
        </is>
      </c>
      <c r="L44" s="16" t="inlineStr">
        <is>
          <t>Medium</t>
        </is>
      </c>
      <c r="M44" s="16" t="inlineStr">
        <is>
          <t>Moderate</t>
        </is>
      </c>
      <c r="N44" s="18" t="inlineStr">
        <is>
          <t>Not Executed</t>
        </is>
      </c>
      <c r="O44" s="17" t="inlineStr">
        <is>
          <t>evidence/app-and-043_screenshot.png</t>
        </is>
      </c>
      <c r="P44" s="17" t="inlineStr">
        <is>
          <t>Automated baseline generation</t>
        </is>
      </c>
    </row>
    <row r="45" ht="36" customHeight="1">
      <c r="A45" s="16" t="inlineStr">
        <is>
          <t>APP-AND-044</t>
        </is>
      </c>
      <c r="B45" s="16" t="inlineStr">
        <is>
          <t>Appium Android E2E Testing</t>
        </is>
      </c>
      <c r="C45" s="17" t="inlineStr">
        <is>
          <t>Dashboard</t>
        </is>
      </c>
      <c r="D45" s="17" t="inlineStr">
        <is>
          <t>Verify system notification banner pop-up and tap action for Android Dashboard</t>
        </is>
      </c>
      <c r="E45" s="17" t="inlineStr">
        <is>
          <t>Android E2E - Dashboard - Verify system notification banner pop-up and tap action (#44)</t>
        </is>
      </c>
      <c r="F45" s="17" t="inlineStr">
        <is>
          <t>Verify native Android application behavior for Dashboard using Appium automation.</t>
        </is>
      </c>
      <c r="G45" s="17" t="inlineStr">
        <is>
          <t>NutriFit APK installed on Android Emulator/Device (API level 33+), Appium session running.</t>
        </is>
      </c>
      <c r="H45" s="17" t="inlineStr">
        <is>
          <t>1. Launch Appium driver session.
2. Open Dashboard view via native element selector.
3. Trigger local push alert, pull down Android notification shade, tap notification.
4. Verify UI state.</t>
        </is>
      </c>
      <c r="I45" s="17" t="inlineStr">
        <is>
          <t>Device: Pixel 7 Pro (API 34), Package: com.nutrifit.app, Module: Dashboard</t>
        </is>
      </c>
      <c r="J45" s="17" t="inlineStr">
        <is>
          <t>App opens target screen specified in notification payload. for Dashboard screen on Android.</t>
        </is>
      </c>
      <c r="K45" s="17" t="inlineStr">
        <is>
          <t>Pending Execution</t>
        </is>
      </c>
      <c r="L45" s="16" t="inlineStr">
        <is>
          <t>High</t>
        </is>
      </c>
      <c r="M45" s="16" t="inlineStr">
        <is>
          <t>Moderate</t>
        </is>
      </c>
      <c r="N45" s="18" t="inlineStr">
        <is>
          <t>Not Executed</t>
        </is>
      </c>
      <c r="O45" s="17" t="inlineStr">
        <is>
          <t>evidence/app-and-044_screenshot.png</t>
        </is>
      </c>
      <c r="P45" s="17" t="inlineStr">
        <is>
          <t>Automated baseline generation</t>
        </is>
      </c>
    </row>
    <row r="46" ht="36" customHeight="1">
      <c r="A46" s="16" t="inlineStr">
        <is>
          <t>APP-AND-045</t>
        </is>
      </c>
      <c r="B46" s="16" t="inlineStr">
        <is>
          <t>Appium Android E2E Testing</t>
        </is>
      </c>
      <c r="C46" s="17" t="inlineStr">
        <is>
          <t>Profile</t>
        </is>
      </c>
      <c r="D46" s="17" t="inlineStr">
        <is>
          <t>Verify biometric authentication prompt (Fingerprint/Face) for Android Profile</t>
        </is>
      </c>
      <c r="E46" s="17" t="inlineStr">
        <is>
          <t>Android E2E - Profile - Verify biometric authentication prompt (Fingerprint/Face) (#45)</t>
        </is>
      </c>
      <c r="F46" s="17" t="inlineStr">
        <is>
          <t>Verify native Android application behavior for Profile using Appium automation.</t>
        </is>
      </c>
      <c r="G46" s="17" t="inlineStr">
        <is>
          <t>NutriFit APK installed on Android Emulator/Device (API level 33+), Appium session running.</t>
        </is>
      </c>
      <c r="H46" s="17" t="inlineStr">
        <is>
          <t>1. Launch Appium driver session.
2. Open Profile view via native element selector.
3. Trigger sensitive action requiring biometric authentication.
4. Verify UI state.</t>
        </is>
      </c>
      <c r="I46" s="17" t="inlineStr">
        <is>
          <t>Device: Pixel 7 Pro (API 34), Package: com.nutrifit.app, Module: Profile</t>
        </is>
      </c>
      <c r="J46" s="17" t="inlineStr">
        <is>
          <t>Native Android BiometricPrompt appears; success unlocks target view. for Profile screen on Android.</t>
        </is>
      </c>
      <c r="K46" s="17" t="inlineStr">
        <is>
          <t>Pending Execution</t>
        </is>
      </c>
      <c r="L46" s="16" t="inlineStr">
        <is>
          <t>Medium</t>
        </is>
      </c>
      <c r="M46" s="16" t="inlineStr">
        <is>
          <t>Major</t>
        </is>
      </c>
      <c r="N46" s="18" t="inlineStr">
        <is>
          <t>Not Executed</t>
        </is>
      </c>
      <c r="O46" s="17" t="inlineStr">
        <is>
          <t>evidence/app-and-045_screenshot.png</t>
        </is>
      </c>
      <c r="P46" s="17" t="inlineStr">
        <is>
          <t>Automated baseline generation</t>
        </is>
      </c>
    </row>
    <row r="47" ht="36" customHeight="1">
      <c r="A47" s="16" t="inlineStr">
        <is>
          <t>APP-AND-046</t>
        </is>
      </c>
      <c r="B47" s="16" t="inlineStr">
        <is>
          <t>Appium Android E2E Testing</t>
        </is>
      </c>
      <c r="C47" s="17" t="inlineStr">
        <is>
          <t>Language Settings</t>
        </is>
      </c>
      <c r="D47" s="17" t="inlineStr">
        <is>
          <t>Verify camera permission request dialog and image capture for Android Language Settings</t>
        </is>
      </c>
      <c r="E47" s="17" t="inlineStr">
        <is>
          <t>Android E2E - Language Settings - Verify camera permission request dialog and image capture (#46)</t>
        </is>
      </c>
      <c r="F47" s="17" t="inlineStr">
        <is>
          <t>Verify native Android application behavior for Language Settings using Appium automation.</t>
        </is>
      </c>
      <c r="G47" s="17" t="inlineStr">
        <is>
          <t>NutriFit APK installed on Android Emulator/Device (API level 33+), Appium session running.</t>
        </is>
      </c>
      <c r="H47" s="17" t="inlineStr">
        <is>
          <t>1. Launch Appium driver session.
2. Open Language Settings view via native element selector.
3. Tap photo upload button, handle system permission dialog, capture photo.
4. Verify UI state.</t>
        </is>
      </c>
      <c r="I47" s="17" t="inlineStr">
        <is>
          <t>Device: Pixel 7 Pro (API 34), Package: com.nutrifit.app, Module: Language Settings</t>
        </is>
      </c>
      <c r="J47" s="17" t="inlineStr">
        <is>
          <t>Permission granted dialog works; captured image sets profile/meal avatar. for Language Settings screen on Android.</t>
        </is>
      </c>
      <c r="K47" s="17" t="inlineStr">
        <is>
          <t>Pending Execution</t>
        </is>
      </c>
      <c r="L47" s="16" t="inlineStr">
        <is>
          <t>High</t>
        </is>
      </c>
      <c r="M47" s="16" t="inlineStr">
        <is>
          <t>Moderate</t>
        </is>
      </c>
      <c r="N47" s="18" t="inlineStr">
        <is>
          <t>Not Executed</t>
        </is>
      </c>
      <c r="O47" s="17" t="inlineStr">
        <is>
          <t>evidence/app-and-046_screenshot.png</t>
        </is>
      </c>
      <c r="P47" s="17" t="inlineStr">
        <is>
          <t>Automated baseline generation</t>
        </is>
      </c>
    </row>
    <row r="48" ht="36" customHeight="1">
      <c r="A48" s="16" t="inlineStr">
        <is>
          <t>APP-AND-047</t>
        </is>
      </c>
      <c r="B48" s="16" t="inlineStr">
        <is>
          <t>Appium Android E2E Testing</t>
        </is>
      </c>
      <c r="C48" s="17" t="inlineStr">
        <is>
          <t>AI Trainer</t>
        </is>
      </c>
      <c r="D48" s="17" t="inlineStr">
        <is>
          <t>Verify deep link url execution on Android device for Android AI Trainer</t>
        </is>
      </c>
      <c r="E48" s="17" t="inlineStr">
        <is>
          <t>Android E2E - AI Trainer - Verify deep link url execution on Android device (#47)</t>
        </is>
      </c>
      <c r="F48" s="17" t="inlineStr">
        <is>
          <t>Verify native Android application behavior for AI Trainer using Appium automation.</t>
        </is>
      </c>
      <c r="G48" s="17" t="inlineStr">
        <is>
          <t>NutriFit APK installed on Android Emulator/Device (API level 33+), Appium session running.</t>
        </is>
      </c>
      <c r="H48" s="17" t="inlineStr">
        <is>
          <t>1. Launch Appium driver session.
2. Open AI Trainer view via native element selector.
3. Execute adb command to launch deep link URI target into app.
4. Verify UI state.</t>
        </is>
      </c>
      <c r="I48" s="17" t="inlineStr">
        <is>
          <t>Device: Pixel 7 Pro (API 34), Package: com.nutrifit.app, Module: AI Trainer</t>
        </is>
      </c>
      <c r="J48" s="17" t="inlineStr">
        <is>
          <t>App launches directly into target product details view. for AI Trainer screen on Android.</t>
        </is>
      </c>
      <c r="K48" s="17" t="inlineStr">
        <is>
          <t>Pending Execution</t>
        </is>
      </c>
      <c r="L48" s="16" t="inlineStr">
        <is>
          <t>Medium</t>
        </is>
      </c>
      <c r="M48" s="16" t="inlineStr">
        <is>
          <t>Moderate</t>
        </is>
      </c>
      <c r="N48" s="18" t="inlineStr">
        <is>
          <t>Not Executed</t>
        </is>
      </c>
      <c r="O48" s="17" t="inlineStr">
        <is>
          <t>evidence/app-and-047_screenshot.png</t>
        </is>
      </c>
      <c r="P48" s="17" t="inlineStr">
        <is>
          <t>Automated baseline generation</t>
        </is>
      </c>
    </row>
    <row r="49" ht="36" customHeight="1">
      <c r="A49" s="16" t="inlineStr">
        <is>
          <t>APP-AND-048</t>
        </is>
      </c>
      <c r="B49" s="16" t="inlineStr">
        <is>
          <t>Appium Android E2E Testing</t>
        </is>
      </c>
      <c r="C49" s="17" t="inlineStr">
        <is>
          <t>Workout Plan</t>
        </is>
      </c>
      <c r="D49" s="17" t="inlineStr">
        <is>
          <t>Verify app backgrounding and resume lifecycle state for Android Workout Plan</t>
        </is>
      </c>
      <c r="E49" s="17" t="inlineStr">
        <is>
          <t>Android E2E - Workout Plan - Verify app backgrounding and resume lifecycle state (#48)</t>
        </is>
      </c>
      <c r="F49" s="17" t="inlineStr">
        <is>
          <t>Verify native Android application behavior for Workout Plan using Appium automation.</t>
        </is>
      </c>
      <c r="G49" s="17" t="inlineStr">
        <is>
          <t>NutriFit APK installed on Android Emulator/Device (API level 33+), Appium session running.</t>
        </is>
      </c>
      <c r="H49" s="17" t="inlineStr">
        <is>
          <t>1. Launch Appium driver session.
2. Open Workout Plan view via native element selector.
3. Press Home button to send app to background for 30s, then re-open app.
4. Verify UI state.</t>
        </is>
      </c>
      <c r="I49" s="17" t="inlineStr">
        <is>
          <t>Device: Pixel 7 Pro (API 34), Package: com.nutrifit.app, Module: Workout Plan</t>
        </is>
      </c>
      <c r="J49" s="17" t="inlineStr">
        <is>
          <t>App resumes state intact without memory leak or session logout. for Workout Plan screen on Android.</t>
        </is>
      </c>
      <c r="K49" s="17" t="inlineStr">
        <is>
          <t>Pending Execution</t>
        </is>
      </c>
      <c r="L49" s="16" t="inlineStr">
        <is>
          <t>High</t>
        </is>
      </c>
      <c r="M49" s="16" t="inlineStr">
        <is>
          <t>Major</t>
        </is>
      </c>
      <c r="N49" s="18" t="inlineStr">
        <is>
          <t>Not Executed</t>
        </is>
      </c>
      <c r="O49" s="17" t="inlineStr">
        <is>
          <t>evidence/app-and-048_screenshot.png</t>
        </is>
      </c>
      <c r="P49" s="17" t="inlineStr">
        <is>
          <t>Automated baseline generation</t>
        </is>
      </c>
    </row>
    <row r="50" ht="36" customHeight="1">
      <c r="A50" s="16" t="inlineStr">
        <is>
          <t>APP-AND-049</t>
        </is>
      </c>
      <c r="B50" s="16" t="inlineStr">
        <is>
          <t>Appium Android E2E Testing</t>
        </is>
      </c>
      <c r="C50" s="17" t="inlineStr">
        <is>
          <t>Diet Plan</t>
        </is>
      </c>
      <c r="D50" s="17" t="inlineStr">
        <is>
          <t>Verify dark theme integration with Android system settings for Android Diet Plan</t>
        </is>
      </c>
      <c r="E50" s="17" t="inlineStr">
        <is>
          <t>Android E2E - Diet Plan - Verify dark theme integration with Android system settings (#49)</t>
        </is>
      </c>
      <c r="F50" s="17" t="inlineStr">
        <is>
          <t>Verify native Android application behavior for Diet Plan using Appium automation.</t>
        </is>
      </c>
      <c r="G50" s="17" t="inlineStr">
        <is>
          <t>NutriFit APK installed on Android Emulator/Device (API level 33+), Appium session running.</t>
        </is>
      </c>
      <c r="H50" s="17" t="inlineStr">
        <is>
          <t>1. Launch Appium driver session.
2. Open Diet Plan view via native element selector.
3. Toggle system-wide Android Dark Theme switch from quick settings.
4. Verify UI state.</t>
        </is>
      </c>
      <c r="I50" s="17" t="inlineStr">
        <is>
          <t>Device: Pixel 7 Pro (API 34), Package: com.nutrifit.app, Module: Diet Plan</t>
        </is>
      </c>
      <c r="J50" s="17" t="inlineStr">
        <is>
          <t>NutriFit automatically adapts to OS dark theme preference. for Diet Plan screen on Android.</t>
        </is>
      </c>
      <c r="K50" s="17" t="inlineStr">
        <is>
          <t>Pending Execution</t>
        </is>
      </c>
      <c r="L50" s="16" t="inlineStr">
        <is>
          <t>Medium</t>
        </is>
      </c>
      <c r="M50" s="16" t="inlineStr">
        <is>
          <t>Moderate</t>
        </is>
      </c>
      <c r="N50" s="18" t="inlineStr">
        <is>
          <t>Not Executed</t>
        </is>
      </c>
      <c r="O50" s="17" t="inlineStr">
        <is>
          <t>evidence/app-and-049_screenshot.png</t>
        </is>
      </c>
      <c r="P50" s="17" t="inlineStr">
        <is>
          <t>Automated baseline generation</t>
        </is>
      </c>
    </row>
    <row r="51" ht="36" customHeight="1">
      <c r="A51" s="16" t="inlineStr">
        <is>
          <t>APP-AND-050</t>
        </is>
      </c>
      <c r="B51" s="16" t="inlineStr">
        <is>
          <t>Appium Android E2E Testing</t>
        </is>
      </c>
      <c r="C51" s="17" t="inlineStr">
        <is>
          <t>Budget Diet Plan</t>
        </is>
      </c>
      <c r="D51" s="17" t="inlineStr">
        <is>
          <t>Verify offline cached state when switching Airplane mode for Android Budget Diet Plan</t>
        </is>
      </c>
      <c r="E51" s="17" t="inlineStr">
        <is>
          <t>Android E2E - Budget Diet Plan - Verify offline cached state when switching Airplane mode (#50)</t>
        </is>
      </c>
      <c r="F51" s="17" t="inlineStr">
        <is>
          <t>Verify native Android application behavior for Budget Diet Plan using Appium automation.</t>
        </is>
      </c>
      <c r="G51" s="17" t="inlineStr">
        <is>
          <t>NutriFit APK installed on Android Emulator/Device (API level 33+), Appium session running.</t>
        </is>
      </c>
      <c r="H51" s="17" t="inlineStr">
        <is>
          <t>1. Launch Appium driver session.
2. Open Budget Diet Plan view via native element selector.
3. Turn on Airplane Mode on device, navigate app screens.
4. Verify UI state.</t>
        </is>
      </c>
      <c r="I51" s="17" t="inlineStr">
        <is>
          <t>Device: Pixel 7 Pro (API 34), Package: com.nutrifit.app, Module: Budget Diet Plan</t>
        </is>
      </c>
      <c r="J51" s="17" t="inlineStr">
        <is>
          <t>App displays offline warning banner while serving cached data gracefully. for Budget Diet Plan screen on Android.</t>
        </is>
      </c>
      <c r="K51" s="17" t="inlineStr">
        <is>
          <t>Pending Execution</t>
        </is>
      </c>
      <c r="L51" s="16" t="inlineStr">
        <is>
          <t>High</t>
        </is>
      </c>
      <c r="M51" s="16" t="inlineStr">
        <is>
          <t>Moderate</t>
        </is>
      </c>
      <c r="N51" s="18" t="inlineStr">
        <is>
          <t>Not Executed</t>
        </is>
      </c>
      <c r="O51" s="17" t="inlineStr">
        <is>
          <t>evidence/app-and-050_screenshot.png</t>
        </is>
      </c>
      <c r="P51" s="17" t="inlineStr">
        <is>
          <t>Automated baseline generation</t>
        </is>
      </c>
    </row>
    <row r="52" ht="36" customHeight="1">
      <c r="A52" s="16" t="inlineStr">
        <is>
          <t>APP-AND-051</t>
        </is>
      </c>
      <c r="B52" s="16" t="inlineStr">
        <is>
          <t>Appium Android E2E Testing</t>
        </is>
      </c>
      <c r="C52" s="17" t="inlineStr">
        <is>
          <t>Stretching and Warm-up</t>
        </is>
      </c>
      <c r="D52" s="17" t="inlineStr">
        <is>
          <t>Verify native touch swipe and scroll gestures for Android Stretching and Warm-up</t>
        </is>
      </c>
      <c r="E52" s="17" t="inlineStr">
        <is>
          <t>Android E2E - Stretching and Warm-up - Verify native touch swipe and scroll gestures (#51)</t>
        </is>
      </c>
      <c r="F52" s="17" t="inlineStr">
        <is>
          <t>Verify native Android application behavior for Stretching and Warm-up using Appium automation.</t>
        </is>
      </c>
      <c r="G52" s="17" t="inlineStr">
        <is>
          <t>NutriFit APK installed on Android Emulator/Device (API level 33+), Appium session running.</t>
        </is>
      </c>
      <c r="H52" s="17" t="inlineStr">
        <is>
          <t>1. Launch Appium driver session.
2. Open Stretching and Warm-up view via native element selector.
3. Perform vertical swipe gesture on scrollable listview container.
4. Verify UI state.</t>
        </is>
      </c>
      <c r="I52" s="17" t="inlineStr">
        <is>
          <t>Device: Pixel 7 Pro (API 34), Package: com.nutrifit.app, Module: Stretching and Warm-up</t>
        </is>
      </c>
      <c r="J52" s="17" t="inlineStr">
        <is>
          <t>Container scrolls smoothly without frame drops or touch drag locking. for Stretching and Warm-up screen on Android.</t>
        </is>
      </c>
      <c r="K52" s="17" t="inlineStr">
        <is>
          <t>Pending Execution</t>
        </is>
      </c>
      <c r="L52" s="16" t="inlineStr">
        <is>
          <t>Medium</t>
        </is>
      </c>
      <c r="M52" s="16" t="inlineStr">
        <is>
          <t>Major</t>
        </is>
      </c>
      <c r="N52" s="18" t="inlineStr">
        <is>
          <t>Not Executed</t>
        </is>
      </c>
      <c r="O52" s="17" t="inlineStr">
        <is>
          <t>evidence/app-and-051_screenshot.png</t>
        </is>
      </c>
      <c r="P52" s="17" t="inlineStr">
        <is>
          <t>Automated baseline generation</t>
        </is>
      </c>
    </row>
    <row r="53" ht="36" customHeight="1">
      <c r="A53" s="16" t="inlineStr">
        <is>
          <t>APP-AND-052</t>
        </is>
      </c>
      <c r="B53" s="16" t="inlineStr">
        <is>
          <t>Appium Android E2E Testing</t>
        </is>
      </c>
      <c r="C53" s="17" t="inlineStr">
        <is>
          <t>Water Tracker</t>
        </is>
      </c>
      <c r="D53" s="17" t="inlineStr">
        <is>
          <t>Verify hardware back button behavior for Android Water Tracker</t>
        </is>
      </c>
      <c r="E53" s="17" t="inlineStr">
        <is>
          <t>Android E2E - Water Tracker - Verify hardware back button behavior (#52)</t>
        </is>
      </c>
      <c r="F53" s="17" t="inlineStr">
        <is>
          <t>Verify native Android application behavior for Water Tracker using Appium automation.</t>
        </is>
      </c>
      <c r="G53" s="17" t="inlineStr">
        <is>
          <t>NutriFit APK installed on Android Emulator/Device (API level 33+), Appium session running.</t>
        </is>
      </c>
      <c r="H53" s="17" t="inlineStr">
        <is>
          <t>1. Launch Appium driver session.
2. Open Water Tracker view via native element selector.
3. Navigate deep into feature stack, press hardware back button.
4. Verify UI state.</t>
        </is>
      </c>
      <c r="I53" s="17" t="inlineStr">
        <is>
          <t>Device: Pixel 7 Pro (API 34), Package: com.nutrifit.app, Module: Water Tracker</t>
        </is>
      </c>
      <c r="J53" s="17" t="inlineStr">
        <is>
          <t>App returns to previous screen cleanly without exiting app unexpectedly. for Water Tracker screen on Android.</t>
        </is>
      </c>
      <c r="K53" s="17" t="inlineStr">
        <is>
          <t>Pending Execution</t>
        </is>
      </c>
      <c r="L53" s="16" t="inlineStr">
        <is>
          <t>High</t>
        </is>
      </c>
      <c r="M53" s="16" t="inlineStr">
        <is>
          <t>Moderate</t>
        </is>
      </c>
      <c r="N53" s="18" t="inlineStr">
        <is>
          <t>Not Executed</t>
        </is>
      </c>
      <c r="O53" s="17" t="inlineStr">
        <is>
          <t>evidence/app-and-052_screenshot.png</t>
        </is>
      </c>
      <c r="P53" s="17" t="inlineStr">
        <is>
          <t>Automated baseline generation</t>
        </is>
      </c>
    </row>
    <row r="54" ht="36" customHeight="1">
      <c r="A54" s="16" t="inlineStr">
        <is>
          <t>APP-AND-053</t>
        </is>
      </c>
      <c r="B54" s="16" t="inlineStr">
        <is>
          <t>Appium Android E2E Testing</t>
        </is>
      </c>
      <c r="C54" s="17" t="inlineStr">
        <is>
          <t>Sleep Tracker</t>
        </is>
      </c>
      <c r="D54" s="17" t="inlineStr">
        <is>
          <t>Verify device orientation toggle (Portrait to Landscape) for Android Sleep Tracker</t>
        </is>
      </c>
      <c r="E54" s="17" t="inlineStr">
        <is>
          <t>Android E2E - Sleep Tracker - Verify device orientation toggle (Portrait to Landscape) (#53)</t>
        </is>
      </c>
      <c r="F54" s="17" t="inlineStr">
        <is>
          <t>Verify native Android application behavior for Sleep Tracker using Appium automation.</t>
        </is>
      </c>
      <c r="G54" s="17" t="inlineStr">
        <is>
          <t>NutriFit APK installed on Android Emulator/Device (API level 33+), Appium session running.</t>
        </is>
      </c>
      <c r="H54" s="17" t="inlineStr">
        <is>
          <t>1. Launch Appium driver session.
2. Open Sleep Tracker view via native element selector.
3. Trigger device rotation to landscape, verify view adaptation.
4. Verify UI state.</t>
        </is>
      </c>
      <c r="I54" s="17" t="inlineStr">
        <is>
          <t>Device: Pixel 7 Pro (API 34), Package: com.nutrifit.app, Module: Sleep Tracker</t>
        </is>
      </c>
      <c r="J54" s="17" t="inlineStr">
        <is>
          <t>UI resizes responsively in landscape without clipping key buttons. for Sleep Tracker screen on Android.</t>
        </is>
      </c>
      <c r="K54" s="17" t="inlineStr">
        <is>
          <t>Pending Execution</t>
        </is>
      </c>
      <c r="L54" s="16" t="inlineStr">
        <is>
          <t>Medium</t>
        </is>
      </c>
      <c r="M54" s="16" t="inlineStr">
        <is>
          <t>Moderate</t>
        </is>
      </c>
      <c r="N54" s="18" t="inlineStr">
        <is>
          <t>Not Executed</t>
        </is>
      </c>
      <c r="O54" s="17" t="inlineStr">
        <is>
          <t>evidence/app-and-053_screenshot.png</t>
        </is>
      </c>
      <c r="P54" s="17" t="inlineStr">
        <is>
          <t>Automated baseline generation</t>
        </is>
      </c>
    </row>
    <row r="55" ht="36" customHeight="1">
      <c r="A55" s="16" t="inlineStr">
        <is>
          <t>APP-AND-054</t>
        </is>
      </c>
      <c r="B55" s="16" t="inlineStr">
        <is>
          <t>Appium Android E2E Testing</t>
        </is>
      </c>
      <c r="C55" s="17" t="inlineStr">
        <is>
          <t>Step Tracker</t>
        </is>
      </c>
      <c r="D55" s="17" t="inlineStr">
        <is>
          <t>Verify system notification banner pop-up and tap action for Android Step Tracker</t>
        </is>
      </c>
      <c r="E55" s="17" t="inlineStr">
        <is>
          <t>Android E2E - Step Tracker - Verify system notification banner pop-up and tap action (#54)</t>
        </is>
      </c>
      <c r="F55" s="17" t="inlineStr">
        <is>
          <t>Verify native Android application behavior for Step Tracker using Appium automation.</t>
        </is>
      </c>
      <c r="G55" s="17" t="inlineStr">
        <is>
          <t>NutriFit APK installed on Android Emulator/Device (API level 33+), Appium session running.</t>
        </is>
      </c>
      <c r="H55" s="17" t="inlineStr">
        <is>
          <t>1. Launch Appium driver session.
2. Open Step Tracker view via native element selector.
3. Trigger local push alert, pull down Android notification shade, tap notification.
4. Verify UI state.</t>
        </is>
      </c>
      <c r="I55" s="17" t="inlineStr">
        <is>
          <t>Device: Pixel 7 Pro (API 34), Package: com.nutrifit.app, Module: Step Tracker</t>
        </is>
      </c>
      <c r="J55" s="17" t="inlineStr">
        <is>
          <t>App opens target screen specified in notification payload. for Step Tracker screen on Android.</t>
        </is>
      </c>
      <c r="K55" s="17" t="inlineStr">
        <is>
          <t>Pending Execution</t>
        </is>
      </c>
      <c r="L55" s="16" t="inlineStr">
        <is>
          <t>High</t>
        </is>
      </c>
      <c r="M55" s="16" t="inlineStr">
        <is>
          <t>Major</t>
        </is>
      </c>
      <c r="N55" s="18" t="inlineStr">
        <is>
          <t>Not Executed</t>
        </is>
      </c>
      <c r="O55" s="17" t="inlineStr">
        <is>
          <t>evidence/app-and-054_screenshot.png</t>
        </is>
      </c>
      <c r="P55" s="17" t="inlineStr">
        <is>
          <t>Automated baseline generation</t>
        </is>
      </c>
    </row>
    <row r="56" ht="36" customHeight="1">
      <c r="A56" s="16" t="inlineStr">
        <is>
          <t>APP-AND-055</t>
        </is>
      </c>
      <c r="B56" s="16" t="inlineStr">
        <is>
          <t>Appium Android E2E Testing</t>
        </is>
      </c>
      <c r="C56" s="17" t="inlineStr">
        <is>
          <t>Calorie Calculator</t>
        </is>
      </c>
      <c r="D56" s="17" t="inlineStr">
        <is>
          <t>Verify biometric authentication prompt (Fingerprint/Face) for Android Calorie Calculator</t>
        </is>
      </c>
      <c r="E56" s="17" t="inlineStr">
        <is>
          <t>Android E2E - Calorie Calculator - Verify biometric authentication prompt (Fingerprint/Face) (#55)</t>
        </is>
      </c>
      <c r="F56" s="17" t="inlineStr">
        <is>
          <t>Verify native Android application behavior for Calorie Calculator using Appium automation.</t>
        </is>
      </c>
      <c r="G56" s="17" t="inlineStr">
        <is>
          <t>NutriFit APK installed on Android Emulator/Device (API level 33+), Appium session running.</t>
        </is>
      </c>
      <c r="H56" s="17" t="inlineStr">
        <is>
          <t>1. Launch Appium driver session.
2. Open Calorie Calculator view via native element selector.
3. Trigger sensitive action requiring biometric authentication.
4. Verify UI state.</t>
        </is>
      </c>
      <c r="I56" s="17" t="inlineStr">
        <is>
          <t>Device: Pixel 7 Pro (API 34), Package: com.nutrifit.app, Module: Calorie Calculator</t>
        </is>
      </c>
      <c r="J56" s="17" t="inlineStr">
        <is>
          <t>Native Android BiometricPrompt appears; success unlocks target view. for Calorie Calculator screen on Android.</t>
        </is>
      </c>
      <c r="K56" s="17" t="inlineStr">
        <is>
          <t>Pending Execution</t>
        </is>
      </c>
      <c r="L56" s="16" t="inlineStr">
        <is>
          <t>Medium</t>
        </is>
      </c>
      <c r="M56" s="16" t="inlineStr">
        <is>
          <t>Moderate</t>
        </is>
      </c>
      <c r="N56" s="18" t="inlineStr">
        <is>
          <t>Not Executed</t>
        </is>
      </c>
      <c r="O56" s="17" t="inlineStr">
        <is>
          <t>evidence/app-and-055_screenshot.png</t>
        </is>
      </c>
      <c r="P56" s="17" t="inlineStr">
        <is>
          <t>Automated baseline generation</t>
        </is>
      </c>
    </row>
    <row r="57" ht="36" customHeight="1">
      <c r="A57" s="16" t="inlineStr">
        <is>
          <t>APP-AND-056</t>
        </is>
      </c>
      <c r="B57" s="16" t="inlineStr">
        <is>
          <t>Appium Android E2E Testing</t>
        </is>
      </c>
      <c r="C57" s="17" t="inlineStr">
        <is>
          <t>Meal Reminder</t>
        </is>
      </c>
      <c r="D57" s="17" t="inlineStr">
        <is>
          <t>Verify camera permission request dialog and image capture for Android Meal Reminder</t>
        </is>
      </c>
      <c r="E57" s="17" t="inlineStr">
        <is>
          <t>Android E2E - Meal Reminder - Verify camera permission request dialog and image capture (#56)</t>
        </is>
      </c>
      <c r="F57" s="17" t="inlineStr">
        <is>
          <t>Verify native Android application behavior for Meal Reminder using Appium automation.</t>
        </is>
      </c>
      <c r="G57" s="17" t="inlineStr">
        <is>
          <t>NutriFit APK installed on Android Emulator/Device (API level 33+), Appium session running.</t>
        </is>
      </c>
      <c r="H57" s="17" t="inlineStr">
        <is>
          <t>1. Launch Appium driver session.
2. Open Meal Reminder view via native element selector.
3. Tap photo upload button, handle system permission dialog, capture photo.
4. Verify UI state.</t>
        </is>
      </c>
      <c r="I57" s="17" t="inlineStr">
        <is>
          <t>Device: Pixel 7 Pro (API 34), Package: com.nutrifit.app, Module: Meal Reminder</t>
        </is>
      </c>
      <c r="J57" s="17" t="inlineStr">
        <is>
          <t>Permission granted dialog works; captured image sets profile/meal avatar. for Meal Reminder screen on Android.</t>
        </is>
      </c>
      <c r="K57" s="17" t="inlineStr">
        <is>
          <t>Pending Execution</t>
        </is>
      </c>
      <c r="L57" s="16" t="inlineStr">
        <is>
          <t>High</t>
        </is>
      </c>
      <c r="M57" s="16" t="inlineStr">
        <is>
          <t>Moderate</t>
        </is>
      </c>
      <c r="N57" s="18" t="inlineStr">
        <is>
          <t>Not Executed</t>
        </is>
      </c>
      <c r="O57" s="17" t="inlineStr">
        <is>
          <t>evidence/app-and-056_screenshot.png</t>
        </is>
      </c>
      <c r="P57" s="17" t="inlineStr">
        <is>
          <t>Automated baseline generation</t>
        </is>
      </c>
    </row>
    <row r="58" ht="36" customHeight="1">
      <c r="A58" s="16" t="inlineStr">
        <is>
          <t>APP-AND-057</t>
        </is>
      </c>
      <c r="B58" s="16" t="inlineStr">
        <is>
          <t>Appium Android E2E Testing</t>
        </is>
      </c>
      <c r="C58" s="17" t="inlineStr">
        <is>
          <t>Notifications</t>
        </is>
      </c>
      <c r="D58" s="17" t="inlineStr">
        <is>
          <t>Verify deep link url execution on Android device for Android Notifications</t>
        </is>
      </c>
      <c r="E58" s="17" t="inlineStr">
        <is>
          <t>Android E2E - Notifications - Verify deep link url execution on Android device (#57)</t>
        </is>
      </c>
      <c r="F58" s="17" t="inlineStr">
        <is>
          <t>Verify native Android application behavior for Notifications using Appium automation.</t>
        </is>
      </c>
      <c r="G58" s="17" t="inlineStr">
        <is>
          <t>NutriFit APK installed on Android Emulator/Device (API level 33+), Appium session running.</t>
        </is>
      </c>
      <c r="H58" s="17" t="inlineStr">
        <is>
          <t>1. Launch Appium driver session.
2. Open Notifications view via native element selector.
3. Execute adb command to launch deep link URI target into app.
4. Verify UI state.</t>
        </is>
      </c>
      <c r="I58" s="17" t="inlineStr">
        <is>
          <t>Device: Pixel 7 Pro (API 34), Package: com.nutrifit.app, Module: Notifications</t>
        </is>
      </c>
      <c r="J58" s="17" t="inlineStr">
        <is>
          <t>App launches directly into target product details view. for Notifications screen on Android.</t>
        </is>
      </c>
      <c r="K58" s="17" t="inlineStr">
        <is>
          <t>Pending Execution</t>
        </is>
      </c>
      <c r="L58" s="16" t="inlineStr">
        <is>
          <t>Medium</t>
        </is>
      </c>
      <c r="M58" s="16" t="inlineStr">
        <is>
          <t>Major</t>
        </is>
      </c>
      <c r="N58" s="18" t="inlineStr">
        <is>
          <t>Not Executed</t>
        </is>
      </c>
      <c r="O58" s="17" t="inlineStr">
        <is>
          <t>evidence/app-and-057_screenshot.png</t>
        </is>
      </c>
      <c r="P58" s="17" t="inlineStr">
        <is>
          <t>Automated baseline generation</t>
        </is>
      </c>
    </row>
    <row r="59" ht="36" customHeight="1">
      <c r="A59" s="16" t="inlineStr">
        <is>
          <t>APP-AND-058</t>
        </is>
      </c>
      <c r="B59" s="16" t="inlineStr">
        <is>
          <t>Appium Android E2E Testing</t>
        </is>
      </c>
      <c r="C59" s="17" t="inlineStr">
        <is>
          <t>Shop</t>
        </is>
      </c>
      <c r="D59" s="17" t="inlineStr">
        <is>
          <t>Verify app backgrounding and resume lifecycle state for Android Shop</t>
        </is>
      </c>
      <c r="E59" s="17" t="inlineStr">
        <is>
          <t>Android E2E - Shop - Verify app backgrounding and resume lifecycle state (#58)</t>
        </is>
      </c>
      <c r="F59" s="17" t="inlineStr">
        <is>
          <t>Verify native Android application behavior for Shop using Appium automation.</t>
        </is>
      </c>
      <c r="G59" s="17" t="inlineStr">
        <is>
          <t>NutriFit APK installed on Android Emulator/Device (API level 33+), Appium session running.</t>
        </is>
      </c>
      <c r="H59" s="17" t="inlineStr">
        <is>
          <t>1. Launch Appium driver session.
2. Open Shop view via native element selector.
3. Press Home button to send app to background for 30s, then re-open app.
4. Verify UI state.</t>
        </is>
      </c>
      <c r="I59" s="17" t="inlineStr">
        <is>
          <t>Device: Pixel 7 Pro (API 34), Package: com.nutrifit.app, Module: Shop</t>
        </is>
      </c>
      <c r="J59" s="17" t="inlineStr">
        <is>
          <t>App resumes state intact without memory leak or session logout. for Shop screen on Android.</t>
        </is>
      </c>
      <c r="K59" s="17" t="inlineStr">
        <is>
          <t>Pending Execution</t>
        </is>
      </c>
      <c r="L59" s="16" t="inlineStr">
        <is>
          <t>High</t>
        </is>
      </c>
      <c r="M59" s="16" t="inlineStr">
        <is>
          <t>Moderate</t>
        </is>
      </c>
      <c r="N59" s="18" t="inlineStr">
        <is>
          <t>Not Executed</t>
        </is>
      </c>
      <c r="O59" s="17" t="inlineStr">
        <is>
          <t>evidence/app-and-058_screenshot.png</t>
        </is>
      </c>
      <c r="P59" s="17" t="inlineStr">
        <is>
          <t>Automated baseline generation</t>
        </is>
      </c>
    </row>
    <row r="60" ht="36" customHeight="1">
      <c r="A60" s="16" t="inlineStr">
        <is>
          <t>APP-AND-059</t>
        </is>
      </c>
      <c r="B60" s="16" t="inlineStr">
        <is>
          <t>Appium Android E2E Testing</t>
        </is>
      </c>
      <c r="C60" s="17" t="inlineStr">
        <is>
          <t>Product Search and Filters</t>
        </is>
      </c>
      <c r="D60" s="17" t="inlineStr">
        <is>
          <t>Verify dark theme integration with Android system settings for Android Product Search and Filters</t>
        </is>
      </c>
      <c r="E60" s="17" t="inlineStr">
        <is>
          <t>Android E2E - Product Search and Filters - Verify dark theme integration with Android system settings (#59)</t>
        </is>
      </c>
      <c r="F60" s="17" t="inlineStr">
        <is>
          <t>Verify native Android application behavior for Product Search and Filters using Appium automation.</t>
        </is>
      </c>
      <c r="G60" s="17" t="inlineStr">
        <is>
          <t>NutriFit APK installed on Android Emulator/Device (API level 33+), Appium session running.</t>
        </is>
      </c>
      <c r="H60" s="17" t="inlineStr">
        <is>
          <t>1. Launch Appium driver session.
2. Open Product Search and Filters view via native element selector.
3. Toggle system-wide Android Dark Theme switch from quick settings.
4. Verify UI state.</t>
        </is>
      </c>
      <c r="I60" s="17" t="inlineStr">
        <is>
          <t>Device: Pixel 7 Pro (API 34), Package: com.nutrifit.app, Module: Product Search and Filters</t>
        </is>
      </c>
      <c r="J60" s="17" t="inlineStr">
        <is>
          <t>NutriFit automatically adapts to OS dark theme preference. for Product Search and Filters screen on Android.</t>
        </is>
      </c>
      <c r="K60" s="17" t="inlineStr">
        <is>
          <t>Pending Execution</t>
        </is>
      </c>
      <c r="L60" s="16" t="inlineStr">
        <is>
          <t>Medium</t>
        </is>
      </c>
      <c r="M60" s="16" t="inlineStr">
        <is>
          <t>Moderate</t>
        </is>
      </c>
      <c r="N60" s="18" t="inlineStr">
        <is>
          <t>Not Executed</t>
        </is>
      </c>
      <c r="O60" s="17" t="inlineStr">
        <is>
          <t>evidence/app-and-059_screenshot.png</t>
        </is>
      </c>
      <c r="P60" s="17" t="inlineStr">
        <is>
          <t>Automated baseline generation</t>
        </is>
      </c>
    </row>
    <row r="61" ht="36" customHeight="1">
      <c r="A61" s="16" t="inlineStr">
        <is>
          <t>APP-AND-060</t>
        </is>
      </c>
      <c r="B61" s="16" t="inlineStr">
        <is>
          <t>Appium Android E2E Testing</t>
        </is>
      </c>
      <c r="C61" s="17" t="inlineStr">
        <is>
          <t>Product Details</t>
        </is>
      </c>
      <c r="D61" s="17" t="inlineStr">
        <is>
          <t>Verify offline cached state when switching Airplane mode for Android Product Details</t>
        </is>
      </c>
      <c r="E61" s="17" t="inlineStr">
        <is>
          <t>Android E2E - Product Details - Verify offline cached state when switching Airplane mode (#60)</t>
        </is>
      </c>
      <c r="F61" s="17" t="inlineStr">
        <is>
          <t>Verify native Android application behavior for Product Details using Appium automation.</t>
        </is>
      </c>
      <c r="G61" s="17" t="inlineStr">
        <is>
          <t>NutriFit APK installed on Android Emulator/Device (API level 33+), Appium session running.</t>
        </is>
      </c>
      <c r="H61" s="17" t="inlineStr">
        <is>
          <t>1. Launch Appium driver session.
2. Open Product Details view via native element selector.
3. Turn on Airplane Mode on device, navigate app screens.
4. Verify UI state.</t>
        </is>
      </c>
      <c r="I61" s="17" t="inlineStr">
        <is>
          <t>Device: Pixel 7 Pro (API 34), Package: com.nutrifit.app, Module: Product Details</t>
        </is>
      </c>
      <c r="J61" s="17" t="inlineStr">
        <is>
          <t>App displays offline warning banner while serving cached data gracefully. for Product Details screen on Android.</t>
        </is>
      </c>
      <c r="K61" s="17" t="inlineStr">
        <is>
          <t>Pending Execution</t>
        </is>
      </c>
      <c r="L61" s="16" t="inlineStr">
        <is>
          <t>High</t>
        </is>
      </c>
      <c r="M61" s="16" t="inlineStr">
        <is>
          <t>Major</t>
        </is>
      </c>
      <c r="N61" s="18" t="inlineStr">
        <is>
          <t>Not Executed</t>
        </is>
      </c>
      <c r="O61" s="17" t="inlineStr">
        <is>
          <t>evidence/app-and-060_screenshot.png</t>
        </is>
      </c>
      <c r="P61" s="17" t="inlineStr">
        <is>
          <t>Automated baseline generation</t>
        </is>
      </c>
    </row>
    <row r="62" ht="36" customHeight="1">
      <c r="A62" s="16" t="inlineStr">
        <is>
          <t>APP-AND-061</t>
        </is>
      </c>
      <c r="B62" s="16" t="inlineStr">
        <is>
          <t>Appium Android E2E Testing</t>
        </is>
      </c>
      <c r="C62" s="17" t="inlineStr">
        <is>
          <t>Wishlist</t>
        </is>
      </c>
      <c r="D62" s="17" t="inlineStr">
        <is>
          <t>Verify native touch swipe and scroll gestures for Android Wishlist</t>
        </is>
      </c>
      <c r="E62" s="17" t="inlineStr">
        <is>
          <t>Android E2E - Wishlist - Verify native touch swipe and scroll gestures (#61)</t>
        </is>
      </c>
      <c r="F62" s="17" t="inlineStr">
        <is>
          <t>Verify native Android application behavior for Wishlist using Appium automation.</t>
        </is>
      </c>
      <c r="G62" s="17" t="inlineStr">
        <is>
          <t>NutriFit APK installed on Android Emulator/Device (API level 33+), Appium session running.</t>
        </is>
      </c>
      <c r="H62" s="17" t="inlineStr">
        <is>
          <t>1. Launch Appium driver session.
2. Open Wishlist view via native element selector.
3. Perform vertical swipe gesture on scrollable listview container.
4. Verify UI state.</t>
        </is>
      </c>
      <c r="I62" s="17" t="inlineStr">
        <is>
          <t>Device: Pixel 7 Pro (API 34), Package: com.nutrifit.app, Module: Wishlist</t>
        </is>
      </c>
      <c r="J62" s="17" t="inlineStr">
        <is>
          <t>Container scrolls smoothly without frame drops or touch drag locking. for Wishlist screen on Android.</t>
        </is>
      </c>
      <c r="K62" s="17" t="inlineStr">
        <is>
          <t>Pending Execution</t>
        </is>
      </c>
      <c r="L62" s="16" t="inlineStr">
        <is>
          <t>Medium</t>
        </is>
      </c>
      <c r="M62" s="16" t="inlineStr">
        <is>
          <t>Moderate</t>
        </is>
      </c>
      <c r="N62" s="18" t="inlineStr">
        <is>
          <t>Not Executed</t>
        </is>
      </c>
      <c r="O62" s="17" t="inlineStr">
        <is>
          <t>evidence/app-and-061_screenshot.png</t>
        </is>
      </c>
      <c r="P62" s="17" t="inlineStr">
        <is>
          <t>Automated baseline generation</t>
        </is>
      </c>
    </row>
    <row r="63" ht="36" customHeight="1">
      <c r="A63" s="16" t="inlineStr">
        <is>
          <t>APP-AND-062</t>
        </is>
      </c>
      <c r="B63" s="16" t="inlineStr">
        <is>
          <t>Appium Android E2E Testing</t>
        </is>
      </c>
      <c r="C63" s="17" t="inlineStr">
        <is>
          <t>Cart</t>
        </is>
      </c>
      <c r="D63" s="17" t="inlineStr">
        <is>
          <t>Verify hardware back button behavior for Android Cart</t>
        </is>
      </c>
      <c r="E63" s="17" t="inlineStr">
        <is>
          <t>Android E2E - Cart - Verify hardware back button behavior (#62)</t>
        </is>
      </c>
      <c r="F63" s="17" t="inlineStr">
        <is>
          <t>Verify native Android application behavior for Cart using Appium automation.</t>
        </is>
      </c>
      <c r="G63" s="17" t="inlineStr">
        <is>
          <t>NutriFit APK installed on Android Emulator/Device (API level 33+), Appium session running.</t>
        </is>
      </c>
      <c r="H63" s="17" t="inlineStr">
        <is>
          <t>1. Launch Appium driver session.
2. Open Cart view via native element selector.
3. Navigate deep into feature stack, press hardware back button.
4. Verify UI state.</t>
        </is>
      </c>
      <c r="I63" s="17" t="inlineStr">
        <is>
          <t>Device: Pixel 7 Pro (API 34), Package: com.nutrifit.app, Module: Cart</t>
        </is>
      </c>
      <c r="J63" s="17" t="inlineStr">
        <is>
          <t>App returns to previous screen cleanly without exiting app unexpectedly. for Cart screen on Android.</t>
        </is>
      </c>
      <c r="K63" s="17" t="inlineStr">
        <is>
          <t>Pending Execution</t>
        </is>
      </c>
      <c r="L63" s="16" t="inlineStr">
        <is>
          <t>High</t>
        </is>
      </c>
      <c r="M63" s="16" t="inlineStr">
        <is>
          <t>Moderate</t>
        </is>
      </c>
      <c r="N63" s="18" t="inlineStr">
        <is>
          <t>Not Executed</t>
        </is>
      </c>
      <c r="O63" s="17" t="inlineStr">
        <is>
          <t>evidence/app-and-062_screenshot.png</t>
        </is>
      </c>
      <c r="P63" s="17" t="inlineStr">
        <is>
          <t>Automated baseline generation</t>
        </is>
      </c>
    </row>
    <row r="64" ht="36" customHeight="1">
      <c r="A64" s="16" t="inlineStr">
        <is>
          <t>APP-AND-063</t>
        </is>
      </c>
      <c r="B64" s="16" t="inlineStr">
        <is>
          <t>Appium Android E2E Testing</t>
        </is>
      </c>
      <c r="C64" s="17" t="inlineStr">
        <is>
          <t>Checkout</t>
        </is>
      </c>
      <c r="D64" s="17" t="inlineStr">
        <is>
          <t>Verify device orientation toggle (Portrait to Landscape) for Android Checkout</t>
        </is>
      </c>
      <c r="E64" s="17" t="inlineStr">
        <is>
          <t>Android E2E - Checkout - Verify device orientation toggle (Portrait to Landscape) (#63)</t>
        </is>
      </c>
      <c r="F64" s="17" t="inlineStr">
        <is>
          <t>Verify native Android application behavior for Checkout using Appium automation.</t>
        </is>
      </c>
      <c r="G64" s="17" t="inlineStr">
        <is>
          <t>NutriFit APK installed on Android Emulator/Device (API level 33+), Appium session running.</t>
        </is>
      </c>
      <c r="H64" s="17" t="inlineStr">
        <is>
          <t>1. Launch Appium driver session.
2. Open Checkout view via native element selector.
3. Trigger device rotation to landscape, verify view adaptation.
4. Verify UI state.</t>
        </is>
      </c>
      <c r="I64" s="17" t="inlineStr">
        <is>
          <t>Device: Pixel 7 Pro (API 34), Package: com.nutrifit.app, Module: Checkout</t>
        </is>
      </c>
      <c r="J64" s="17" t="inlineStr">
        <is>
          <t>UI resizes responsively in landscape without clipping key buttons. for Checkout screen on Android.</t>
        </is>
      </c>
      <c r="K64" s="17" t="inlineStr">
        <is>
          <t>Pending Execution</t>
        </is>
      </c>
      <c r="L64" s="16" t="inlineStr">
        <is>
          <t>Medium</t>
        </is>
      </c>
      <c r="M64" s="16" t="inlineStr">
        <is>
          <t>Major</t>
        </is>
      </c>
      <c r="N64" s="18" t="inlineStr">
        <is>
          <t>Not Executed</t>
        </is>
      </c>
      <c r="O64" s="17" t="inlineStr">
        <is>
          <t>evidence/app-and-063_screenshot.png</t>
        </is>
      </c>
      <c r="P64" s="17" t="inlineStr">
        <is>
          <t>Automated baseline generation</t>
        </is>
      </c>
    </row>
    <row r="65" ht="36" customHeight="1">
      <c r="A65" s="16" t="inlineStr">
        <is>
          <t>APP-AND-064</t>
        </is>
      </c>
      <c r="B65" s="16" t="inlineStr">
        <is>
          <t>Appium Android E2E Testing</t>
        </is>
      </c>
      <c r="C65" s="17" t="inlineStr">
        <is>
          <t>Address Management</t>
        </is>
      </c>
      <c r="D65" s="17" t="inlineStr">
        <is>
          <t>Verify system notification banner pop-up and tap action for Android Address Management</t>
        </is>
      </c>
      <c r="E65" s="17" t="inlineStr">
        <is>
          <t>Android E2E - Address Management - Verify system notification banner pop-up and tap action (#64)</t>
        </is>
      </c>
      <c r="F65" s="17" t="inlineStr">
        <is>
          <t>Verify native Android application behavior for Address Management using Appium automation.</t>
        </is>
      </c>
      <c r="G65" s="17" t="inlineStr">
        <is>
          <t>NutriFit APK installed on Android Emulator/Device (API level 33+), Appium session running.</t>
        </is>
      </c>
      <c r="H65" s="17" t="inlineStr">
        <is>
          <t>1. Launch Appium driver session.
2. Open Address Management view via native element selector.
3. Trigger local push alert, pull down Android notification shade, tap notification.
4. Verify UI state.</t>
        </is>
      </c>
      <c r="I65" s="17" t="inlineStr">
        <is>
          <t>Device: Pixel 7 Pro (API 34), Package: com.nutrifit.app, Module: Address Management</t>
        </is>
      </c>
      <c r="J65" s="17" t="inlineStr">
        <is>
          <t>App opens target screen specified in notification payload. for Address Management screen on Android.</t>
        </is>
      </c>
      <c r="K65" s="17" t="inlineStr">
        <is>
          <t>Pending Execution</t>
        </is>
      </c>
      <c r="L65" s="16" t="inlineStr">
        <is>
          <t>High</t>
        </is>
      </c>
      <c r="M65" s="16" t="inlineStr">
        <is>
          <t>Moderate</t>
        </is>
      </c>
      <c r="N65" s="18" t="inlineStr">
        <is>
          <t>Not Executed</t>
        </is>
      </c>
      <c r="O65" s="17" t="inlineStr">
        <is>
          <t>evidence/app-and-064_screenshot.png</t>
        </is>
      </c>
      <c r="P65" s="17" t="inlineStr">
        <is>
          <t>Automated baseline generation</t>
        </is>
      </c>
    </row>
    <row r="66" ht="36" customHeight="1">
      <c r="A66" s="16" t="inlineStr">
        <is>
          <t>APP-AND-065</t>
        </is>
      </c>
      <c r="B66" s="16" t="inlineStr">
        <is>
          <t>Appium Android E2E Testing</t>
        </is>
      </c>
      <c r="C66" s="17" t="inlineStr">
        <is>
          <t>Payment Method</t>
        </is>
      </c>
      <c r="D66" s="17" t="inlineStr">
        <is>
          <t>Verify biometric authentication prompt (Fingerprint/Face) for Android Payment Method</t>
        </is>
      </c>
      <c r="E66" s="17" t="inlineStr">
        <is>
          <t>Android E2E - Payment Method - Verify biometric authentication prompt (Fingerprint/Face) (#65)</t>
        </is>
      </c>
      <c r="F66" s="17" t="inlineStr">
        <is>
          <t>Verify native Android application behavior for Payment Method using Appium automation.</t>
        </is>
      </c>
      <c r="G66" s="17" t="inlineStr">
        <is>
          <t>NutriFit APK installed on Android Emulator/Device (API level 33+), Appium session running.</t>
        </is>
      </c>
      <c r="H66" s="17" t="inlineStr">
        <is>
          <t>1. Launch Appium driver session.
2. Open Payment Method view via native element selector.
3. Trigger sensitive action requiring biometric authentication.
4. Verify UI state.</t>
        </is>
      </c>
      <c r="I66" s="17" t="inlineStr">
        <is>
          <t>Device: Pixel 7 Pro (API 34), Package: com.nutrifit.app, Module: Payment Method</t>
        </is>
      </c>
      <c r="J66" s="17" t="inlineStr">
        <is>
          <t>Native Android BiometricPrompt appears; success unlocks target view. for Payment Method screen on Android.</t>
        </is>
      </c>
      <c r="K66" s="17" t="inlineStr">
        <is>
          <t>Pending Execution</t>
        </is>
      </c>
      <c r="L66" s="16" t="inlineStr">
        <is>
          <t>Medium</t>
        </is>
      </c>
      <c r="M66" s="16" t="inlineStr">
        <is>
          <t>Moderate</t>
        </is>
      </c>
      <c r="N66" s="18" t="inlineStr">
        <is>
          <t>Not Executed</t>
        </is>
      </c>
      <c r="O66" s="17" t="inlineStr">
        <is>
          <t>evidence/app-and-065_screenshot.png</t>
        </is>
      </c>
      <c r="P66" s="17" t="inlineStr">
        <is>
          <t>Automated baseline generation</t>
        </is>
      </c>
    </row>
    <row r="67" ht="36" customHeight="1">
      <c r="A67" s="16" t="inlineStr">
        <is>
          <t>APP-AND-066</t>
        </is>
      </c>
      <c r="B67" s="16" t="inlineStr">
        <is>
          <t>Appium Android E2E Testing</t>
        </is>
      </c>
      <c r="C67" s="17" t="inlineStr">
        <is>
          <t>Place Order</t>
        </is>
      </c>
      <c r="D67" s="17" t="inlineStr">
        <is>
          <t>Verify camera permission request dialog and image capture for Android Place Order</t>
        </is>
      </c>
      <c r="E67" s="17" t="inlineStr">
        <is>
          <t>Android E2E - Place Order - Verify camera permission request dialog and image capture (#66)</t>
        </is>
      </c>
      <c r="F67" s="17" t="inlineStr">
        <is>
          <t>Verify native Android application behavior for Place Order using Appium automation.</t>
        </is>
      </c>
      <c r="G67" s="17" t="inlineStr">
        <is>
          <t>NutriFit APK installed on Android Emulator/Device (API level 33+), Appium session running.</t>
        </is>
      </c>
      <c r="H67" s="17" t="inlineStr">
        <is>
          <t>1. Launch Appium driver session.
2. Open Place Order view via native element selector.
3. Tap photo upload button, handle system permission dialog, capture photo.
4. Verify UI state.</t>
        </is>
      </c>
      <c r="I67" s="17" t="inlineStr">
        <is>
          <t>Device: Pixel 7 Pro (API 34), Package: com.nutrifit.app, Module: Place Order</t>
        </is>
      </c>
      <c r="J67" s="17" t="inlineStr">
        <is>
          <t>Permission granted dialog works; captured image sets profile/meal avatar. for Place Order screen on Android.</t>
        </is>
      </c>
      <c r="K67" s="17" t="inlineStr">
        <is>
          <t>Pending Execution</t>
        </is>
      </c>
      <c r="L67" s="16" t="inlineStr">
        <is>
          <t>High</t>
        </is>
      </c>
      <c r="M67" s="16" t="inlineStr">
        <is>
          <t>Major</t>
        </is>
      </c>
      <c r="N67" s="18" t="inlineStr">
        <is>
          <t>Not Executed</t>
        </is>
      </c>
      <c r="O67" s="17" t="inlineStr">
        <is>
          <t>evidence/app-and-066_screenshot.png</t>
        </is>
      </c>
      <c r="P67" s="17" t="inlineStr">
        <is>
          <t>Automated baseline generation</t>
        </is>
      </c>
    </row>
    <row r="68" ht="36" customHeight="1">
      <c r="A68" s="16" t="inlineStr">
        <is>
          <t>APP-AND-067</t>
        </is>
      </c>
      <c r="B68" s="16" t="inlineStr">
        <is>
          <t>Appium Android E2E Testing</t>
        </is>
      </c>
      <c r="C68" s="17" t="inlineStr">
        <is>
          <t>My Orders</t>
        </is>
      </c>
      <c r="D68" s="17" t="inlineStr">
        <is>
          <t>Verify deep link url execution on Android device for Android My Orders</t>
        </is>
      </c>
      <c r="E68" s="17" t="inlineStr">
        <is>
          <t>Android E2E - My Orders - Verify deep link url execution on Android device (#67)</t>
        </is>
      </c>
      <c r="F68" s="17" t="inlineStr">
        <is>
          <t>Verify native Android application behavior for My Orders using Appium automation.</t>
        </is>
      </c>
      <c r="G68" s="17" t="inlineStr">
        <is>
          <t>NutriFit APK installed on Android Emulator/Device (API level 33+), Appium session running.</t>
        </is>
      </c>
      <c r="H68" s="17" t="inlineStr">
        <is>
          <t>1. Launch Appium driver session.
2. Open My Orders view via native element selector.
3. Execute adb command to launch deep link URI target into app.
4. Verify UI state.</t>
        </is>
      </c>
      <c r="I68" s="17" t="inlineStr">
        <is>
          <t>Device: Pixel 7 Pro (API 34), Package: com.nutrifit.app, Module: My Orders</t>
        </is>
      </c>
      <c r="J68" s="17" t="inlineStr">
        <is>
          <t>App launches directly into target product details view. for My Orders screen on Android.</t>
        </is>
      </c>
      <c r="K68" s="17" t="inlineStr">
        <is>
          <t>Pending Execution</t>
        </is>
      </c>
      <c r="L68" s="16" t="inlineStr">
        <is>
          <t>Medium</t>
        </is>
      </c>
      <c r="M68" s="16" t="inlineStr">
        <is>
          <t>Moderate</t>
        </is>
      </c>
      <c r="N68" s="18" t="inlineStr">
        <is>
          <t>Not Executed</t>
        </is>
      </c>
      <c r="O68" s="17" t="inlineStr">
        <is>
          <t>evidence/app-and-067_screenshot.png</t>
        </is>
      </c>
      <c r="P68" s="17" t="inlineStr">
        <is>
          <t>Automated baseline generation</t>
        </is>
      </c>
    </row>
    <row r="69" ht="36" customHeight="1">
      <c r="A69" s="16" t="inlineStr">
        <is>
          <t>APP-AND-068</t>
        </is>
      </c>
      <c r="B69" s="16" t="inlineStr">
        <is>
          <t>Appium Android E2E Testing</t>
        </is>
      </c>
      <c r="C69" s="17" t="inlineStr">
        <is>
          <t>Order Details</t>
        </is>
      </c>
      <c r="D69" s="17" t="inlineStr">
        <is>
          <t>Verify app backgrounding and resume lifecycle state for Android Order Details</t>
        </is>
      </c>
      <c r="E69" s="17" t="inlineStr">
        <is>
          <t>Android E2E - Order Details - Verify app backgrounding and resume lifecycle state (#68)</t>
        </is>
      </c>
      <c r="F69" s="17" t="inlineStr">
        <is>
          <t>Verify native Android application behavior for Order Details using Appium automation.</t>
        </is>
      </c>
      <c r="G69" s="17" t="inlineStr">
        <is>
          <t>NutriFit APK installed on Android Emulator/Device (API level 33+), Appium session running.</t>
        </is>
      </c>
      <c r="H69" s="17" t="inlineStr">
        <is>
          <t>1. Launch Appium driver session.
2. Open Order Details view via native element selector.
3. Press Home button to send app to background for 30s, then re-open app.
4. Verify UI state.</t>
        </is>
      </c>
      <c r="I69" s="17" t="inlineStr">
        <is>
          <t>Device: Pixel 7 Pro (API 34), Package: com.nutrifit.app, Module: Order Details</t>
        </is>
      </c>
      <c r="J69" s="17" t="inlineStr">
        <is>
          <t>App resumes state intact without memory leak or session logout. for Order Details screen on Android.</t>
        </is>
      </c>
      <c r="K69" s="17" t="inlineStr">
        <is>
          <t>Pending Execution</t>
        </is>
      </c>
      <c r="L69" s="16" t="inlineStr">
        <is>
          <t>High</t>
        </is>
      </c>
      <c r="M69" s="16" t="inlineStr">
        <is>
          <t>Moderate</t>
        </is>
      </c>
      <c r="N69" s="18" t="inlineStr">
        <is>
          <t>Not Executed</t>
        </is>
      </c>
      <c r="O69" s="17" t="inlineStr">
        <is>
          <t>evidence/app-and-068_screenshot.png</t>
        </is>
      </c>
      <c r="P69" s="17" t="inlineStr">
        <is>
          <t>Automated baseline generation</t>
        </is>
      </c>
    </row>
    <row r="70" ht="36" customHeight="1">
      <c r="A70" s="16" t="inlineStr">
        <is>
          <t>APP-AND-069</t>
        </is>
      </c>
      <c r="B70" s="16" t="inlineStr">
        <is>
          <t>Appium Android E2E Testing</t>
        </is>
      </c>
      <c r="C70" s="17" t="inlineStr">
        <is>
          <t>Order Cancellation</t>
        </is>
      </c>
      <c r="D70" s="17" t="inlineStr">
        <is>
          <t>Verify dark theme integration with Android system settings for Android Order Cancellation</t>
        </is>
      </c>
      <c r="E70" s="17" t="inlineStr">
        <is>
          <t>Android E2E - Order Cancellation - Verify dark theme integration with Android system settings (#69)</t>
        </is>
      </c>
      <c r="F70" s="17" t="inlineStr">
        <is>
          <t>Verify native Android application behavior for Order Cancellation using Appium automation.</t>
        </is>
      </c>
      <c r="G70" s="17" t="inlineStr">
        <is>
          <t>NutriFit APK installed on Android Emulator/Device (API level 33+), Appium session running.</t>
        </is>
      </c>
      <c r="H70" s="17" t="inlineStr">
        <is>
          <t>1. Launch Appium driver session.
2. Open Order Cancellation view via native element selector.
3. Toggle system-wide Android Dark Theme switch from quick settings.
4. Verify UI state.</t>
        </is>
      </c>
      <c r="I70" s="17" t="inlineStr">
        <is>
          <t>Device: Pixel 7 Pro (API 34), Package: com.nutrifit.app, Module: Order Cancellation</t>
        </is>
      </c>
      <c r="J70" s="17" t="inlineStr">
        <is>
          <t>NutriFit automatically adapts to OS dark theme preference. for Order Cancellation screen on Android.</t>
        </is>
      </c>
      <c r="K70" s="17" t="inlineStr">
        <is>
          <t>Pending Execution</t>
        </is>
      </c>
      <c r="L70" s="16" t="inlineStr">
        <is>
          <t>Medium</t>
        </is>
      </c>
      <c r="M70" s="16" t="inlineStr">
        <is>
          <t>Major</t>
        </is>
      </c>
      <c r="N70" s="18" t="inlineStr">
        <is>
          <t>Not Executed</t>
        </is>
      </c>
      <c r="O70" s="17" t="inlineStr">
        <is>
          <t>evidence/app-and-069_screenshot.png</t>
        </is>
      </c>
      <c r="P70" s="17" t="inlineStr">
        <is>
          <t>Automated baseline generation</t>
        </is>
      </c>
    </row>
    <row r="71" ht="36" customHeight="1">
      <c r="A71" s="16" t="inlineStr">
        <is>
          <t>APP-AND-070</t>
        </is>
      </c>
      <c r="B71" s="16" t="inlineStr">
        <is>
          <t>Appium Android E2E Testing</t>
        </is>
      </c>
      <c r="C71" s="17" t="inlineStr">
        <is>
          <t>Supabase Integration</t>
        </is>
      </c>
      <c r="D71" s="17" t="inlineStr">
        <is>
          <t>Verify offline cached state when switching Airplane mode for Android Supabase Integration</t>
        </is>
      </c>
      <c r="E71" s="17" t="inlineStr">
        <is>
          <t>Android E2E - Supabase Integration - Verify offline cached state when switching Airplane mode (#70)</t>
        </is>
      </c>
      <c r="F71" s="17" t="inlineStr">
        <is>
          <t>Verify native Android application behavior for Supabase Integration using Appium automation.</t>
        </is>
      </c>
      <c r="G71" s="17" t="inlineStr">
        <is>
          <t>NutriFit APK installed on Android Emulator/Device (API level 33+), Appium session running.</t>
        </is>
      </c>
      <c r="H71" s="17" t="inlineStr">
        <is>
          <t>1. Launch Appium driver session.
2. Open Supabase Integration view via native element selector.
3. Turn on Airplane Mode on device, navigate app screens.
4. Verify UI state.</t>
        </is>
      </c>
      <c r="I71" s="17" t="inlineStr">
        <is>
          <t>Device: Pixel 7 Pro (API 34), Package: com.nutrifit.app, Module: Supabase Integration</t>
        </is>
      </c>
      <c r="J71" s="17" t="inlineStr">
        <is>
          <t>App displays offline warning banner while serving cached data gracefully. for Supabase Integration screen on Android.</t>
        </is>
      </c>
      <c r="K71" s="17" t="inlineStr">
        <is>
          <t>Pending Execution</t>
        </is>
      </c>
      <c r="L71" s="16" t="inlineStr">
        <is>
          <t>High</t>
        </is>
      </c>
      <c r="M71" s="16" t="inlineStr">
        <is>
          <t>Moderate</t>
        </is>
      </c>
      <c r="N71" s="18" t="inlineStr">
        <is>
          <t>Not Executed</t>
        </is>
      </c>
      <c r="O71" s="17" t="inlineStr">
        <is>
          <t>evidence/app-and-070_screenshot.png</t>
        </is>
      </c>
      <c r="P71" s="17" t="inlineStr">
        <is>
          <t>Automated baseline generation</t>
        </is>
      </c>
    </row>
    <row r="72" ht="36" customHeight="1">
      <c r="A72" s="16" t="inlineStr">
        <is>
          <t>APP-AND-071</t>
        </is>
      </c>
      <c r="B72" s="16" t="inlineStr">
        <is>
          <t>Appium Android E2E Testing</t>
        </is>
      </c>
      <c r="C72" s="17" t="inlineStr">
        <is>
          <t>Responsive Web UI</t>
        </is>
      </c>
      <c r="D72" s="17" t="inlineStr">
        <is>
          <t>Verify native touch swipe and scroll gestures for Android Responsive Web UI</t>
        </is>
      </c>
      <c r="E72" s="17" t="inlineStr">
        <is>
          <t>Android E2E - Responsive Web UI - Verify native touch swipe and scroll gestures (#71)</t>
        </is>
      </c>
      <c r="F72" s="17" t="inlineStr">
        <is>
          <t>Verify native Android application behavior for Responsive Web UI using Appium automation.</t>
        </is>
      </c>
      <c r="G72" s="17" t="inlineStr">
        <is>
          <t>NutriFit APK installed on Android Emulator/Device (API level 33+), Appium session running.</t>
        </is>
      </c>
      <c r="H72" s="17" t="inlineStr">
        <is>
          <t>1. Launch Appium driver session.
2. Open Responsive Web UI view via native element selector.
3. Perform vertical swipe gesture on scrollable listview container.
4. Verify UI state.</t>
        </is>
      </c>
      <c r="I72" s="17" t="inlineStr">
        <is>
          <t>Device: Pixel 7 Pro (API 34), Package: com.nutrifit.app, Module: Responsive Web UI</t>
        </is>
      </c>
      <c r="J72" s="17" t="inlineStr">
        <is>
          <t>Container scrolls smoothly without frame drops or touch drag locking. for Responsive Web UI screen on Android.</t>
        </is>
      </c>
      <c r="K72" s="17" t="inlineStr">
        <is>
          <t>Pending Execution</t>
        </is>
      </c>
      <c r="L72" s="16" t="inlineStr">
        <is>
          <t>Medium</t>
        </is>
      </c>
      <c r="M72" s="16" t="inlineStr">
        <is>
          <t>Moderate</t>
        </is>
      </c>
      <c r="N72" s="18" t="inlineStr">
        <is>
          <t>Not Executed</t>
        </is>
      </c>
      <c r="O72" s="17" t="inlineStr">
        <is>
          <t>evidence/app-and-071_screenshot.png</t>
        </is>
      </c>
      <c r="P72" s="17" t="inlineStr">
        <is>
          <t>Automated baseline generation</t>
        </is>
      </c>
    </row>
    <row r="73" ht="36" customHeight="1">
      <c r="A73" s="16" t="inlineStr">
        <is>
          <t>APP-AND-072</t>
        </is>
      </c>
      <c r="B73" s="16" t="inlineStr">
        <is>
          <t>Appium Android E2E Testing</t>
        </is>
      </c>
      <c r="C73" s="17" t="inlineStr">
        <is>
          <t>Android UI</t>
        </is>
      </c>
      <c r="D73" s="17" t="inlineStr">
        <is>
          <t>Verify hardware back button behavior for Android Android UI</t>
        </is>
      </c>
      <c r="E73" s="17" t="inlineStr">
        <is>
          <t>Android E2E - Android UI - Verify hardware back button behavior (#72)</t>
        </is>
      </c>
      <c r="F73" s="17" t="inlineStr">
        <is>
          <t>Verify native Android application behavior for Android UI using Appium automation.</t>
        </is>
      </c>
      <c r="G73" s="17" t="inlineStr">
        <is>
          <t>NutriFit APK installed on Android Emulator/Device (API level 33+), Appium session running.</t>
        </is>
      </c>
      <c r="H73" s="17" t="inlineStr">
        <is>
          <t>1. Launch Appium driver session.
2. Open Android UI view via native element selector.
3. Navigate deep into feature stack, press hardware back button.
4. Verify UI state.</t>
        </is>
      </c>
      <c r="I73" s="17" t="inlineStr">
        <is>
          <t>Device: Pixel 7 Pro (API 34), Package: com.nutrifit.app, Module: Android UI</t>
        </is>
      </c>
      <c r="J73" s="17" t="inlineStr">
        <is>
          <t>App returns to previous screen cleanly without exiting app unexpectedly. for Android UI screen on Android.</t>
        </is>
      </c>
      <c r="K73" s="17" t="inlineStr">
        <is>
          <t>Pending Execution</t>
        </is>
      </c>
      <c r="L73" s="16" t="inlineStr">
        <is>
          <t>High</t>
        </is>
      </c>
      <c r="M73" s="16" t="inlineStr">
        <is>
          <t>Major</t>
        </is>
      </c>
      <c r="N73" s="18" t="inlineStr">
        <is>
          <t>Not Executed</t>
        </is>
      </c>
      <c r="O73" s="17" t="inlineStr">
        <is>
          <t>evidence/app-and-072_screenshot.png</t>
        </is>
      </c>
      <c r="P73" s="17" t="inlineStr">
        <is>
          <t>Automated baseline generation</t>
        </is>
      </c>
    </row>
    <row r="74" ht="36" customHeight="1">
      <c r="A74" s="16" t="inlineStr">
        <is>
          <t>APP-AND-073</t>
        </is>
      </c>
      <c r="B74" s="16" t="inlineStr">
        <is>
          <t>Appium Android E2E Testing</t>
        </is>
      </c>
      <c r="C74" s="17" t="inlineStr">
        <is>
          <t>Error Handling</t>
        </is>
      </c>
      <c r="D74" s="17" t="inlineStr">
        <is>
          <t>Verify device orientation toggle (Portrait to Landscape) for Android Error Handling</t>
        </is>
      </c>
      <c r="E74" s="17" t="inlineStr">
        <is>
          <t>Android E2E - Error Handling - Verify device orientation toggle (Portrait to Landscape) (#73)</t>
        </is>
      </c>
      <c r="F74" s="17" t="inlineStr">
        <is>
          <t>Verify native Android application behavior for Error Handling using Appium automation.</t>
        </is>
      </c>
      <c r="G74" s="17" t="inlineStr">
        <is>
          <t>NutriFit APK installed on Android Emulator/Device (API level 33+), Appium session running.</t>
        </is>
      </c>
      <c r="H74" s="17" t="inlineStr">
        <is>
          <t>1. Launch Appium driver session.
2. Open Error Handling view via native element selector.
3. Trigger device rotation to landscape, verify view adaptation.
4. Verify UI state.</t>
        </is>
      </c>
      <c r="I74" s="17" t="inlineStr">
        <is>
          <t>Device: Pixel 7 Pro (API 34), Package: com.nutrifit.app, Module: Error Handling</t>
        </is>
      </c>
      <c r="J74" s="17" t="inlineStr">
        <is>
          <t>UI resizes responsively in landscape without clipping key buttons. for Error Handling screen on Android.</t>
        </is>
      </c>
      <c r="K74" s="17" t="inlineStr">
        <is>
          <t>Pending Execution</t>
        </is>
      </c>
      <c r="L74" s="16" t="inlineStr">
        <is>
          <t>Medium</t>
        </is>
      </c>
      <c r="M74" s="16" t="inlineStr">
        <is>
          <t>Moderate</t>
        </is>
      </c>
      <c r="N74" s="18" t="inlineStr">
        <is>
          <t>Not Executed</t>
        </is>
      </c>
      <c r="O74" s="17" t="inlineStr">
        <is>
          <t>evidence/app-and-073_screenshot.png</t>
        </is>
      </c>
      <c r="P74" s="17" t="inlineStr">
        <is>
          <t>Automated baseline generation</t>
        </is>
      </c>
    </row>
    <row r="75" ht="36" customHeight="1">
      <c r="A75" s="16" t="inlineStr">
        <is>
          <t>APP-AND-074</t>
        </is>
      </c>
      <c r="B75" s="16" t="inlineStr">
        <is>
          <t>Appium Android E2E Testing</t>
        </is>
      </c>
      <c r="C75" s="17" t="inlineStr">
        <is>
          <t>Logout</t>
        </is>
      </c>
      <c r="D75" s="17" t="inlineStr">
        <is>
          <t>Verify system notification banner pop-up and tap action for Android Logout</t>
        </is>
      </c>
      <c r="E75" s="17" t="inlineStr">
        <is>
          <t>Android E2E - Logout - Verify system notification banner pop-up and tap action (#74)</t>
        </is>
      </c>
      <c r="F75" s="17" t="inlineStr">
        <is>
          <t>Verify native Android application behavior for Logout using Appium automation.</t>
        </is>
      </c>
      <c r="G75" s="17" t="inlineStr">
        <is>
          <t>NutriFit APK installed on Android Emulator/Device (API level 33+), Appium session running.</t>
        </is>
      </c>
      <c r="H75" s="17" t="inlineStr">
        <is>
          <t>1. Launch Appium driver session.
2. Open Logout view via native element selector.
3. Trigger local push alert, pull down Android notification shade, tap notification.
4. Verify UI state.</t>
        </is>
      </c>
      <c r="I75" s="17" t="inlineStr">
        <is>
          <t>Device: Pixel 7 Pro (API 34), Package: com.nutrifit.app, Module: Logout</t>
        </is>
      </c>
      <c r="J75" s="17" t="inlineStr">
        <is>
          <t>App opens target screen specified in notification payload. for Logout screen on Android.</t>
        </is>
      </c>
      <c r="K75" s="17" t="inlineStr">
        <is>
          <t>Pending Execution</t>
        </is>
      </c>
      <c r="L75" s="16" t="inlineStr">
        <is>
          <t>High</t>
        </is>
      </c>
      <c r="M75" s="16" t="inlineStr">
        <is>
          <t>Moderate</t>
        </is>
      </c>
      <c r="N75" s="18" t="inlineStr">
        <is>
          <t>Not Executed</t>
        </is>
      </c>
      <c r="O75" s="17" t="inlineStr">
        <is>
          <t>evidence/app-and-074_screenshot.png</t>
        </is>
      </c>
      <c r="P75" s="17" t="inlineStr">
        <is>
          <t>Automated baseline generation</t>
        </is>
      </c>
    </row>
    <row r="76" ht="36" customHeight="1">
      <c r="A76" s="16" t="inlineStr">
        <is>
          <t>APP-AND-075</t>
        </is>
      </c>
      <c r="B76" s="16" t="inlineStr">
        <is>
          <t>Appium Android E2E Testing</t>
        </is>
      </c>
      <c r="C76" s="17" t="inlineStr">
        <is>
          <t>Splash</t>
        </is>
      </c>
      <c r="D76" s="17" t="inlineStr">
        <is>
          <t>Verify biometric authentication prompt (Fingerprint/Face) for Android Splash</t>
        </is>
      </c>
      <c r="E76" s="17" t="inlineStr">
        <is>
          <t>Android E2E - Splash - Verify biometric authentication prompt (Fingerprint/Face) (#75)</t>
        </is>
      </c>
      <c r="F76" s="17" t="inlineStr">
        <is>
          <t>Verify native Android application behavior for Splash using Appium automation.</t>
        </is>
      </c>
      <c r="G76" s="17" t="inlineStr">
        <is>
          <t>NutriFit APK installed on Android Emulator/Device (API level 33+), Appium session running.</t>
        </is>
      </c>
      <c r="H76" s="17" t="inlineStr">
        <is>
          <t>1. Launch Appium driver session.
2. Open Splash view via native element selector.
3. Trigger sensitive action requiring biometric authentication.
4. Verify UI state.</t>
        </is>
      </c>
      <c r="I76" s="17" t="inlineStr">
        <is>
          <t>Device: Pixel 7 Pro (API 34), Package: com.nutrifit.app, Module: Splash</t>
        </is>
      </c>
      <c r="J76" s="17" t="inlineStr">
        <is>
          <t>Native Android BiometricPrompt appears; success unlocks target view. for Splash screen on Android.</t>
        </is>
      </c>
      <c r="K76" s="17" t="inlineStr">
        <is>
          <t>Pending Execution</t>
        </is>
      </c>
      <c r="L76" s="16" t="inlineStr">
        <is>
          <t>Medium</t>
        </is>
      </c>
      <c r="M76" s="16" t="inlineStr">
        <is>
          <t>Major</t>
        </is>
      </c>
      <c r="N76" s="18" t="inlineStr">
        <is>
          <t>Not Executed</t>
        </is>
      </c>
      <c r="O76" s="17" t="inlineStr">
        <is>
          <t>evidence/app-and-075_screenshot.png</t>
        </is>
      </c>
      <c r="P76" s="17" t="inlineStr">
        <is>
          <t>Automated baseline generation</t>
        </is>
      </c>
    </row>
    <row r="77" ht="36" customHeight="1">
      <c r="A77" s="16" t="inlineStr">
        <is>
          <t>APP-AND-076</t>
        </is>
      </c>
      <c r="B77" s="16" t="inlineStr">
        <is>
          <t>Appium Android E2E Testing</t>
        </is>
      </c>
      <c r="C77" s="17" t="inlineStr">
        <is>
          <t>Login</t>
        </is>
      </c>
      <c r="D77" s="17" t="inlineStr">
        <is>
          <t>Verify camera permission request dialog and image capture for Android Login</t>
        </is>
      </c>
      <c r="E77" s="17" t="inlineStr">
        <is>
          <t>Android E2E - Login - Verify camera permission request dialog and image capture (#76)</t>
        </is>
      </c>
      <c r="F77" s="17" t="inlineStr">
        <is>
          <t>Verify native Android application behavior for Login using Appium automation.</t>
        </is>
      </c>
      <c r="G77" s="17" t="inlineStr">
        <is>
          <t>NutriFit APK installed on Android Emulator/Device (API level 33+), Appium session running.</t>
        </is>
      </c>
      <c r="H77" s="17" t="inlineStr">
        <is>
          <t>1. Launch Appium driver session.
2. Open Login view via native element selector.
3. Tap photo upload button, handle system permission dialog, capture photo.
4. Verify UI state.</t>
        </is>
      </c>
      <c r="I77" s="17" t="inlineStr">
        <is>
          <t>Device: Pixel 7 Pro (API 34), Package: com.nutrifit.app, Module: Login</t>
        </is>
      </c>
      <c r="J77" s="17" t="inlineStr">
        <is>
          <t>Permission granted dialog works; captured image sets profile/meal avatar. for Login screen on Android.</t>
        </is>
      </c>
      <c r="K77" s="17" t="inlineStr">
        <is>
          <t>Pending Execution</t>
        </is>
      </c>
      <c r="L77" s="16" t="inlineStr">
        <is>
          <t>High</t>
        </is>
      </c>
      <c r="M77" s="16" t="inlineStr">
        <is>
          <t>Moderate</t>
        </is>
      </c>
      <c r="N77" s="18" t="inlineStr">
        <is>
          <t>Not Executed</t>
        </is>
      </c>
      <c r="O77" s="17" t="inlineStr">
        <is>
          <t>evidence/app-and-076_screenshot.png</t>
        </is>
      </c>
      <c r="P77" s="17" t="inlineStr">
        <is>
          <t>Automated baseline generation</t>
        </is>
      </c>
    </row>
    <row r="78" ht="36" customHeight="1">
      <c r="A78" s="16" t="inlineStr">
        <is>
          <t>APP-AND-077</t>
        </is>
      </c>
      <c r="B78" s="16" t="inlineStr">
        <is>
          <t>Appium Android E2E Testing</t>
        </is>
      </c>
      <c r="C78" s="17" t="inlineStr">
        <is>
          <t>Signup</t>
        </is>
      </c>
      <c r="D78" s="17" t="inlineStr">
        <is>
          <t>Verify deep link url execution on Android device for Android Signup</t>
        </is>
      </c>
      <c r="E78" s="17" t="inlineStr">
        <is>
          <t>Android E2E - Signup - Verify deep link url execution on Android device (#77)</t>
        </is>
      </c>
      <c r="F78" s="17" t="inlineStr">
        <is>
          <t>Verify native Android application behavior for Signup using Appium automation.</t>
        </is>
      </c>
      <c r="G78" s="17" t="inlineStr">
        <is>
          <t>NutriFit APK installed on Android Emulator/Device (API level 33+), Appium session running.</t>
        </is>
      </c>
      <c r="H78" s="17" t="inlineStr">
        <is>
          <t>1. Launch Appium driver session.
2. Open Signup view via native element selector.
3. Execute adb command to launch deep link URI target into app.
4. Verify UI state.</t>
        </is>
      </c>
      <c r="I78" s="17" t="inlineStr">
        <is>
          <t>Device: Pixel 7 Pro (API 34), Package: com.nutrifit.app, Module: Signup</t>
        </is>
      </c>
      <c r="J78" s="17" t="inlineStr">
        <is>
          <t>App launches directly into target product details view. for Signup screen on Android.</t>
        </is>
      </c>
      <c r="K78" s="17" t="inlineStr">
        <is>
          <t>Pending Execution</t>
        </is>
      </c>
      <c r="L78" s="16" t="inlineStr">
        <is>
          <t>Medium</t>
        </is>
      </c>
      <c r="M78" s="16" t="inlineStr">
        <is>
          <t>Moderate</t>
        </is>
      </c>
      <c r="N78" s="18" t="inlineStr">
        <is>
          <t>Not Executed</t>
        </is>
      </c>
      <c r="O78" s="17" t="inlineStr">
        <is>
          <t>evidence/app-and-077_screenshot.png</t>
        </is>
      </c>
      <c r="P78" s="17" t="inlineStr">
        <is>
          <t>Automated baseline generation</t>
        </is>
      </c>
    </row>
    <row r="79" ht="36" customHeight="1">
      <c r="A79" s="16" t="inlineStr">
        <is>
          <t>APP-AND-078</t>
        </is>
      </c>
      <c r="B79" s="16" t="inlineStr">
        <is>
          <t>Appium Android E2E Testing</t>
        </is>
      </c>
      <c r="C79" s="17" t="inlineStr">
        <is>
          <t>Forgot Password</t>
        </is>
      </c>
      <c r="D79" s="17" t="inlineStr">
        <is>
          <t>Verify app backgrounding and resume lifecycle state for Android Forgot Password</t>
        </is>
      </c>
      <c r="E79" s="17" t="inlineStr">
        <is>
          <t>Android E2E - Forgot Password - Verify app backgrounding and resume lifecycle state (#78)</t>
        </is>
      </c>
      <c r="F79" s="17" t="inlineStr">
        <is>
          <t>Verify native Android application behavior for Forgot Password using Appium automation.</t>
        </is>
      </c>
      <c r="G79" s="17" t="inlineStr">
        <is>
          <t>NutriFit APK installed on Android Emulator/Device (API level 33+), Appium session running.</t>
        </is>
      </c>
      <c r="H79" s="17" t="inlineStr">
        <is>
          <t>1. Launch Appium driver session.
2. Open Forgot Password view via native element selector.
3. Press Home button to send app to background for 30s, then re-open app.
4. Verify UI state.</t>
        </is>
      </c>
      <c r="I79" s="17" t="inlineStr">
        <is>
          <t>Device: Pixel 7 Pro (API 34), Package: com.nutrifit.app, Module: Forgot Password</t>
        </is>
      </c>
      <c r="J79" s="17" t="inlineStr">
        <is>
          <t>App resumes state intact without memory leak or session logout. for Forgot Password screen on Android.</t>
        </is>
      </c>
      <c r="K79" s="17" t="inlineStr">
        <is>
          <t>Pending Execution</t>
        </is>
      </c>
      <c r="L79" s="16" t="inlineStr">
        <is>
          <t>High</t>
        </is>
      </c>
      <c r="M79" s="16" t="inlineStr">
        <is>
          <t>Major</t>
        </is>
      </c>
      <c r="N79" s="18" t="inlineStr">
        <is>
          <t>Not Executed</t>
        </is>
      </c>
      <c r="O79" s="17" t="inlineStr">
        <is>
          <t>evidence/app-and-078_screenshot.png</t>
        </is>
      </c>
      <c r="P79" s="17" t="inlineStr">
        <is>
          <t>Automated baseline generation</t>
        </is>
      </c>
    </row>
    <row r="80" ht="36" customHeight="1">
      <c r="A80" s="16" t="inlineStr">
        <is>
          <t>APP-AND-079</t>
        </is>
      </c>
      <c r="B80" s="16" t="inlineStr">
        <is>
          <t>Appium Android E2E Testing</t>
        </is>
      </c>
      <c r="C80" s="17" t="inlineStr">
        <is>
          <t>Email Verification</t>
        </is>
      </c>
      <c r="D80" s="17" t="inlineStr">
        <is>
          <t>Verify dark theme integration with Android system settings for Android Email Verification</t>
        </is>
      </c>
      <c r="E80" s="17" t="inlineStr">
        <is>
          <t>Android E2E - Email Verification - Verify dark theme integration with Android system settings (#79)</t>
        </is>
      </c>
      <c r="F80" s="17" t="inlineStr">
        <is>
          <t>Verify native Android application behavior for Email Verification using Appium automation.</t>
        </is>
      </c>
      <c r="G80" s="17" t="inlineStr">
        <is>
          <t>NutriFit APK installed on Android Emulator/Device (API level 33+), Appium session running.</t>
        </is>
      </c>
      <c r="H80" s="17" t="inlineStr">
        <is>
          <t>1. Launch Appium driver session.
2. Open Email Verification view via native element selector.
3. Toggle system-wide Android Dark Theme switch from quick settings.
4. Verify UI state.</t>
        </is>
      </c>
      <c r="I80" s="17" t="inlineStr">
        <is>
          <t>Device: Pixel 7 Pro (API 34), Package: com.nutrifit.app, Module: Email Verification</t>
        </is>
      </c>
      <c r="J80" s="17" t="inlineStr">
        <is>
          <t>NutriFit automatically adapts to OS dark theme preference. for Email Verification screen on Android.</t>
        </is>
      </c>
      <c r="K80" s="17" t="inlineStr">
        <is>
          <t>Pending Execution</t>
        </is>
      </c>
      <c r="L80" s="16" t="inlineStr">
        <is>
          <t>Medium</t>
        </is>
      </c>
      <c r="M80" s="16" t="inlineStr">
        <is>
          <t>Moderate</t>
        </is>
      </c>
      <c r="N80" s="18" t="inlineStr">
        <is>
          <t>Not Executed</t>
        </is>
      </c>
      <c r="O80" s="17" t="inlineStr">
        <is>
          <t>evidence/app-and-079_screenshot.png</t>
        </is>
      </c>
      <c r="P80" s="17" t="inlineStr">
        <is>
          <t>Automated baseline generation</t>
        </is>
      </c>
    </row>
    <row r="81" ht="36" customHeight="1">
      <c r="A81" s="16" t="inlineStr">
        <is>
          <t>APP-AND-080</t>
        </is>
      </c>
      <c r="B81" s="16" t="inlineStr">
        <is>
          <t>Appium Android E2E Testing</t>
        </is>
      </c>
      <c r="C81" s="17" t="inlineStr">
        <is>
          <t>Onboarding</t>
        </is>
      </c>
      <c r="D81" s="17" t="inlineStr">
        <is>
          <t>Verify offline cached state when switching Airplane mode for Android Onboarding</t>
        </is>
      </c>
      <c r="E81" s="17" t="inlineStr">
        <is>
          <t>Android E2E - Onboarding - Verify offline cached state when switching Airplane mode (#80)</t>
        </is>
      </c>
      <c r="F81" s="17" t="inlineStr">
        <is>
          <t>Verify native Android application behavior for Onboarding using Appium automation.</t>
        </is>
      </c>
      <c r="G81" s="17" t="inlineStr">
        <is>
          <t>NutriFit APK installed on Android Emulator/Device (API level 33+), Appium session running.</t>
        </is>
      </c>
      <c r="H81" s="17" t="inlineStr">
        <is>
          <t>1. Launch Appium driver session.
2. Open Onboarding view via native element selector.
3. Turn on Airplane Mode on device, navigate app screens.
4. Verify UI state.</t>
        </is>
      </c>
      <c r="I81" s="17" t="inlineStr">
        <is>
          <t>Device: Pixel 7 Pro (API 34), Package: com.nutrifit.app, Module: Onboarding</t>
        </is>
      </c>
      <c r="J81" s="17" t="inlineStr">
        <is>
          <t>App displays offline warning banner while serving cached data gracefully. for Onboarding screen on Android.</t>
        </is>
      </c>
      <c r="K81" s="17" t="inlineStr">
        <is>
          <t>Pending Execution</t>
        </is>
      </c>
      <c r="L81" s="16" t="inlineStr">
        <is>
          <t>High</t>
        </is>
      </c>
      <c r="M81" s="16" t="inlineStr">
        <is>
          <t>Moderate</t>
        </is>
      </c>
      <c r="N81" s="18" t="inlineStr">
        <is>
          <t>Not Executed</t>
        </is>
      </c>
      <c r="O81" s="17" t="inlineStr">
        <is>
          <t>evidence/app-and-080_screenshot.png</t>
        </is>
      </c>
      <c r="P81" s="17" t="inlineStr">
        <is>
          <t>Automated baseline generation</t>
        </is>
      </c>
    </row>
    <row r="82" ht="36" customHeight="1">
      <c r="A82" s="16" t="inlineStr">
        <is>
          <t>APP-AND-081</t>
        </is>
      </c>
      <c r="B82" s="16" t="inlineStr">
        <is>
          <t>Appium Android E2E Testing</t>
        </is>
      </c>
      <c r="C82" s="17" t="inlineStr">
        <is>
          <t>Dashboard</t>
        </is>
      </c>
      <c r="D82" s="17" t="inlineStr">
        <is>
          <t>Verify native touch swipe and scroll gestures for Android Dashboard</t>
        </is>
      </c>
      <c r="E82" s="17" t="inlineStr">
        <is>
          <t>Android E2E - Dashboard - Verify native touch swipe and scroll gestures (#81)</t>
        </is>
      </c>
      <c r="F82" s="17" t="inlineStr">
        <is>
          <t>Verify native Android application behavior for Dashboard using Appium automation.</t>
        </is>
      </c>
      <c r="G82" s="17" t="inlineStr">
        <is>
          <t>NutriFit APK installed on Android Emulator/Device (API level 33+), Appium session running.</t>
        </is>
      </c>
      <c r="H82" s="17" t="inlineStr">
        <is>
          <t>1. Launch Appium driver session.
2. Open Dashboard view via native element selector.
3. Perform vertical swipe gesture on scrollable listview container.
4. Verify UI state.</t>
        </is>
      </c>
      <c r="I82" s="17" t="inlineStr">
        <is>
          <t>Device: Pixel 7 Pro (API 34), Package: com.nutrifit.app, Module: Dashboard</t>
        </is>
      </c>
      <c r="J82" s="17" t="inlineStr">
        <is>
          <t>Container scrolls smoothly without frame drops or touch drag locking. for Dashboard screen on Android.</t>
        </is>
      </c>
      <c r="K82" s="17" t="inlineStr">
        <is>
          <t>Pending Execution</t>
        </is>
      </c>
      <c r="L82" s="16" t="inlineStr">
        <is>
          <t>Medium</t>
        </is>
      </c>
      <c r="M82" s="16" t="inlineStr">
        <is>
          <t>Major</t>
        </is>
      </c>
      <c r="N82" s="18" t="inlineStr">
        <is>
          <t>Not Executed</t>
        </is>
      </c>
      <c r="O82" s="17" t="inlineStr">
        <is>
          <t>evidence/app-and-081_screenshot.png</t>
        </is>
      </c>
      <c r="P82" s="17" t="inlineStr">
        <is>
          <t>Automated baseline generation</t>
        </is>
      </c>
    </row>
    <row r="83" ht="36" customHeight="1">
      <c r="A83" s="16" t="inlineStr">
        <is>
          <t>APP-AND-082</t>
        </is>
      </c>
      <c r="B83" s="16" t="inlineStr">
        <is>
          <t>Appium Android E2E Testing</t>
        </is>
      </c>
      <c r="C83" s="17" t="inlineStr">
        <is>
          <t>Profile</t>
        </is>
      </c>
      <c r="D83" s="17" t="inlineStr">
        <is>
          <t>Verify hardware back button behavior for Android Profile</t>
        </is>
      </c>
      <c r="E83" s="17" t="inlineStr">
        <is>
          <t>Android E2E - Profile - Verify hardware back button behavior (#82)</t>
        </is>
      </c>
      <c r="F83" s="17" t="inlineStr">
        <is>
          <t>Verify native Android application behavior for Profile using Appium automation.</t>
        </is>
      </c>
      <c r="G83" s="17" t="inlineStr">
        <is>
          <t>NutriFit APK installed on Android Emulator/Device (API level 33+), Appium session running.</t>
        </is>
      </c>
      <c r="H83" s="17" t="inlineStr">
        <is>
          <t>1. Launch Appium driver session.
2. Open Profile view via native element selector.
3. Navigate deep into feature stack, press hardware back button.
4. Verify UI state.</t>
        </is>
      </c>
      <c r="I83" s="17" t="inlineStr">
        <is>
          <t>Device: Pixel 7 Pro (API 34), Package: com.nutrifit.app, Module: Profile</t>
        </is>
      </c>
      <c r="J83" s="17" t="inlineStr">
        <is>
          <t>App returns to previous screen cleanly without exiting app unexpectedly. for Profile screen on Android.</t>
        </is>
      </c>
      <c r="K83" s="17" t="inlineStr">
        <is>
          <t>Pending Execution</t>
        </is>
      </c>
      <c r="L83" s="16" t="inlineStr">
        <is>
          <t>High</t>
        </is>
      </c>
      <c r="M83" s="16" t="inlineStr">
        <is>
          <t>Moderate</t>
        </is>
      </c>
      <c r="N83" s="18" t="inlineStr">
        <is>
          <t>Not Executed</t>
        </is>
      </c>
      <c r="O83" s="17" t="inlineStr">
        <is>
          <t>evidence/app-and-082_screenshot.png</t>
        </is>
      </c>
      <c r="P83" s="17" t="inlineStr">
        <is>
          <t>Automated baseline generation</t>
        </is>
      </c>
    </row>
    <row r="84" ht="36" customHeight="1">
      <c r="A84" s="16" t="inlineStr">
        <is>
          <t>APP-AND-083</t>
        </is>
      </c>
      <c r="B84" s="16" t="inlineStr">
        <is>
          <t>Appium Android E2E Testing</t>
        </is>
      </c>
      <c r="C84" s="17" t="inlineStr">
        <is>
          <t>Language Settings</t>
        </is>
      </c>
      <c r="D84" s="17" t="inlineStr">
        <is>
          <t>Verify device orientation toggle (Portrait to Landscape) for Android Language Settings</t>
        </is>
      </c>
      <c r="E84" s="17" t="inlineStr">
        <is>
          <t>Android E2E - Language Settings - Verify device orientation toggle (Portrait to Landscape) (#83)</t>
        </is>
      </c>
      <c r="F84" s="17" t="inlineStr">
        <is>
          <t>Verify native Android application behavior for Language Settings using Appium automation.</t>
        </is>
      </c>
      <c r="G84" s="17" t="inlineStr">
        <is>
          <t>NutriFit APK installed on Android Emulator/Device (API level 33+), Appium session running.</t>
        </is>
      </c>
      <c r="H84" s="17" t="inlineStr">
        <is>
          <t>1. Launch Appium driver session.
2. Open Language Settings view via native element selector.
3. Trigger device rotation to landscape, verify view adaptation.
4. Verify UI state.</t>
        </is>
      </c>
      <c r="I84" s="17" t="inlineStr">
        <is>
          <t>Device: Pixel 7 Pro (API 34), Package: com.nutrifit.app, Module: Language Settings</t>
        </is>
      </c>
      <c r="J84" s="17" t="inlineStr">
        <is>
          <t>UI resizes responsively in landscape without clipping key buttons. for Language Settings screen on Android.</t>
        </is>
      </c>
      <c r="K84" s="17" t="inlineStr">
        <is>
          <t>Pending Execution</t>
        </is>
      </c>
      <c r="L84" s="16" t="inlineStr">
        <is>
          <t>Medium</t>
        </is>
      </c>
      <c r="M84" s="16" t="inlineStr">
        <is>
          <t>Moderate</t>
        </is>
      </c>
      <c r="N84" s="18" t="inlineStr">
        <is>
          <t>Not Executed</t>
        </is>
      </c>
      <c r="O84" s="17" t="inlineStr">
        <is>
          <t>evidence/app-and-083_screenshot.png</t>
        </is>
      </c>
      <c r="P84" s="17" t="inlineStr">
        <is>
          <t>Automated baseline generation</t>
        </is>
      </c>
    </row>
    <row r="85" ht="36" customHeight="1">
      <c r="A85" s="16" t="inlineStr">
        <is>
          <t>APP-AND-084</t>
        </is>
      </c>
      <c r="B85" s="16" t="inlineStr">
        <is>
          <t>Appium Android E2E Testing</t>
        </is>
      </c>
      <c r="C85" s="17" t="inlineStr">
        <is>
          <t>AI Trainer</t>
        </is>
      </c>
      <c r="D85" s="17" t="inlineStr">
        <is>
          <t>Verify system notification banner pop-up and tap action for Android AI Trainer</t>
        </is>
      </c>
      <c r="E85" s="17" t="inlineStr">
        <is>
          <t>Android E2E - AI Trainer - Verify system notification banner pop-up and tap action (#84)</t>
        </is>
      </c>
      <c r="F85" s="17" t="inlineStr">
        <is>
          <t>Verify native Android application behavior for AI Trainer using Appium automation.</t>
        </is>
      </c>
      <c r="G85" s="17" t="inlineStr">
        <is>
          <t>NutriFit APK installed on Android Emulator/Device (API level 33+), Appium session running.</t>
        </is>
      </c>
      <c r="H85" s="17" t="inlineStr">
        <is>
          <t>1. Launch Appium driver session.
2. Open AI Trainer view via native element selector.
3. Trigger local push alert, pull down Android notification shade, tap notification.
4. Verify UI state.</t>
        </is>
      </c>
      <c r="I85" s="17" t="inlineStr">
        <is>
          <t>Device: Pixel 7 Pro (API 34), Package: com.nutrifit.app, Module: AI Trainer</t>
        </is>
      </c>
      <c r="J85" s="17" t="inlineStr">
        <is>
          <t>App opens target screen specified in notification payload. for AI Trainer screen on Android.</t>
        </is>
      </c>
      <c r="K85" s="17" t="inlineStr">
        <is>
          <t>Pending Execution</t>
        </is>
      </c>
      <c r="L85" s="16" t="inlineStr">
        <is>
          <t>High</t>
        </is>
      </c>
      <c r="M85" s="16" t="inlineStr">
        <is>
          <t>Major</t>
        </is>
      </c>
      <c r="N85" s="18" t="inlineStr">
        <is>
          <t>Not Executed</t>
        </is>
      </c>
      <c r="O85" s="17" t="inlineStr">
        <is>
          <t>evidence/app-and-084_screenshot.png</t>
        </is>
      </c>
      <c r="P85" s="17" t="inlineStr">
        <is>
          <t>Automated baseline generation</t>
        </is>
      </c>
    </row>
    <row r="86" ht="36" customHeight="1">
      <c r="A86" s="16" t="inlineStr">
        <is>
          <t>APP-AND-085</t>
        </is>
      </c>
      <c r="B86" s="16" t="inlineStr">
        <is>
          <t>Appium Android E2E Testing</t>
        </is>
      </c>
      <c r="C86" s="17" t="inlineStr">
        <is>
          <t>Workout Plan</t>
        </is>
      </c>
      <c r="D86" s="17" t="inlineStr">
        <is>
          <t>Verify biometric authentication prompt (Fingerprint/Face) for Android Workout Plan</t>
        </is>
      </c>
      <c r="E86" s="17" t="inlineStr">
        <is>
          <t>Android E2E - Workout Plan - Verify biometric authentication prompt (Fingerprint/Face) (#85)</t>
        </is>
      </c>
      <c r="F86" s="17" t="inlineStr">
        <is>
          <t>Verify native Android application behavior for Workout Plan using Appium automation.</t>
        </is>
      </c>
      <c r="G86" s="17" t="inlineStr">
        <is>
          <t>NutriFit APK installed on Android Emulator/Device (API level 33+), Appium session running.</t>
        </is>
      </c>
      <c r="H86" s="17" t="inlineStr">
        <is>
          <t>1. Launch Appium driver session.
2. Open Workout Plan view via native element selector.
3. Trigger sensitive action requiring biometric authentication.
4. Verify UI state.</t>
        </is>
      </c>
      <c r="I86" s="17" t="inlineStr">
        <is>
          <t>Device: Pixel 7 Pro (API 34), Package: com.nutrifit.app, Module: Workout Plan</t>
        </is>
      </c>
      <c r="J86" s="17" t="inlineStr">
        <is>
          <t>Native Android BiometricPrompt appears; success unlocks target view. for Workout Plan screen on Android.</t>
        </is>
      </c>
      <c r="K86" s="17" t="inlineStr">
        <is>
          <t>Pending Execution</t>
        </is>
      </c>
      <c r="L86" s="16" t="inlineStr">
        <is>
          <t>Medium</t>
        </is>
      </c>
      <c r="M86" s="16" t="inlineStr">
        <is>
          <t>Moderate</t>
        </is>
      </c>
      <c r="N86" s="18" t="inlineStr">
        <is>
          <t>Not Executed</t>
        </is>
      </c>
      <c r="O86" s="17" t="inlineStr">
        <is>
          <t>evidence/app-and-085_screenshot.png</t>
        </is>
      </c>
      <c r="P86" s="17" t="inlineStr">
        <is>
          <t>Automated baseline generation</t>
        </is>
      </c>
    </row>
    <row r="87" ht="36" customHeight="1">
      <c r="A87" s="16" t="inlineStr">
        <is>
          <t>APP-AND-086</t>
        </is>
      </c>
      <c r="B87" s="16" t="inlineStr">
        <is>
          <t>Appium Android E2E Testing</t>
        </is>
      </c>
      <c r="C87" s="17" t="inlineStr">
        <is>
          <t>Diet Plan</t>
        </is>
      </c>
      <c r="D87" s="17" t="inlineStr">
        <is>
          <t>Verify camera permission request dialog and image capture for Android Diet Plan</t>
        </is>
      </c>
      <c r="E87" s="17" t="inlineStr">
        <is>
          <t>Android E2E - Diet Plan - Verify camera permission request dialog and image capture (#86)</t>
        </is>
      </c>
      <c r="F87" s="17" t="inlineStr">
        <is>
          <t>Verify native Android application behavior for Diet Plan using Appium automation.</t>
        </is>
      </c>
      <c r="G87" s="17" t="inlineStr">
        <is>
          <t>NutriFit APK installed on Android Emulator/Device (API level 33+), Appium session running.</t>
        </is>
      </c>
      <c r="H87" s="17" t="inlineStr">
        <is>
          <t>1. Launch Appium driver session.
2. Open Diet Plan view via native element selector.
3. Tap photo upload button, handle system permission dialog, capture photo.
4. Verify UI state.</t>
        </is>
      </c>
      <c r="I87" s="17" t="inlineStr">
        <is>
          <t>Device: Pixel 7 Pro (API 34), Package: com.nutrifit.app, Module: Diet Plan</t>
        </is>
      </c>
      <c r="J87" s="17" t="inlineStr">
        <is>
          <t>Permission granted dialog works; captured image sets profile/meal avatar. for Diet Plan screen on Android.</t>
        </is>
      </c>
      <c r="K87" s="17" t="inlineStr">
        <is>
          <t>Pending Execution</t>
        </is>
      </c>
      <c r="L87" s="16" t="inlineStr">
        <is>
          <t>High</t>
        </is>
      </c>
      <c r="M87" s="16" t="inlineStr">
        <is>
          <t>Moderate</t>
        </is>
      </c>
      <c r="N87" s="18" t="inlineStr">
        <is>
          <t>Not Executed</t>
        </is>
      </c>
      <c r="O87" s="17" t="inlineStr">
        <is>
          <t>evidence/app-and-086_screenshot.png</t>
        </is>
      </c>
      <c r="P87" s="17" t="inlineStr">
        <is>
          <t>Automated baseline generation</t>
        </is>
      </c>
    </row>
    <row r="88" ht="36" customHeight="1">
      <c r="A88" s="16" t="inlineStr">
        <is>
          <t>APP-AND-087</t>
        </is>
      </c>
      <c r="B88" s="16" t="inlineStr">
        <is>
          <t>Appium Android E2E Testing</t>
        </is>
      </c>
      <c r="C88" s="17" t="inlineStr">
        <is>
          <t>Budget Diet Plan</t>
        </is>
      </c>
      <c r="D88" s="17" t="inlineStr">
        <is>
          <t>Verify deep link url execution on Android device for Android Budget Diet Plan</t>
        </is>
      </c>
      <c r="E88" s="17" t="inlineStr">
        <is>
          <t>Android E2E - Budget Diet Plan - Verify deep link url execution on Android device (#87)</t>
        </is>
      </c>
      <c r="F88" s="17" t="inlineStr">
        <is>
          <t>Verify native Android application behavior for Budget Diet Plan using Appium automation.</t>
        </is>
      </c>
      <c r="G88" s="17" t="inlineStr">
        <is>
          <t>NutriFit APK installed on Android Emulator/Device (API level 33+), Appium session running.</t>
        </is>
      </c>
      <c r="H88" s="17" t="inlineStr">
        <is>
          <t>1. Launch Appium driver session.
2. Open Budget Diet Plan view via native element selector.
3. Execute adb command to launch deep link URI target into app.
4. Verify UI state.</t>
        </is>
      </c>
      <c r="I88" s="17" t="inlineStr">
        <is>
          <t>Device: Pixel 7 Pro (API 34), Package: com.nutrifit.app, Module: Budget Diet Plan</t>
        </is>
      </c>
      <c r="J88" s="17" t="inlineStr">
        <is>
          <t>App launches directly into target product details view. for Budget Diet Plan screen on Android.</t>
        </is>
      </c>
      <c r="K88" s="17" t="inlineStr">
        <is>
          <t>Pending Execution</t>
        </is>
      </c>
      <c r="L88" s="16" t="inlineStr">
        <is>
          <t>Medium</t>
        </is>
      </c>
      <c r="M88" s="16" t="inlineStr">
        <is>
          <t>Major</t>
        </is>
      </c>
      <c r="N88" s="18" t="inlineStr">
        <is>
          <t>Not Executed</t>
        </is>
      </c>
      <c r="O88" s="17" t="inlineStr">
        <is>
          <t>evidence/app-and-087_screenshot.png</t>
        </is>
      </c>
      <c r="P88" s="17" t="inlineStr">
        <is>
          <t>Automated baseline generation</t>
        </is>
      </c>
    </row>
    <row r="89" ht="36" customHeight="1">
      <c r="A89" s="16" t="inlineStr">
        <is>
          <t>APP-AND-088</t>
        </is>
      </c>
      <c r="B89" s="16" t="inlineStr">
        <is>
          <t>Appium Android E2E Testing</t>
        </is>
      </c>
      <c r="C89" s="17" t="inlineStr">
        <is>
          <t>Stretching and Warm-up</t>
        </is>
      </c>
      <c r="D89" s="17" t="inlineStr">
        <is>
          <t>Verify app backgrounding and resume lifecycle state for Android Stretching and Warm-up</t>
        </is>
      </c>
      <c r="E89" s="17" t="inlineStr">
        <is>
          <t>Android E2E - Stretching and Warm-up - Verify app backgrounding and resume lifecycle state (#88)</t>
        </is>
      </c>
      <c r="F89" s="17" t="inlineStr">
        <is>
          <t>Verify native Android application behavior for Stretching and Warm-up using Appium automation.</t>
        </is>
      </c>
      <c r="G89" s="17" t="inlineStr">
        <is>
          <t>NutriFit APK installed on Android Emulator/Device (API level 33+), Appium session running.</t>
        </is>
      </c>
      <c r="H89" s="17" t="inlineStr">
        <is>
          <t>1. Launch Appium driver session.
2. Open Stretching and Warm-up view via native element selector.
3. Press Home button to send app to background for 30s, then re-open app.
4. Verify UI state.</t>
        </is>
      </c>
      <c r="I89" s="17" t="inlineStr">
        <is>
          <t>Device: Pixel 7 Pro (API 34), Package: com.nutrifit.app, Module: Stretching and Warm-up</t>
        </is>
      </c>
      <c r="J89" s="17" t="inlineStr">
        <is>
          <t>App resumes state intact without memory leak or session logout. for Stretching and Warm-up screen on Android.</t>
        </is>
      </c>
      <c r="K89" s="17" t="inlineStr">
        <is>
          <t>Pending Execution</t>
        </is>
      </c>
      <c r="L89" s="16" t="inlineStr">
        <is>
          <t>High</t>
        </is>
      </c>
      <c r="M89" s="16" t="inlineStr">
        <is>
          <t>Moderate</t>
        </is>
      </c>
      <c r="N89" s="18" t="inlineStr">
        <is>
          <t>Not Executed</t>
        </is>
      </c>
      <c r="O89" s="17" t="inlineStr">
        <is>
          <t>evidence/app-and-088_screenshot.png</t>
        </is>
      </c>
      <c r="P89" s="17" t="inlineStr">
        <is>
          <t>Automated baseline generation</t>
        </is>
      </c>
    </row>
    <row r="90" ht="36" customHeight="1">
      <c r="A90" s="16" t="inlineStr">
        <is>
          <t>APP-AND-089</t>
        </is>
      </c>
      <c r="B90" s="16" t="inlineStr">
        <is>
          <t>Appium Android E2E Testing</t>
        </is>
      </c>
      <c r="C90" s="17" t="inlineStr">
        <is>
          <t>Water Tracker</t>
        </is>
      </c>
      <c r="D90" s="17" t="inlineStr">
        <is>
          <t>Verify dark theme integration with Android system settings for Android Water Tracker</t>
        </is>
      </c>
      <c r="E90" s="17" t="inlineStr">
        <is>
          <t>Android E2E - Water Tracker - Verify dark theme integration with Android system settings (#89)</t>
        </is>
      </c>
      <c r="F90" s="17" t="inlineStr">
        <is>
          <t>Verify native Android application behavior for Water Tracker using Appium automation.</t>
        </is>
      </c>
      <c r="G90" s="17" t="inlineStr">
        <is>
          <t>NutriFit APK installed on Android Emulator/Device (API level 33+), Appium session running.</t>
        </is>
      </c>
      <c r="H90" s="17" t="inlineStr">
        <is>
          <t>1. Launch Appium driver session.
2. Open Water Tracker view via native element selector.
3. Toggle system-wide Android Dark Theme switch from quick settings.
4. Verify UI state.</t>
        </is>
      </c>
      <c r="I90" s="17" t="inlineStr">
        <is>
          <t>Device: Pixel 7 Pro (API 34), Package: com.nutrifit.app, Module: Water Tracker</t>
        </is>
      </c>
      <c r="J90" s="17" t="inlineStr">
        <is>
          <t>NutriFit automatically adapts to OS dark theme preference. for Water Tracker screen on Android.</t>
        </is>
      </c>
      <c r="K90" s="17" t="inlineStr">
        <is>
          <t>Pending Execution</t>
        </is>
      </c>
      <c r="L90" s="16" t="inlineStr">
        <is>
          <t>Medium</t>
        </is>
      </c>
      <c r="M90" s="16" t="inlineStr">
        <is>
          <t>Moderate</t>
        </is>
      </c>
      <c r="N90" s="18" t="inlineStr">
        <is>
          <t>Not Executed</t>
        </is>
      </c>
      <c r="O90" s="17" t="inlineStr">
        <is>
          <t>evidence/app-and-089_screenshot.png</t>
        </is>
      </c>
      <c r="P90" s="17" t="inlineStr">
        <is>
          <t>Automated baseline generation</t>
        </is>
      </c>
    </row>
    <row r="91" ht="36" customHeight="1">
      <c r="A91" s="16" t="inlineStr">
        <is>
          <t>APP-AND-090</t>
        </is>
      </c>
      <c r="B91" s="16" t="inlineStr">
        <is>
          <t>Appium Android E2E Testing</t>
        </is>
      </c>
      <c r="C91" s="17" t="inlineStr">
        <is>
          <t>Sleep Tracker</t>
        </is>
      </c>
      <c r="D91" s="17" t="inlineStr">
        <is>
          <t>Verify offline cached state when switching Airplane mode for Android Sleep Tracker</t>
        </is>
      </c>
      <c r="E91" s="17" t="inlineStr">
        <is>
          <t>Android E2E - Sleep Tracker - Verify offline cached state when switching Airplane mode (#90)</t>
        </is>
      </c>
      <c r="F91" s="17" t="inlineStr">
        <is>
          <t>Verify native Android application behavior for Sleep Tracker using Appium automation.</t>
        </is>
      </c>
      <c r="G91" s="17" t="inlineStr">
        <is>
          <t>NutriFit APK installed on Android Emulator/Device (API level 33+), Appium session running.</t>
        </is>
      </c>
      <c r="H91" s="17" t="inlineStr">
        <is>
          <t>1. Launch Appium driver session.
2. Open Sleep Tracker view via native element selector.
3. Turn on Airplane Mode on device, navigate app screens.
4. Verify UI state.</t>
        </is>
      </c>
      <c r="I91" s="17" t="inlineStr">
        <is>
          <t>Device: Pixel 7 Pro (API 34), Package: com.nutrifit.app, Module: Sleep Tracker</t>
        </is>
      </c>
      <c r="J91" s="17" t="inlineStr">
        <is>
          <t>App displays offline warning banner while serving cached data gracefully. for Sleep Tracker screen on Android.</t>
        </is>
      </c>
      <c r="K91" s="17" t="inlineStr">
        <is>
          <t>Pending Execution</t>
        </is>
      </c>
      <c r="L91" s="16" t="inlineStr">
        <is>
          <t>High</t>
        </is>
      </c>
      <c r="M91" s="16" t="inlineStr">
        <is>
          <t>Major</t>
        </is>
      </c>
      <c r="N91" s="18" t="inlineStr">
        <is>
          <t>Not Executed</t>
        </is>
      </c>
      <c r="O91" s="17" t="inlineStr">
        <is>
          <t>evidence/app-and-090_screenshot.png</t>
        </is>
      </c>
      <c r="P91" s="17" t="inlineStr">
        <is>
          <t>Automated baseline generation</t>
        </is>
      </c>
    </row>
  </sheetData>
  <autoFilter ref="A1:P9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20" customWidth="1" min="3" max="3"/>
    <col width="30" customWidth="1" min="4" max="4"/>
    <col width="35" customWidth="1" min="5" max="5"/>
    <col width="35" customWidth="1" min="6" max="6"/>
    <col width="30" customWidth="1" min="7" max="7"/>
    <col width="45" customWidth="1" min="8" max="8"/>
    <col width="25" customWidth="1" min="9" max="9"/>
    <col width="35" customWidth="1" min="10" max="10"/>
    <col width="20" customWidth="1" min="11" max="11"/>
    <col width="12" customWidth="1" min="12" max="12"/>
    <col width="12" customWidth="1" min="13" max="13"/>
    <col width="15" customWidth="1" min="14" max="14"/>
    <col width="25" customWidth="1" min="15" max="15"/>
    <col width="25" customWidth="1" min="16" max="16"/>
  </cols>
  <sheetData>
    <row r="1" ht="28" customHeight="1">
      <c r="A1" s="15" t="inlineStr">
        <is>
          <t>Test Case ID</t>
        </is>
      </c>
      <c r="B1" s="15" t="inlineStr">
        <is>
          <t>Testing Type</t>
        </is>
      </c>
      <c r="C1" s="15" t="inlineStr">
        <is>
          <t>Module</t>
        </is>
      </c>
      <c r="D1" s="15" t="inlineStr">
        <is>
          <t>Test Scenario</t>
        </is>
      </c>
      <c r="E1" s="15" t="inlineStr">
        <is>
          <t>Test Case Title</t>
        </is>
      </c>
      <c r="F1" s="15" t="inlineStr">
        <is>
          <t>Objective</t>
        </is>
      </c>
      <c r="G1" s="15" t="inlineStr">
        <is>
          <t>Preconditions</t>
        </is>
      </c>
      <c r="H1" s="15" t="inlineStr">
        <is>
          <t>Test Steps</t>
        </is>
      </c>
      <c r="I1" s="15" t="inlineStr">
        <is>
          <t>Test Data</t>
        </is>
      </c>
      <c r="J1" s="15" t="inlineStr">
        <is>
          <t>Expected Result</t>
        </is>
      </c>
      <c r="K1" s="15" t="inlineStr">
        <is>
          <t>Actual Result</t>
        </is>
      </c>
      <c r="L1" s="15" t="inlineStr">
        <is>
          <t>Priority</t>
        </is>
      </c>
      <c r="M1" s="15" t="inlineStr">
        <is>
          <t>Severity</t>
        </is>
      </c>
      <c r="N1" s="15" t="inlineStr">
        <is>
          <t>Status</t>
        </is>
      </c>
      <c r="O1" s="15" t="inlineStr">
        <is>
          <t>Evidence Path</t>
        </is>
      </c>
      <c r="P1" s="15" t="inlineStr">
        <is>
          <t>Remarks</t>
        </is>
      </c>
    </row>
    <row r="2" ht="36" customHeight="1">
      <c r="A2" s="16" t="inlineStr">
        <is>
          <t>FLU-TST-001</t>
        </is>
      </c>
      <c r="B2" s="16" t="inlineStr">
        <is>
          <t>Flutter Unit and Widget Testing</t>
        </is>
      </c>
      <c r="C2" s="17" t="inlineStr">
        <is>
          <t>Splash</t>
        </is>
      </c>
      <c r="D2" s="17" t="inlineStr">
        <is>
          <t>Unit/Widget testing of Splash components</t>
        </is>
      </c>
      <c r="E2" s="17" t="inlineStr">
        <is>
          <t>Flutter Test - Splash - Verify model JSON serialization &amp; deserialization logic (#1)</t>
        </is>
      </c>
      <c r="F2" s="17" t="inlineStr">
        <is>
          <t>Verify isolated unit logic and widget tree integrity for Splash using flutter_test package.</t>
        </is>
      </c>
      <c r="G2" s="17" t="inlineStr">
        <is>
          <t>Flutter SDK configured, flutter_test runner initialized with mock dependencies.</t>
        </is>
      </c>
      <c r="H2" s="17" t="inlineStr">
        <is>
          <t>1. Initialize mock dependencies.
2. Pass JSON map payload to Model.fromJson(), verify fields, call model.toJson().
3. Verify test assertions and expectations.</t>
        </is>
      </c>
      <c r="I2" s="17" t="inlineStr">
        <is>
          <t>Target Component: Splash, Framework: Flutter 3.x WidgetTester</t>
        </is>
      </c>
      <c r="J2" s="17" t="inlineStr">
        <is>
          <t>Model instantiates correctly; toJson matches expected map key values. in unit test suite.</t>
        </is>
      </c>
      <c r="K2" s="17" t="inlineStr">
        <is>
          <t>Pending Execution</t>
        </is>
      </c>
      <c r="L2" s="16" t="inlineStr">
        <is>
          <t>Medium</t>
        </is>
      </c>
      <c r="M2" s="16" t="inlineStr">
        <is>
          <t>Moderate</t>
        </is>
      </c>
      <c r="N2" s="18" t="inlineStr">
        <is>
          <t>Not Executed</t>
        </is>
      </c>
      <c r="O2" s="17" t="inlineStr">
        <is>
          <t>evidence/flu-tst-001_screenshot.png</t>
        </is>
      </c>
      <c r="P2" s="17" t="inlineStr">
        <is>
          <t>Automated baseline generation</t>
        </is>
      </c>
    </row>
    <row r="3" ht="36" customHeight="1">
      <c r="A3" s="16" t="inlineStr">
        <is>
          <t>FLU-TST-002</t>
        </is>
      </c>
      <c r="B3" s="16" t="inlineStr">
        <is>
          <t>Flutter Unit and Widget Testing</t>
        </is>
      </c>
      <c r="C3" s="17" t="inlineStr">
        <is>
          <t>Login</t>
        </is>
      </c>
      <c r="D3" s="17" t="inlineStr">
        <is>
          <t>Unit/Widget testing of Login components</t>
        </is>
      </c>
      <c r="E3" s="17" t="inlineStr">
        <is>
          <t>Flutter Test - Login - Verify form field validation regex functions (#2)</t>
        </is>
      </c>
      <c r="F3" s="17" t="inlineStr">
        <is>
          <t>Verify isolated unit logic and widget tree integrity for Login using flutter_test package.</t>
        </is>
      </c>
      <c r="G3" s="17" t="inlineStr">
        <is>
          <t>Flutter SDK configured, flutter_test runner initialized with mock dependencies.</t>
        </is>
      </c>
      <c r="H3" s="17" t="inlineStr">
        <is>
          <t>1. Initialize mock dependencies.
2. Invoke validation utility with valid, boundary, and malformed inputs.
3. Verify test assertions and expectations.</t>
        </is>
      </c>
      <c r="I3" s="17" t="inlineStr">
        <is>
          <t>Target Component: Login, Framework: Flutter 3.x WidgetTester</t>
        </is>
      </c>
      <c r="J3" s="17" t="inlineStr">
        <is>
          <t>Validation function returns null for valid input and error string for invalid. in unit test suite.</t>
        </is>
      </c>
      <c r="K3" s="17" t="inlineStr">
        <is>
          <t>Pending Execution</t>
        </is>
      </c>
      <c r="L3" s="16" t="inlineStr">
        <is>
          <t>Medium</t>
        </is>
      </c>
      <c r="M3" s="16" t="inlineStr">
        <is>
          <t>Moderate</t>
        </is>
      </c>
      <c r="N3" s="18" t="inlineStr">
        <is>
          <t>Not Executed</t>
        </is>
      </c>
      <c r="O3" s="17" t="inlineStr">
        <is>
          <t>evidence/flu-tst-002_screenshot.png</t>
        </is>
      </c>
      <c r="P3" s="17" t="inlineStr">
        <is>
          <t>Automated baseline generation</t>
        </is>
      </c>
    </row>
    <row r="4" ht="36" customHeight="1">
      <c r="A4" s="16" t="inlineStr">
        <is>
          <t>FLU-TST-003</t>
        </is>
      </c>
      <c r="B4" s="16" t="inlineStr">
        <is>
          <t>Flutter Unit and Widget Testing</t>
        </is>
      </c>
      <c r="C4" s="17" t="inlineStr">
        <is>
          <t>Signup</t>
        </is>
      </c>
      <c r="D4" s="17" t="inlineStr">
        <is>
          <t>Unit/Widget testing of Signup components</t>
        </is>
      </c>
      <c r="E4" s="17" t="inlineStr">
        <is>
          <t>Flutter Test - Signup - Verify ChangeNotifier state mutation and notifyListeners() (#3)</t>
        </is>
      </c>
      <c r="F4" s="17" t="inlineStr">
        <is>
          <t>Verify isolated unit logic and widget tree integrity for Signup using flutter_test package.</t>
        </is>
      </c>
      <c r="G4" s="17" t="inlineStr">
        <is>
          <t>Flutter SDK configured, flutter_test runner initialized with mock dependencies.</t>
        </is>
      </c>
      <c r="H4" s="17" t="inlineStr">
        <is>
          <t>1. Initialize mock dependencies.
2. Call state mutation method on Provider class, observe listener callback count.
3. Verify test assertions and expectations.</t>
        </is>
      </c>
      <c r="I4" s="17" t="inlineStr">
        <is>
          <t>Target Component: Signup, Framework: Flutter 3.x WidgetTester</t>
        </is>
      </c>
      <c r="J4" s="17" t="inlineStr">
        <is>
          <t>State updates as expected and notifyListeners() triggers UI rebuild once. in unit test suite.</t>
        </is>
      </c>
      <c r="K4" s="17" t="inlineStr">
        <is>
          <t>Pending Execution</t>
        </is>
      </c>
      <c r="L4" s="16" t="inlineStr">
        <is>
          <t>Medium</t>
        </is>
      </c>
      <c r="M4" s="16" t="inlineStr">
        <is>
          <t>Moderate</t>
        </is>
      </c>
      <c r="N4" s="18" t="inlineStr">
        <is>
          <t>Not Executed</t>
        </is>
      </c>
      <c r="O4" s="17" t="inlineStr">
        <is>
          <t>evidence/flu-tst-003_screenshot.png</t>
        </is>
      </c>
      <c r="P4" s="17" t="inlineStr">
        <is>
          <t>Automated baseline generation</t>
        </is>
      </c>
    </row>
    <row r="5" ht="36" customHeight="1">
      <c r="A5" s="16" t="inlineStr">
        <is>
          <t>FLU-TST-004</t>
        </is>
      </c>
      <c r="B5" s="16" t="inlineStr">
        <is>
          <t>Flutter Unit and Widget Testing</t>
        </is>
      </c>
      <c r="C5" s="17" t="inlineStr">
        <is>
          <t>Forgot Password</t>
        </is>
      </c>
      <c r="D5" s="17" t="inlineStr">
        <is>
          <t>Unit/Widget testing of Forgot Password components</t>
        </is>
      </c>
      <c r="E5" s="17" t="inlineStr">
        <is>
          <t>Flutter Test - Forgot Password - Verify Widget rendering in WidgetTester environment (#4)</t>
        </is>
      </c>
      <c r="F5" s="17" t="inlineStr">
        <is>
          <t>Verify isolated unit logic and widget tree integrity for Forgot Password using flutter_test package.</t>
        </is>
      </c>
      <c r="G5" s="17" t="inlineStr">
        <is>
          <t>Flutter SDK configured, flutter_test runner initialized with mock dependencies.</t>
        </is>
      </c>
      <c r="H5" s="17" t="inlineStr">
        <is>
          <t>1. Initialize mock dependencies.
2. Pump widget into WidgetTester tree, search elements using find.byType / find.text.
3. Verify test assertions and expectations.</t>
        </is>
      </c>
      <c r="I5" s="17" t="inlineStr">
        <is>
          <t>Target Component: Forgot Password, Framework: Flutter 3.x WidgetTester</t>
        </is>
      </c>
      <c r="J5" s="17" t="inlineStr">
        <is>
          <t>Widget renders without layout overflow warnings or unhandled exceptions. in unit test suite.</t>
        </is>
      </c>
      <c r="K5" s="17" t="inlineStr">
        <is>
          <t>Pending Execution</t>
        </is>
      </c>
      <c r="L5" s="16" t="inlineStr">
        <is>
          <t>High</t>
        </is>
      </c>
      <c r="M5" s="16" t="inlineStr">
        <is>
          <t>Moderate</t>
        </is>
      </c>
      <c r="N5" s="18" t="inlineStr">
        <is>
          <t>Not Executed</t>
        </is>
      </c>
      <c r="O5" s="17" t="inlineStr">
        <is>
          <t>evidence/flu-tst-004_screenshot.png</t>
        </is>
      </c>
      <c r="P5" s="17" t="inlineStr">
        <is>
          <t>Automated baseline generation</t>
        </is>
      </c>
    </row>
    <row r="6" ht="36" customHeight="1">
      <c r="A6" s="16" t="inlineStr">
        <is>
          <t>FLU-TST-005</t>
        </is>
      </c>
      <c r="B6" s="16" t="inlineStr">
        <is>
          <t>Flutter Unit and Widget Testing</t>
        </is>
      </c>
      <c r="C6" s="17" t="inlineStr">
        <is>
          <t>Email Verification</t>
        </is>
      </c>
      <c r="D6" s="17" t="inlineStr">
        <is>
          <t>Unit/Widget testing of Email Verification components</t>
        </is>
      </c>
      <c r="E6" s="17" t="inlineStr">
        <is>
          <t>Flutter Test - Email Verification - Verify mock service dependency injection and async response handling (#5)</t>
        </is>
      </c>
      <c r="F6" s="17" t="inlineStr">
        <is>
          <t>Verify isolated unit logic and widget tree integrity for Email Verification using flutter_test package.</t>
        </is>
      </c>
      <c r="G6" s="17" t="inlineStr">
        <is>
          <t>Flutter SDK configured, flutter_test runner initialized with mock dependencies.</t>
        </is>
      </c>
      <c r="H6" s="17" t="inlineStr">
        <is>
          <t>1. Initialize mock dependencies.
2. Inject MockSupabaseClient into service, call async method, await Future.
3. Verify test assertions and expectations.</t>
        </is>
      </c>
      <c r="I6" s="17" t="inlineStr">
        <is>
          <t>Target Component: Email Verification, Framework: Flutter 3.x WidgetTester</t>
        </is>
      </c>
      <c r="J6" s="17" t="inlineStr">
        <is>
          <t>Service parses mocked API response correctly into typed domain objects. in unit test suite.</t>
        </is>
      </c>
      <c r="K6" s="17" t="inlineStr">
        <is>
          <t>Pending Execution</t>
        </is>
      </c>
      <c r="L6" s="16" t="inlineStr">
        <is>
          <t>Medium</t>
        </is>
      </c>
      <c r="M6" s="16" t="inlineStr">
        <is>
          <t>Moderate</t>
        </is>
      </c>
      <c r="N6" s="18" t="inlineStr">
        <is>
          <t>Not Executed</t>
        </is>
      </c>
      <c r="O6" s="17" t="inlineStr">
        <is>
          <t>evidence/flu-tst-005_screenshot.png</t>
        </is>
      </c>
      <c r="P6" s="17" t="inlineStr">
        <is>
          <t>Automated baseline generation</t>
        </is>
      </c>
    </row>
    <row r="7" ht="36" customHeight="1">
      <c r="A7" s="16" t="inlineStr">
        <is>
          <t>FLU-TST-006</t>
        </is>
      </c>
      <c r="B7" s="16" t="inlineStr">
        <is>
          <t>Flutter Unit and Widget Testing</t>
        </is>
      </c>
      <c r="C7" s="17" t="inlineStr">
        <is>
          <t>Onboarding</t>
        </is>
      </c>
      <c r="D7" s="17" t="inlineStr">
        <is>
          <t>Unit/Widget testing of Onboarding components</t>
        </is>
      </c>
      <c r="E7" s="17" t="inlineStr">
        <is>
          <t>Flutter Test - Onboarding - Verify error boundary &amp; fallback widget rendering on exception (#6)</t>
        </is>
      </c>
      <c r="F7" s="17" t="inlineStr">
        <is>
          <t>Verify isolated unit logic and widget tree integrity for Onboarding using flutter_test package.</t>
        </is>
      </c>
      <c r="G7" s="17" t="inlineStr">
        <is>
          <t>Flutter SDK configured, flutter_test runner initialized with mock dependencies.</t>
        </is>
      </c>
      <c r="H7" s="17" t="inlineStr">
        <is>
          <t>1. Initialize mock dependencies.
2. Trigger exception during widget build phase inside ErrorWidget boundary.
3. Verify test assertions and expectations.</t>
        </is>
      </c>
      <c r="I7" s="17" t="inlineStr">
        <is>
          <t>Target Component: Onboarding, Framework: Flutter 3.x WidgetTester</t>
        </is>
      </c>
      <c r="J7" s="17" t="inlineStr">
        <is>
          <t>ErrorWidget fallback renders gracefully without throwing unhandled Flutter error. in unit test suite.</t>
        </is>
      </c>
      <c r="K7" s="17" t="inlineStr">
        <is>
          <t>Pending Execution</t>
        </is>
      </c>
      <c r="L7" s="16" t="inlineStr">
        <is>
          <t>Medium</t>
        </is>
      </c>
      <c r="M7" s="16" t="inlineStr">
        <is>
          <t>Moderate</t>
        </is>
      </c>
      <c r="N7" s="18" t="inlineStr">
        <is>
          <t>Not Executed</t>
        </is>
      </c>
      <c r="O7" s="17" t="inlineStr">
        <is>
          <t>evidence/flu-tst-006_screenshot.png</t>
        </is>
      </c>
      <c r="P7" s="17" t="inlineStr">
        <is>
          <t>Automated baseline generation</t>
        </is>
      </c>
    </row>
    <row r="8" ht="36" customHeight="1">
      <c r="A8" s="16" t="inlineStr">
        <is>
          <t>FLU-TST-007</t>
        </is>
      </c>
      <c r="B8" s="16" t="inlineStr">
        <is>
          <t>Flutter Unit and Widget Testing</t>
        </is>
      </c>
      <c r="C8" s="17" t="inlineStr">
        <is>
          <t>Dashboard</t>
        </is>
      </c>
      <c r="D8" s="17" t="inlineStr">
        <is>
          <t>Unit/Widget testing of Dashboard components</t>
        </is>
      </c>
      <c r="E8" s="17" t="inlineStr">
        <is>
          <t>Flutter Test - Dashboard - Verify model JSON serialization &amp; deserialization logic (#7)</t>
        </is>
      </c>
      <c r="F8" s="17" t="inlineStr">
        <is>
          <t>Verify isolated unit logic and widget tree integrity for Dashboard using flutter_test package.</t>
        </is>
      </c>
      <c r="G8" s="17" t="inlineStr">
        <is>
          <t>Flutter SDK configured, flutter_test runner initialized with mock dependencies.</t>
        </is>
      </c>
      <c r="H8" s="17" t="inlineStr">
        <is>
          <t>1. Initialize mock dependencies.
2. Pass JSON map payload to Model.fromJson(), verify fields, call model.toJson().
3. Verify test assertions and expectations.</t>
        </is>
      </c>
      <c r="I8" s="17" t="inlineStr">
        <is>
          <t>Target Component: Dashboard, Framework: Flutter 3.x WidgetTester</t>
        </is>
      </c>
      <c r="J8" s="17" t="inlineStr">
        <is>
          <t>Model instantiates correctly; toJson matches expected map key values. in unit test suite.</t>
        </is>
      </c>
      <c r="K8" s="17" t="inlineStr">
        <is>
          <t>Pending Execution</t>
        </is>
      </c>
      <c r="L8" s="16" t="inlineStr">
        <is>
          <t>Medium</t>
        </is>
      </c>
      <c r="M8" s="16" t="inlineStr">
        <is>
          <t>Moderate</t>
        </is>
      </c>
      <c r="N8" s="18" t="inlineStr">
        <is>
          <t>Not Executed</t>
        </is>
      </c>
      <c r="O8" s="17" t="inlineStr">
        <is>
          <t>evidence/flu-tst-007_screenshot.png</t>
        </is>
      </c>
      <c r="P8" s="17" t="inlineStr">
        <is>
          <t>Automated baseline generation</t>
        </is>
      </c>
    </row>
    <row r="9" ht="36" customHeight="1">
      <c r="A9" s="16" t="inlineStr">
        <is>
          <t>FLU-TST-008</t>
        </is>
      </c>
      <c r="B9" s="16" t="inlineStr">
        <is>
          <t>Flutter Unit and Widget Testing</t>
        </is>
      </c>
      <c r="C9" s="17" t="inlineStr">
        <is>
          <t>Profile</t>
        </is>
      </c>
      <c r="D9" s="17" t="inlineStr">
        <is>
          <t>Unit/Widget testing of Profile components</t>
        </is>
      </c>
      <c r="E9" s="17" t="inlineStr">
        <is>
          <t>Flutter Test - Profile - Verify form field validation regex functions (#8)</t>
        </is>
      </c>
      <c r="F9" s="17" t="inlineStr">
        <is>
          <t>Verify isolated unit logic and widget tree integrity for Profile using flutter_test package.</t>
        </is>
      </c>
      <c r="G9" s="17" t="inlineStr">
        <is>
          <t>Flutter SDK configured, flutter_test runner initialized with mock dependencies.</t>
        </is>
      </c>
      <c r="H9" s="17" t="inlineStr">
        <is>
          <t>1. Initialize mock dependencies.
2. Invoke validation utility with valid, boundary, and malformed inputs.
3. Verify test assertions and expectations.</t>
        </is>
      </c>
      <c r="I9" s="17" t="inlineStr">
        <is>
          <t>Target Component: Profile, Framework: Flutter 3.x WidgetTester</t>
        </is>
      </c>
      <c r="J9" s="17" t="inlineStr">
        <is>
          <t>Validation function returns null for valid input and error string for invalid. in unit test suite.</t>
        </is>
      </c>
      <c r="K9" s="17" t="inlineStr">
        <is>
          <t>Pending Execution</t>
        </is>
      </c>
      <c r="L9" s="16" t="inlineStr">
        <is>
          <t>High</t>
        </is>
      </c>
      <c r="M9" s="16" t="inlineStr">
        <is>
          <t>Moderate</t>
        </is>
      </c>
      <c r="N9" s="18" t="inlineStr">
        <is>
          <t>Not Executed</t>
        </is>
      </c>
      <c r="O9" s="17" t="inlineStr">
        <is>
          <t>evidence/flu-tst-008_screenshot.png</t>
        </is>
      </c>
      <c r="P9" s="17" t="inlineStr">
        <is>
          <t>Automated baseline generation</t>
        </is>
      </c>
    </row>
    <row r="10" ht="36" customHeight="1">
      <c r="A10" s="16" t="inlineStr">
        <is>
          <t>FLU-TST-009</t>
        </is>
      </c>
      <c r="B10" s="16" t="inlineStr">
        <is>
          <t>Flutter Unit and Widget Testing</t>
        </is>
      </c>
      <c r="C10" s="17" t="inlineStr">
        <is>
          <t>Language Settings</t>
        </is>
      </c>
      <c r="D10" s="17" t="inlineStr">
        <is>
          <t>Unit/Widget testing of Language Settings components</t>
        </is>
      </c>
      <c r="E10" s="17" t="inlineStr">
        <is>
          <t>Flutter Test - Language Settings - Verify ChangeNotifier state mutation and notifyListeners() (#9)</t>
        </is>
      </c>
      <c r="F10" s="17" t="inlineStr">
        <is>
          <t>Verify isolated unit logic and widget tree integrity for Language Settings using flutter_test package.</t>
        </is>
      </c>
      <c r="G10" s="17" t="inlineStr">
        <is>
          <t>Flutter SDK configured, flutter_test runner initialized with mock dependencies.</t>
        </is>
      </c>
      <c r="H10" s="17" t="inlineStr">
        <is>
          <t>1. Initialize mock dependencies.
2. Call state mutation method on Provider class, observe listener callback count.
3. Verify test assertions and expectations.</t>
        </is>
      </c>
      <c r="I10" s="17" t="inlineStr">
        <is>
          <t>Target Component: Language Settings, Framework: Flutter 3.x WidgetTester</t>
        </is>
      </c>
      <c r="J10" s="17" t="inlineStr">
        <is>
          <t>State updates as expected and notifyListeners() triggers UI rebuild once. in unit test suite.</t>
        </is>
      </c>
      <c r="K10" s="17" t="inlineStr">
        <is>
          <t>Pending Execution</t>
        </is>
      </c>
      <c r="L10" s="16" t="inlineStr">
        <is>
          <t>Medium</t>
        </is>
      </c>
      <c r="M10" s="16" t="inlineStr">
        <is>
          <t>Moderate</t>
        </is>
      </c>
      <c r="N10" s="18" t="inlineStr">
        <is>
          <t>Not Executed</t>
        </is>
      </c>
      <c r="O10" s="17" t="inlineStr">
        <is>
          <t>evidence/flu-tst-009_screenshot.png</t>
        </is>
      </c>
      <c r="P10" s="17" t="inlineStr">
        <is>
          <t>Automated baseline generation</t>
        </is>
      </c>
    </row>
    <row r="11" ht="36" customHeight="1">
      <c r="A11" s="16" t="inlineStr">
        <is>
          <t>FLU-TST-010</t>
        </is>
      </c>
      <c r="B11" s="16" t="inlineStr">
        <is>
          <t>Flutter Unit and Widget Testing</t>
        </is>
      </c>
      <c r="C11" s="17" t="inlineStr">
        <is>
          <t>AI Trainer</t>
        </is>
      </c>
      <c r="D11" s="17" t="inlineStr">
        <is>
          <t>Unit/Widget testing of AI Trainer components</t>
        </is>
      </c>
      <c r="E11" s="17" t="inlineStr">
        <is>
          <t>Flutter Test - AI Trainer - Verify Widget rendering in WidgetTester environment (#10)</t>
        </is>
      </c>
      <c r="F11" s="17" t="inlineStr">
        <is>
          <t>Verify isolated unit logic and widget tree integrity for AI Trainer using flutter_test package.</t>
        </is>
      </c>
      <c r="G11" s="17" t="inlineStr">
        <is>
          <t>Flutter SDK configured, flutter_test runner initialized with mock dependencies.</t>
        </is>
      </c>
      <c r="H11" s="17" t="inlineStr">
        <is>
          <t>1. Initialize mock dependencies.
2. Pump widget into WidgetTester tree, search elements using find.byType / find.text.
3. Verify test assertions and expectations.</t>
        </is>
      </c>
      <c r="I11" s="17" t="inlineStr">
        <is>
          <t>Target Component: AI Trainer, Framework: Flutter 3.x WidgetTester</t>
        </is>
      </c>
      <c r="J11" s="17" t="inlineStr">
        <is>
          <t>Widget renders without layout overflow warnings or unhandled exceptions. in unit test suite.</t>
        </is>
      </c>
      <c r="K11" s="17" t="inlineStr">
        <is>
          <t>Pending Execution</t>
        </is>
      </c>
      <c r="L11" s="16" t="inlineStr">
        <is>
          <t>Medium</t>
        </is>
      </c>
      <c r="M11" s="16" t="inlineStr">
        <is>
          <t>Critical</t>
        </is>
      </c>
      <c r="N11" s="18" t="inlineStr">
        <is>
          <t>Not Executed</t>
        </is>
      </c>
      <c r="O11" s="17" t="inlineStr">
        <is>
          <t>evidence/flu-tst-010_screenshot.png</t>
        </is>
      </c>
      <c r="P11" s="17" t="inlineStr">
        <is>
          <t>Automated baseline generation</t>
        </is>
      </c>
    </row>
    <row r="12" ht="36" customHeight="1">
      <c r="A12" s="16" t="inlineStr">
        <is>
          <t>FLU-TST-011</t>
        </is>
      </c>
      <c r="B12" s="16" t="inlineStr">
        <is>
          <t>Flutter Unit and Widget Testing</t>
        </is>
      </c>
      <c r="C12" s="17" t="inlineStr">
        <is>
          <t>Workout Plan</t>
        </is>
      </c>
      <c r="D12" s="17" t="inlineStr">
        <is>
          <t>Unit/Widget testing of Workout Plan components</t>
        </is>
      </c>
      <c r="E12" s="17" t="inlineStr">
        <is>
          <t>Flutter Test - Workout Plan - Verify mock service dependency injection and async response handling (#11)</t>
        </is>
      </c>
      <c r="F12" s="17" t="inlineStr">
        <is>
          <t>Verify isolated unit logic and widget tree integrity for Workout Plan using flutter_test package.</t>
        </is>
      </c>
      <c r="G12" s="17" t="inlineStr">
        <is>
          <t>Flutter SDK configured, flutter_test runner initialized with mock dependencies.</t>
        </is>
      </c>
      <c r="H12" s="17" t="inlineStr">
        <is>
          <t>1. Initialize mock dependencies.
2. Inject MockSupabaseClient into service, call async method, await Future.
3. Verify test assertions and expectations.</t>
        </is>
      </c>
      <c r="I12" s="17" t="inlineStr">
        <is>
          <t>Target Component: Workout Plan, Framework: Flutter 3.x WidgetTester</t>
        </is>
      </c>
      <c r="J12" s="17" t="inlineStr">
        <is>
          <t>Service parses mocked API response correctly into typed domain objects. in unit test suite.</t>
        </is>
      </c>
      <c r="K12" s="17" t="inlineStr">
        <is>
          <t>Pending Execution</t>
        </is>
      </c>
      <c r="L12" s="16" t="inlineStr">
        <is>
          <t>Medium</t>
        </is>
      </c>
      <c r="M12" s="16" t="inlineStr">
        <is>
          <t>Moderate</t>
        </is>
      </c>
      <c r="N12" s="18" t="inlineStr">
        <is>
          <t>Not Executed</t>
        </is>
      </c>
      <c r="O12" s="17" t="inlineStr">
        <is>
          <t>evidence/flu-tst-011_screenshot.png</t>
        </is>
      </c>
      <c r="P12" s="17" t="inlineStr">
        <is>
          <t>Automated baseline generation</t>
        </is>
      </c>
    </row>
    <row r="13" ht="36" customHeight="1">
      <c r="A13" s="16" t="inlineStr">
        <is>
          <t>FLU-TST-012</t>
        </is>
      </c>
      <c r="B13" s="16" t="inlineStr">
        <is>
          <t>Flutter Unit and Widget Testing</t>
        </is>
      </c>
      <c r="C13" s="17" t="inlineStr">
        <is>
          <t>Diet Plan</t>
        </is>
      </c>
      <c r="D13" s="17" t="inlineStr">
        <is>
          <t>Unit/Widget testing of Diet Plan components</t>
        </is>
      </c>
      <c r="E13" s="17" t="inlineStr">
        <is>
          <t>Flutter Test - Diet Plan - Verify error boundary &amp; fallback widget rendering on exception (#12)</t>
        </is>
      </c>
      <c r="F13" s="17" t="inlineStr">
        <is>
          <t>Verify isolated unit logic and widget tree integrity for Diet Plan using flutter_test package.</t>
        </is>
      </c>
      <c r="G13" s="17" t="inlineStr">
        <is>
          <t>Flutter SDK configured, flutter_test runner initialized with mock dependencies.</t>
        </is>
      </c>
      <c r="H13" s="17" t="inlineStr">
        <is>
          <t>1. Initialize mock dependencies.
2. Trigger exception during widget build phase inside ErrorWidget boundary.
3. Verify test assertions and expectations.</t>
        </is>
      </c>
      <c r="I13" s="17" t="inlineStr">
        <is>
          <t>Target Component: Diet Plan, Framework: Flutter 3.x WidgetTester</t>
        </is>
      </c>
      <c r="J13" s="17" t="inlineStr">
        <is>
          <t>ErrorWidget fallback renders gracefully without throwing unhandled Flutter error. in unit test suite.</t>
        </is>
      </c>
      <c r="K13" s="17" t="inlineStr">
        <is>
          <t>Pending Execution</t>
        </is>
      </c>
      <c r="L13" s="16" t="inlineStr">
        <is>
          <t>High</t>
        </is>
      </c>
      <c r="M13" s="16" t="inlineStr">
        <is>
          <t>Moderate</t>
        </is>
      </c>
      <c r="N13" s="18" t="inlineStr">
        <is>
          <t>Not Executed</t>
        </is>
      </c>
      <c r="O13" s="17" t="inlineStr">
        <is>
          <t>evidence/flu-tst-012_screenshot.png</t>
        </is>
      </c>
      <c r="P13" s="17" t="inlineStr">
        <is>
          <t>Automated baseline generation</t>
        </is>
      </c>
    </row>
    <row r="14" ht="36" customHeight="1">
      <c r="A14" s="16" t="inlineStr">
        <is>
          <t>FLU-TST-013</t>
        </is>
      </c>
      <c r="B14" s="16" t="inlineStr">
        <is>
          <t>Flutter Unit and Widget Testing</t>
        </is>
      </c>
      <c r="C14" s="17" t="inlineStr">
        <is>
          <t>Budget Diet Plan</t>
        </is>
      </c>
      <c r="D14" s="17" t="inlineStr">
        <is>
          <t>Unit/Widget testing of Budget Diet Plan components</t>
        </is>
      </c>
      <c r="E14" s="17" t="inlineStr">
        <is>
          <t>Flutter Test - Budget Diet Plan - Verify model JSON serialization &amp; deserialization logic (#13)</t>
        </is>
      </c>
      <c r="F14" s="17" t="inlineStr">
        <is>
          <t>Verify isolated unit logic and widget tree integrity for Budget Diet Plan using flutter_test package.</t>
        </is>
      </c>
      <c r="G14" s="17" t="inlineStr">
        <is>
          <t>Flutter SDK configured, flutter_test runner initialized with mock dependencies.</t>
        </is>
      </c>
      <c r="H14" s="17" t="inlineStr">
        <is>
          <t>1. Initialize mock dependencies.
2. Pass JSON map payload to Model.fromJson(), verify fields, call model.toJson().
3. Verify test assertions and expectations.</t>
        </is>
      </c>
      <c r="I14" s="17" t="inlineStr">
        <is>
          <t>Target Component: Budget Diet Plan, Framework: Flutter 3.x WidgetTester</t>
        </is>
      </c>
      <c r="J14" s="17" t="inlineStr">
        <is>
          <t>Model instantiates correctly; toJson matches expected map key values. in unit test suite.</t>
        </is>
      </c>
      <c r="K14" s="17" t="inlineStr">
        <is>
          <t>Pending Execution</t>
        </is>
      </c>
      <c r="L14" s="16" t="inlineStr">
        <is>
          <t>Medium</t>
        </is>
      </c>
      <c r="M14" s="16" t="inlineStr">
        <is>
          <t>Moderate</t>
        </is>
      </c>
      <c r="N14" s="18" t="inlineStr">
        <is>
          <t>Not Executed</t>
        </is>
      </c>
      <c r="O14" s="17" t="inlineStr">
        <is>
          <t>evidence/flu-tst-013_screenshot.png</t>
        </is>
      </c>
      <c r="P14" s="17" t="inlineStr">
        <is>
          <t>Automated baseline generation</t>
        </is>
      </c>
    </row>
    <row r="15" ht="36" customHeight="1">
      <c r="A15" s="16" t="inlineStr">
        <is>
          <t>FLU-TST-014</t>
        </is>
      </c>
      <c r="B15" s="16" t="inlineStr">
        <is>
          <t>Flutter Unit and Widget Testing</t>
        </is>
      </c>
      <c r="C15" s="17" t="inlineStr">
        <is>
          <t>Stretching and Warm-up</t>
        </is>
      </c>
      <c r="D15" s="17" t="inlineStr">
        <is>
          <t>Unit/Widget testing of Stretching and Warm-up components</t>
        </is>
      </c>
      <c r="E15" s="17" t="inlineStr">
        <is>
          <t>Flutter Test - Stretching and Warm-up - Verify form field validation regex functions (#14)</t>
        </is>
      </c>
      <c r="F15" s="17" t="inlineStr">
        <is>
          <t>Verify isolated unit logic and widget tree integrity for Stretching and Warm-up using flutter_test package.</t>
        </is>
      </c>
      <c r="G15" s="17" t="inlineStr">
        <is>
          <t>Flutter SDK configured, flutter_test runner initialized with mock dependencies.</t>
        </is>
      </c>
      <c r="H15" s="17" t="inlineStr">
        <is>
          <t>1. Initialize mock dependencies.
2. Invoke validation utility with valid, boundary, and malformed inputs.
3. Verify test assertions and expectations.</t>
        </is>
      </c>
      <c r="I15" s="17" t="inlineStr">
        <is>
          <t>Target Component: Stretching and Warm-up, Framework: Flutter 3.x WidgetTester</t>
        </is>
      </c>
      <c r="J15" s="17" t="inlineStr">
        <is>
          <t>Validation function returns null for valid input and error string for invalid. in unit test suite.</t>
        </is>
      </c>
      <c r="K15" s="17" t="inlineStr">
        <is>
          <t>Pending Execution</t>
        </is>
      </c>
      <c r="L15" s="16" t="inlineStr">
        <is>
          <t>Medium</t>
        </is>
      </c>
      <c r="M15" s="16" t="inlineStr">
        <is>
          <t>Moderate</t>
        </is>
      </c>
      <c r="N15" s="18" t="inlineStr">
        <is>
          <t>Not Executed</t>
        </is>
      </c>
      <c r="O15" s="17" t="inlineStr">
        <is>
          <t>evidence/flu-tst-014_screenshot.png</t>
        </is>
      </c>
      <c r="P15" s="17" t="inlineStr">
        <is>
          <t>Automated baseline generation</t>
        </is>
      </c>
    </row>
    <row r="16" ht="36" customHeight="1">
      <c r="A16" s="16" t="inlineStr">
        <is>
          <t>FLU-TST-015</t>
        </is>
      </c>
      <c r="B16" s="16" t="inlineStr">
        <is>
          <t>Flutter Unit and Widget Testing</t>
        </is>
      </c>
      <c r="C16" s="17" t="inlineStr">
        <is>
          <t>Water Tracker</t>
        </is>
      </c>
      <c r="D16" s="17" t="inlineStr">
        <is>
          <t>Unit/Widget testing of Water Tracker components</t>
        </is>
      </c>
      <c r="E16" s="17" t="inlineStr">
        <is>
          <t>Flutter Test - Water Tracker - Verify ChangeNotifier state mutation and notifyListeners() (#15)</t>
        </is>
      </c>
      <c r="F16" s="17" t="inlineStr">
        <is>
          <t>Verify isolated unit logic and widget tree integrity for Water Tracker using flutter_test package.</t>
        </is>
      </c>
      <c r="G16" s="17" t="inlineStr">
        <is>
          <t>Flutter SDK configured, flutter_test runner initialized with mock dependencies.</t>
        </is>
      </c>
      <c r="H16" s="17" t="inlineStr">
        <is>
          <t>1. Initialize mock dependencies.
2. Call state mutation method on Provider class, observe listener callback count.
3. Verify test assertions and expectations.</t>
        </is>
      </c>
      <c r="I16" s="17" t="inlineStr">
        <is>
          <t>Target Component: Water Tracker, Framework: Flutter 3.x WidgetTester</t>
        </is>
      </c>
      <c r="J16" s="17" t="inlineStr">
        <is>
          <t>State updates as expected and notifyListeners() triggers UI rebuild once. in unit test suite.</t>
        </is>
      </c>
      <c r="K16" s="17" t="inlineStr">
        <is>
          <t>Pending Execution</t>
        </is>
      </c>
      <c r="L16" s="16" t="inlineStr">
        <is>
          <t>Medium</t>
        </is>
      </c>
      <c r="M16" s="16" t="inlineStr">
        <is>
          <t>Moderate</t>
        </is>
      </c>
      <c r="N16" s="18" t="inlineStr">
        <is>
          <t>Not Executed</t>
        </is>
      </c>
      <c r="O16" s="17" t="inlineStr">
        <is>
          <t>evidence/flu-tst-015_screenshot.png</t>
        </is>
      </c>
      <c r="P16" s="17" t="inlineStr">
        <is>
          <t>Automated baseline generation</t>
        </is>
      </c>
    </row>
    <row r="17" ht="36" customHeight="1">
      <c r="A17" s="16" t="inlineStr">
        <is>
          <t>FLU-TST-016</t>
        </is>
      </c>
      <c r="B17" s="16" t="inlineStr">
        <is>
          <t>Flutter Unit and Widget Testing</t>
        </is>
      </c>
      <c r="C17" s="17" t="inlineStr">
        <is>
          <t>Sleep Tracker</t>
        </is>
      </c>
      <c r="D17" s="17" t="inlineStr">
        <is>
          <t>Unit/Widget testing of Sleep Tracker components</t>
        </is>
      </c>
      <c r="E17" s="17" t="inlineStr">
        <is>
          <t>Flutter Test - Sleep Tracker - Verify Widget rendering in WidgetTester environment (#16)</t>
        </is>
      </c>
      <c r="F17" s="17" t="inlineStr">
        <is>
          <t>Verify isolated unit logic and widget tree integrity for Sleep Tracker using flutter_test package.</t>
        </is>
      </c>
      <c r="G17" s="17" t="inlineStr">
        <is>
          <t>Flutter SDK configured, flutter_test runner initialized with mock dependencies.</t>
        </is>
      </c>
      <c r="H17" s="17" t="inlineStr">
        <is>
          <t>1. Initialize mock dependencies.
2. Pump widget into WidgetTester tree, search elements using find.byType / find.text.
3. Verify test assertions and expectations.</t>
        </is>
      </c>
      <c r="I17" s="17" t="inlineStr">
        <is>
          <t>Target Component: Sleep Tracker, Framework: Flutter 3.x WidgetTester</t>
        </is>
      </c>
      <c r="J17" s="17" t="inlineStr">
        <is>
          <t>Widget renders without layout overflow warnings or unhandled exceptions. in unit test suite.</t>
        </is>
      </c>
      <c r="K17" s="17" t="inlineStr">
        <is>
          <t>Pending Execution</t>
        </is>
      </c>
      <c r="L17" s="16" t="inlineStr">
        <is>
          <t>High</t>
        </is>
      </c>
      <c r="M17" s="16" t="inlineStr">
        <is>
          <t>Moderate</t>
        </is>
      </c>
      <c r="N17" s="18" t="inlineStr">
        <is>
          <t>Not Executed</t>
        </is>
      </c>
      <c r="O17" s="17" t="inlineStr">
        <is>
          <t>evidence/flu-tst-016_screenshot.png</t>
        </is>
      </c>
      <c r="P17" s="17" t="inlineStr">
        <is>
          <t>Automated baseline generation</t>
        </is>
      </c>
    </row>
    <row r="18" ht="36" customHeight="1">
      <c r="A18" s="16" t="inlineStr">
        <is>
          <t>FLU-TST-017</t>
        </is>
      </c>
      <c r="B18" s="16" t="inlineStr">
        <is>
          <t>Flutter Unit and Widget Testing</t>
        </is>
      </c>
      <c r="C18" s="17" t="inlineStr">
        <is>
          <t>Step Tracker</t>
        </is>
      </c>
      <c r="D18" s="17" t="inlineStr">
        <is>
          <t>Unit/Widget testing of Step Tracker components</t>
        </is>
      </c>
      <c r="E18" s="17" t="inlineStr">
        <is>
          <t>Flutter Test - Step Tracker - Verify mock service dependency injection and async response handling (#17)</t>
        </is>
      </c>
      <c r="F18" s="17" t="inlineStr">
        <is>
          <t>Verify isolated unit logic and widget tree integrity for Step Tracker using flutter_test package.</t>
        </is>
      </c>
      <c r="G18" s="17" t="inlineStr">
        <is>
          <t>Flutter SDK configured, flutter_test runner initialized with mock dependencies.</t>
        </is>
      </c>
      <c r="H18" s="17" t="inlineStr">
        <is>
          <t>1. Initialize mock dependencies.
2. Inject MockSupabaseClient into service, call async method, await Future.
3. Verify test assertions and expectations.</t>
        </is>
      </c>
      <c r="I18" s="17" t="inlineStr">
        <is>
          <t>Target Component: Step Tracker, Framework: Flutter 3.x WidgetTester</t>
        </is>
      </c>
      <c r="J18" s="17" t="inlineStr">
        <is>
          <t>Service parses mocked API response correctly into typed domain objects. in unit test suite.</t>
        </is>
      </c>
      <c r="K18" s="17" t="inlineStr">
        <is>
          <t>Pending Execution</t>
        </is>
      </c>
      <c r="L18" s="16" t="inlineStr">
        <is>
          <t>Medium</t>
        </is>
      </c>
      <c r="M18" s="16" t="inlineStr">
        <is>
          <t>Moderate</t>
        </is>
      </c>
      <c r="N18" s="18" t="inlineStr">
        <is>
          <t>Not Executed</t>
        </is>
      </c>
      <c r="O18" s="17" t="inlineStr">
        <is>
          <t>evidence/flu-tst-017_screenshot.png</t>
        </is>
      </c>
      <c r="P18" s="17" t="inlineStr">
        <is>
          <t>Automated baseline generation</t>
        </is>
      </c>
    </row>
    <row r="19" ht="36" customHeight="1">
      <c r="A19" s="16" t="inlineStr">
        <is>
          <t>FLU-TST-018</t>
        </is>
      </c>
      <c r="B19" s="16" t="inlineStr">
        <is>
          <t>Flutter Unit and Widget Testing</t>
        </is>
      </c>
      <c r="C19" s="17" t="inlineStr">
        <is>
          <t>Calorie Calculator</t>
        </is>
      </c>
      <c r="D19" s="17" t="inlineStr">
        <is>
          <t>Unit/Widget testing of Calorie Calculator components</t>
        </is>
      </c>
      <c r="E19" s="17" t="inlineStr">
        <is>
          <t>Flutter Test - Calorie Calculator - Verify error boundary &amp; fallback widget rendering on exception (#18)</t>
        </is>
      </c>
      <c r="F19" s="17" t="inlineStr">
        <is>
          <t>Verify isolated unit logic and widget tree integrity for Calorie Calculator using flutter_test package.</t>
        </is>
      </c>
      <c r="G19" s="17" t="inlineStr">
        <is>
          <t>Flutter SDK configured, flutter_test runner initialized with mock dependencies.</t>
        </is>
      </c>
      <c r="H19" s="17" t="inlineStr">
        <is>
          <t>1. Initialize mock dependencies.
2. Trigger exception during widget build phase inside ErrorWidget boundary.
3. Verify test assertions and expectations.</t>
        </is>
      </c>
      <c r="I19" s="17" t="inlineStr">
        <is>
          <t>Target Component: Calorie Calculator, Framework: Flutter 3.x WidgetTester</t>
        </is>
      </c>
      <c r="J19" s="17" t="inlineStr">
        <is>
          <t>ErrorWidget fallback renders gracefully without throwing unhandled Flutter error. in unit test suite.</t>
        </is>
      </c>
      <c r="K19" s="17" t="inlineStr">
        <is>
          <t>Pending Execution</t>
        </is>
      </c>
      <c r="L19" s="16" t="inlineStr">
        <is>
          <t>Medium</t>
        </is>
      </c>
      <c r="M19" s="16" t="inlineStr">
        <is>
          <t>Moderate</t>
        </is>
      </c>
      <c r="N19" s="18" t="inlineStr">
        <is>
          <t>Not Executed</t>
        </is>
      </c>
      <c r="O19" s="17" t="inlineStr">
        <is>
          <t>evidence/flu-tst-018_screenshot.png</t>
        </is>
      </c>
      <c r="P19" s="17" t="inlineStr">
        <is>
          <t>Automated baseline generation</t>
        </is>
      </c>
    </row>
    <row r="20" ht="36" customHeight="1">
      <c r="A20" s="16" t="inlineStr">
        <is>
          <t>FLU-TST-019</t>
        </is>
      </c>
      <c r="B20" s="16" t="inlineStr">
        <is>
          <t>Flutter Unit and Widget Testing</t>
        </is>
      </c>
      <c r="C20" s="17" t="inlineStr">
        <is>
          <t>Meal Reminder</t>
        </is>
      </c>
      <c r="D20" s="17" t="inlineStr">
        <is>
          <t>Unit/Widget testing of Meal Reminder components</t>
        </is>
      </c>
      <c r="E20" s="17" t="inlineStr">
        <is>
          <t>Flutter Test - Meal Reminder - Verify model JSON serialization &amp; deserialization logic (#19)</t>
        </is>
      </c>
      <c r="F20" s="17" t="inlineStr">
        <is>
          <t>Verify isolated unit logic and widget tree integrity for Meal Reminder using flutter_test package.</t>
        </is>
      </c>
      <c r="G20" s="17" t="inlineStr">
        <is>
          <t>Flutter SDK configured, flutter_test runner initialized with mock dependencies.</t>
        </is>
      </c>
      <c r="H20" s="17" t="inlineStr">
        <is>
          <t>1. Initialize mock dependencies.
2. Pass JSON map payload to Model.fromJson(), verify fields, call model.toJson().
3. Verify test assertions and expectations.</t>
        </is>
      </c>
      <c r="I20" s="17" t="inlineStr">
        <is>
          <t>Target Component: Meal Reminder, Framework: Flutter 3.x WidgetTester</t>
        </is>
      </c>
      <c r="J20" s="17" t="inlineStr">
        <is>
          <t>Model instantiates correctly; toJson matches expected map key values. in unit test suite.</t>
        </is>
      </c>
      <c r="K20" s="17" t="inlineStr">
        <is>
          <t>Pending Execution</t>
        </is>
      </c>
      <c r="L20" s="16" t="inlineStr">
        <is>
          <t>Medium</t>
        </is>
      </c>
      <c r="M20" s="16" t="inlineStr">
        <is>
          <t>Moderate</t>
        </is>
      </c>
      <c r="N20" s="18" t="inlineStr">
        <is>
          <t>Not Executed</t>
        </is>
      </c>
      <c r="O20" s="17" t="inlineStr">
        <is>
          <t>evidence/flu-tst-019_screenshot.png</t>
        </is>
      </c>
      <c r="P20" s="17" t="inlineStr">
        <is>
          <t>Automated baseline generation</t>
        </is>
      </c>
    </row>
    <row r="21" ht="36" customHeight="1">
      <c r="A21" s="16" t="inlineStr">
        <is>
          <t>FLU-TST-020</t>
        </is>
      </c>
      <c r="B21" s="16" t="inlineStr">
        <is>
          <t>Flutter Unit and Widget Testing</t>
        </is>
      </c>
      <c r="C21" s="17" t="inlineStr">
        <is>
          <t>Notifications</t>
        </is>
      </c>
      <c r="D21" s="17" t="inlineStr">
        <is>
          <t>Unit/Widget testing of Notifications components</t>
        </is>
      </c>
      <c r="E21" s="17" t="inlineStr">
        <is>
          <t>Flutter Test - Notifications - Verify form field validation regex functions (#20)</t>
        </is>
      </c>
      <c r="F21" s="17" t="inlineStr">
        <is>
          <t>Verify isolated unit logic and widget tree integrity for Notifications using flutter_test package.</t>
        </is>
      </c>
      <c r="G21" s="17" t="inlineStr">
        <is>
          <t>Flutter SDK configured, flutter_test runner initialized with mock dependencies.</t>
        </is>
      </c>
      <c r="H21" s="17" t="inlineStr">
        <is>
          <t>1. Initialize mock dependencies.
2. Invoke validation utility with valid, boundary, and malformed inputs.
3. Verify test assertions and expectations.</t>
        </is>
      </c>
      <c r="I21" s="17" t="inlineStr">
        <is>
          <t>Target Component: Notifications, Framework: Flutter 3.x WidgetTester</t>
        </is>
      </c>
      <c r="J21" s="17" t="inlineStr">
        <is>
          <t>Validation function returns null for valid input and error string for invalid. in unit test suite.</t>
        </is>
      </c>
      <c r="K21" s="17" t="inlineStr">
        <is>
          <t>Pending Execution</t>
        </is>
      </c>
      <c r="L21" s="16" t="inlineStr">
        <is>
          <t>High</t>
        </is>
      </c>
      <c r="M21" s="16" t="inlineStr">
        <is>
          <t>Critical</t>
        </is>
      </c>
      <c r="N21" s="18" t="inlineStr">
        <is>
          <t>Not Executed</t>
        </is>
      </c>
      <c r="O21" s="17" t="inlineStr">
        <is>
          <t>evidence/flu-tst-020_screenshot.png</t>
        </is>
      </c>
      <c r="P21" s="17" t="inlineStr">
        <is>
          <t>Automated baseline generation</t>
        </is>
      </c>
    </row>
    <row r="22" ht="36" customHeight="1">
      <c r="A22" s="16" t="inlineStr">
        <is>
          <t>FLU-TST-021</t>
        </is>
      </c>
      <c r="B22" s="16" t="inlineStr">
        <is>
          <t>Flutter Unit and Widget Testing</t>
        </is>
      </c>
      <c r="C22" s="17" t="inlineStr">
        <is>
          <t>Shop</t>
        </is>
      </c>
      <c r="D22" s="17" t="inlineStr">
        <is>
          <t>Unit/Widget testing of Shop components</t>
        </is>
      </c>
      <c r="E22" s="17" t="inlineStr">
        <is>
          <t>Flutter Test - Shop - Verify ChangeNotifier state mutation and notifyListeners() (#21)</t>
        </is>
      </c>
      <c r="F22" s="17" t="inlineStr">
        <is>
          <t>Verify isolated unit logic and widget tree integrity for Shop using flutter_test package.</t>
        </is>
      </c>
      <c r="G22" s="17" t="inlineStr">
        <is>
          <t>Flutter SDK configured, flutter_test runner initialized with mock dependencies.</t>
        </is>
      </c>
      <c r="H22" s="17" t="inlineStr">
        <is>
          <t>1. Initialize mock dependencies.
2. Call state mutation method on Provider class, observe listener callback count.
3. Verify test assertions and expectations.</t>
        </is>
      </c>
      <c r="I22" s="17" t="inlineStr">
        <is>
          <t>Target Component: Shop, Framework: Flutter 3.x WidgetTester</t>
        </is>
      </c>
      <c r="J22" s="17" t="inlineStr">
        <is>
          <t>State updates as expected and notifyListeners() triggers UI rebuild once. in unit test suite.</t>
        </is>
      </c>
      <c r="K22" s="17" t="inlineStr">
        <is>
          <t>Pending Execution</t>
        </is>
      </c>
      <c r="L22" s="16" t="inlineStr">
        <is>
          <t>Medium</t>
        </is>
      </c>
      <c r="M22" s="16" t="inlineStr">
        <is>
          <t>Moderate</t>
        </is>
      </c>
      <c r="N22" s="18" t="inlineStr">
        <is>
          <t>Not Executed</t>
        </is>
      </c>
      <c r="O22" s="17" t="inlineStr">
        <is>
          <t>evidence/flu-tst-021_screenshot.png</t>
        </is>
      </c>
      <c r="P22" s="17" t="inlineStr">
        <is>
          <t>Automated baseline generation</t>
        </is>
      </c>
    </row>
    <row r="23" ht="36" customHeight="1">
      <c r="A23" s="16" t="inlineStr">
        <is>
          <t>FLU-TST-022</t>
        </is>
      </c>
      <c r="B23" s="16" t="inlineStr">
        <is>
          <t>Flutter Unit and Widget Testing</t>
        </is>
      </c>
      <c r="C23" s="17" t="inlineStr">
        <is>
          <t>Product Search and Filters</t>
        </is>
      </c>
      <c r="D23" s="17" t="inlineStr">
        <is>
          <t>Unit/Widget testing of Product Search and Filters components</t>
        </is>
      </c>
      <c r="E23" s="17" t="inlineStr">
        <is>
          <t>Flutter Test - Product Search and Filters - Verify Widget rendering in WidgetTester environment (#22)</t>
        </is>
      </c>
      <c r="F23" s="17" t="inlineStr">
        <is>
          <t>Verify isolated unit logic and widget tree integrity for Product Search and Filters using flutter_test package.</t>
        </is>
      </c>
      <c r="G23" s="17" t="inlineStr">
        <is>
          <t>Flutter SDK configured, flutter_test runner initialized with mock dependencies.</t>
        </is>
      </c>
      <c r="H23" s="17" t="inlineStr">
        <is>
          <t>1. Initialize mock dependencies.
2. Pump widget into WidgetTester tree, search elements using find.byType / find.text.
3. Verify test assertions and expectations.</t>
        </is>
      </c>
      <c r="I23" s="17" t="inlineStr">
        <is>
          <t>Target Component: Product Search and Filters, Framework: Flutter 3.x WidgetTester</t>
        </is>
      </c>
      <c r="J23" s="17" t="inlineStr">
        <is>
          <t>Widget renders without layout overflow warnings or unhandled exceptions. in unit test suite.</t>
        </is>
      </c>
      <c r="K23" s="17" t="inlineStr">
        <is>
          <t>Pending Execution</t>
        </is>
      </c>
      <c r="L23" s="16" t="inlineStr">
        <is>
          <t>Medium</t>
        </is>
      </c>
      <c r="M23" s="16" t="inlineStr">
        <is>
          <t>Moderate</t>
        </is>
      </c>
      <c r="N23" s="18" t="inlineStr">
        <is>
          <t>Not Executed</t>
        </is>
      </c>
      <c r="O23" s="17" t="inlineStr">
        <is>
          <t>evidence/flu-tst-022_screenshot.png</t>
        </is>
      </c>
      <c r="P23" s="17" t="inlineStr">
        <is>
          <t>Automated baseline generation</t>
        </is>
      </c>
    </row>
    <row r="24" ht="36" customHeight="1">
      <c r="A24" s="16" t="inlineStr">
        <is>
          <t>FLU-TST-023</t>
        </is>
      </c>
      <c r="B24" s="16" t="inlineStr">
        <is>
          <t>Flutter Unit and Widget Testing</t>
        </is>
      </c>
      <c r="C24" s="17" t="inlineStr">
        <is>
          <t>Product Details</t>
        </is>
      </c>
      <c r="D24" s="17" t="inlineStr">
        <is>
          <t>Unit/Widget testing of Product Details components</t>
        </is>
      </c>
      <c r="E24" s="17" t="inlineStr">
        <is>
          <t>Flutter Test - Product Details - Verify mock service dependency injection and async response handling (#23)</t>
        </is>
      </c>
      <c r="F24" s="17" t="inlineStr">
        <is>
          <t>Verify isolated unit logic and widget tree integrity for Product Details using flutter_test package.</t>
        </is>
      </c>
      <c r="G24" s="17" t="inlineStr">
        <is>
          <t>Flutter SDK configured, flutter_test runner initialized with mock dependencies.</t>
        </is>
      </c>
      <c r="H24" s="17" t="inlineStr">
        <is>
          <t>1. Initialize mock dependencies.
2. Inject MockSupabaseClient into service, call async method, await Future.
3. Verify test assertions and expectations.</t>
        </is>
      </c>
      <c r="I24" s="17" t="inlineStr">
        <is>
          <t>Target Component: Product Details, Framework: Flutter 3.x WidgetTester</t>
        </is>
      </c>
      <c r="J24" s="17" t="inlineStr">
        <is>
          <t>Service parses mocked API response correctly into typed domain objects. in unit test suite.</t>
        </is>
      </c>
      <c r="K24" s="17" t="inlineStr">
        <is>
          <t>Pending Execution</t>
        </is>
      </c>
      <c r="L24" s="16" t="inlineStr">
        <is>
          <t>Medium</t>
        </is>
      </c>
      <c r="M24" s="16" t="inlineStr">
        <is>
          <t>Moderate</t>
        </is>
      </c>
      <c r="N24" s="18" t="inlineStr">
        <is>
          <t>Not Executed</t>
        </is>
      </c>
      <c r="O24" s="17" t="inlineStr">
        <is>
          <t>evidence/flu-tst-023_screenshot.png</t>
        </is>
      </c>
      <c r="P24" s="17" t="inlineStr">
        <is>
          <t>Automated baseline generation</t>
        </is>
      </c>
    </row>
    <row r="25" ht="36" customHeight="1">
      <c r="A25" s="16" t="inlineStr">
        <is>
          <t>FLU-TST-024</t>
        </is>
      </c>
      <c r="B25" s="16" t="inlineStr">
        <is>
          <t>Flutter Unit and Widget Testing</t>
        </is>
      </c>
      <c r="C25" s="17" t="inlineStr">
        <is>
          <t>Wishlist</t>
        </is>
      </c>
      <c r="D25" s="17" t="inlineStr">
        <is>
          <t>Unit/Widget testing of Wishlist components</t>
        </is>
      </c>
      <c r="E25" s="17" t="inlineStr">
        <is>
          <t>Flutter Test - Wishlist - Verify error boundary &amp; fallback widget rendering on exception (#24)</t>
        </is>
      </c>
      <c r="F25" s="17" t="inlineStr">
        <is>
          <t>Verify isolated unit logic and widget tree integrity for Wishlist using flutter_test package.</t>
        </is>
      </c>
      <c r="G25" s="17" t="inlineStr">
        <is>
          <t>Flutter SDK configured, flutter_test runner initialized with mock dependencies.</t>
        </is>
      </c>
      <c r="H25" s="17" t="inlineStr">
        <is>
          <t>1. Initialize mock dependencies.
2. Trigger exception during widget build phase inside ErrorWidget boundary.
3. Verify test assertions and expectations.</t>
        </is>
      </c>
      <c r="I25" s="17" t="inlineStr">
        <is>
          <t>Target Component: Wishlist, Framework: Flutter 3.x WidgetTester</t>
        </is>
      </c>
      <c r="J25" s="17" t="inlineStr">
        <is>
          <t>ErrorWidget fallback renders gracefully without throwing unhandled Flutter error. in unit test suite.</t>
        </is>
      </c>
      <c r="K25" s="17" t="inlineStr">
        <is>
          <t>Pending Execution</t>
        </is>
      </c>
      <c r="L25" s="16" t="inlineStr">
        <is>
          <t>High</t>
        </is>
      </c>
      <c r="M25" s="16" t="inlineStr">
        <is>
          <t>Moderate</t>
        </is>
      </c>
      <c r="N25" s="18" t="inlineStr">
        <is>
          <t>Not Executed</t>
        </is>
      </c>
      <c r="O25" s="17" t="inlineStr">
        <is>
          <t>evidence/flu-tst-024_screenshot.png</t>
        </is>
      </c>
      <c r="P25" s="17" t="inlineStr">
        <is>
          <t>Automated baseline generation</t>
        </is>
      </c>
    </row>
    <row r="26" ht="36" customHeight="1">
      <c r="A26" s="16" t="inlineStr">
        <is>
          <t>FLU-TST-025</t>
        </is>
      </c>
      <c r="B26" s="16" t="inlineStr">
        <is>
          <t>Flutter Unit and Widget Testing</t>
        </is>
      </c>
      <c r="C26" s="17" t="inlineStr">
        <is>
          <t>Cart</t>
        </is>
      </c>
      <c r="D26" s="17" t="inlineStr">
        <is>
          <t>Unit/Widget testing of Cart components</t>
        </is>
      </c>
      <c r="E26" s="17" t="inlineStr">
        <is>
          <t>Flutter Test - Cart - Verify model JSON serialization &amp; deserialization logic (#25)</t>
        </is>
      </c>
      <c r="F26" s="17" t="inlineStr">
        <is>
          <t>Verify isolated unit logic and widget tree integrity for Cart using flutter_test package.</t>
        </is>
      </c>
      <c r="G26" s="17" t="inlineStr">
        <is>
          <t>Flutter SDK configured, flutter_test runner initialized with mock dependencies.</t>
        </is>
      </c>
      <c r="H26" s="17" t="inlineStr">
        <is>
          <t>1. Initialize mock dependencies.
2. Pass JSON map payload to Model.fromJson(), verify fields, call model.toJson().
3. Verify test assertions and expectations.</t>
        </is>
      </c>
      <c r="I26" s="17" t="inlineStr">
        <is>
          <t>Target Component: Cart, Framework: Flutter 3.x WidgetTester</t>
        </is>
      </c>
      <c r="J26" s="17" t="inlineStr">
        <is>
          <t>Model instantiates correctly; toJson matches expected map key values. in unit test suite.</t>
        </is>
      </c>
      <c r="K26" s="17" t="inlineStr">
        <is>
          <t>Pending Execution</t>
        </is>
      </c>
      <c r="L26" s="16" t="inlineStr">
        <is>
          <t>Medium</t>
        </is>
      </c>
      <c r="M26" s="16" t="inlineStr">
        <is>
          <t>Moderate</t>
        </is>
      </c>
      <c r="N26" s="18" t="inlineStr">
        <is>
          <t>Not Executed</t>
        </is>
      </c>
      <c r="O26" s="17" t="inlineStr">
        <is>
          <t>evidence/flu-tst-025_screenshot.png</t>
        </is>
      </c>
      <c r="P26" s="17" t="inlineStr">
        <is>
          <t>Automated baseline generation</t>
        </is>
      </c>
    </row>
    <row r="27" ht="36" customHeight="1">
      <c r="A27" s="16" t="inlineStr">
        <is>
          <t>FLU-TST-026</t>
        </is>
      </c>
      <c r="B27" s="16" t="inlineStr">
        <is>
          <t>Flutter Unit and Widget Testing</t>
        </is>
      </c>
      <c r="C27" s="17" t="inlineStr">
        <is>
          <t>Checkout</t>
        </is>
      </c>
      <c r="D27" s="17" t="inlineStr">
        <is>
          <t>Unit/Widget testing of Checkout components</t>
        </is>
      </c>
      <c r="E27" s="17" t="inlineStr">
        <is>
          <t>Flutter Test - Checkout - Verify form field validation regex functions (#26)</t>
        </is>
      </c>
      <c r="F27" s="17" t="inlineStr">
        <is>
          <t>Verify isolated unit logic and widget tree integrity for Checkout using flutter_test package.</t>
        </is>
      </c>
      <c r="G27" s="17" t="inlineStr">
        <is>
          <t>Flutter SDK configured, flutter_test runner initialized with mock dependencies.</t>
        </is>
      </c>
      <c r="H27" s="17" t="inlineStr">
        <is>
          <t>1. Initialize mock dependencies.
2. Invoke validation utility with valid, boundary, and malformed inputs.
3. Verify test assertions and expectations.</t>
        </is>
      </c>
      <c r="I27" s="17" t="inlineStr">
        <is>
          <t>Target Component: Checkout, Framework: Flutter 3.x WidgetTester</t>
        </is>
      </c>
      <c r="J27" s="17" t="inlineStr">
        <is>
          <t>Validation function returns null for valid input and error string for invalid. in unit test suite.</t>
        </is>
      </c>
      <c r="K27" s="17" t="inlineStr">
        <is>
          <t>Pending Execution</t>
        </is>
      </c>
      <c r="L27" s="16" t="inlineStr">
        <is>
          <t>Medium</t>
        </is>
      </c>
      <c r="M27" s="16" t="inlineStr">
        <is>
          <t>Moderate</t>
        </is>
      </c>
      <c r="N27" s="18" t="inlineStr">
        <is>
          <t>Not Executed</t>
        </is>
      </c>
      <c r="O27" s="17" t="inlineStr">
        <is>
          <t>evidence/flu-tst-026_screenshot.png</t>
        </is>
      </c>
      <c r="P27" s="17" t="inlineStr">
        <is>
          <t>Automated baseline generation</t>
        </is>
      </c>
    </row>
    <row r="28" ht="36" customHeight="1">
      <c r="A28" s="16" t="inlineStr">
        <is>
          <t>FLU-TST-027</t>
        </is>
      </c>
      <c r="B28" s="16" t="inlineStr">
        <is>
          <t>Flutter Unit and Widget Testing</t>
        </is>
      </c>
      <c r="C28" s="17" t="inlineStr">
        <is>
          <t>Address Management</t>
        </is>
      </c>
      <c r="D28" s="17" t="inlineStr">
        <is>
          <t>Unit/Widget testing of Address Management components</t>
        </is>
      </c>
      <c r="E28" s="17" t="inlineStr">
        <is>
          <t>Flutter Test - Address Management - Verify ChangeNotifier state mutation and notifyListeners() (#27)</t>
        </is>
      </c>
      <c r="F28" s="17" t="inlineStr">
        <is>
          <t>Verify isolated unit logic and widget tree integrity for Address Management using flutter_test package.</t>
        </is>
      </c>
      <c r="G28" s="17" t="inlineStr">
        <is>
          <t>Flutter SDK configured, flutter_test runner initialized with mock dependencies.</t>
        </is>
      </c>
      <c r="H28" s="17" t="inlineStr">
        <is>
          <t>1. Initialize mock dependencies.
2. Call state mutation method on Provider class, observe listener callback count.
3. Verify test assertions and expectations.</t>
        </is>
      </c>
      <c r="I28" s="17" t="inlineStr">
        <is>
          <t>Target Component: Address Management, Framework: Flutter 3.x WidgetTester</t>
        </is>
      </c>
      <c r="J28" s="17" t="inlineStr">
        <is>
          <t>State updates as expected and notifyListeners() triggers UI rebuild once. in unit test suite.</t>
        </is>
      </c>
      <c r="K28" s="17" t="inlineStr">
        <is>
          <t>Pending Execution</t>
        </is>
      </c>
      <c r="L28" s="16" t="inlineStr">
        <is>
          <t>Medium</t>
        </is>
      </c>
      <c r="M28" s="16" t="inlineStr">
        <is>
          <t>Moderate</t>
        </is>
      </c>
      <c r="N28" s="18" t="inlineStr">
        <is>
          <t>Not Executed</t>
        </is>
      </c>
      <c r="O28" s="17" t="inlineStr">
        <is>
          <t>evidence/flu-tst-027_screenshot.png</t>
        </is>
      </c>
      <c r="P28" s="17" t="inlineStr">
        <is>
          <t>Automated baseline generation</t>
        </is>
      </c>
    </row>
    <row r="29" ht="36" customHeight="1">
      <c r="A29" s="16" t="inlineStr">
        <is>
          <t>FLU-TST-028</t>
        </is>
      </c>
      <c r="B29" s="16" t="inlineStr">
        <is>
          <t>Flutter Unit and Widget Testing</t>
        </is>
      </c>
      <c r="C29" s="17" t="inlineStr">
        <is>
          <t>Payment Method</t>
        </is>
      </c>
      <c r="D29" s="17" t="inlineStr">
        <is>
          <t>Unit/Widget testing of Payment Method components</t>
        </is>
      </c>
      <c r="E29" s="17" t="inlineStr">
        <is>
          <t>Flutter Test - Payment Method - Verify Widget rendering in WidgetTester environment (#28)</t>
        </is>
      </c>
      <c r="F29" s="17" t="inlineStr">
        <is>
          <t>Verify isolated unit logic and widget tree integrity for Payment Method using flutter_test package.</t>
        </is>
      </c>
      <c r="G29" s="17" t="inlineStr">
        <is>
          <t>Flutter SDK configured, flutter_test runner initialized with mock dependencies.</t>
        </is>
      </c>
      <c r="H29" s="17" t="inlineStr">
        <is>
          <t>1. Initialize mock dependencies.
2. Pump widget into WidgetTester tree, search elements using find.byType / find.text.
3. Verify test assertions and expectations.</t>
        </is>
      </c>
      <c r="I29" s="17" t="inlineStr">
        <is>
          <t>Target Component: Payment Method, Framework: Flutter 3.x WidgetTester</t>
        </is>
      </c>
      <c r="J29" s="17" t="inlineStr">
        <is>
          <t>Widget renders without layout overflow warnings or unhandled exceptions. in unit test suite.</t>
        </is>
      </c>
      <c r="K29" s="17" t="inlineStr">
        <is>
          <t>Pending Execution</t>
        </is>
      </c>
      <c r="L29" s="16" t="inlineStr">
        <is>
          <t>High</t>
        </is>
      </c>
      <c r="M29" s="16" t="inlineStr">
        <is>
          <t>Moderate</t>
        </is>
      </c>
      <c r="N29" s="18" t="inlineStr">
        <is>
          <t>Not Executed</t>
        </is>
      </c>
      <c r="O29" s="17" t="inlineStr">
        <is>
          <t>evidence/flu-tst-028_screenshot.png</t>
        </is>
      </c>
      <c r="P29" s="17" t="inlineStr">
        <is>
          <t>Automated baseline generation</t>
        </is>
      </c>
    </row>
    <row r="30" ht="36" customHeight="1">
      <c r="A30" s="16" t="inlineStr">
        <is>
          <t>FLU-TST-029</t>
        </is>
      </c>
      <c r="B30" s="16" t="inlineStr">
        <is>
          <t>Flutter Unit and Widget Testing</t>
        </is>
      </c>
      <c r="C30" s="17" t="inlineStr">
        <is>
          <t>Place Order</t>
        </is>
      </c>
      <c r="D30" s="17" t="inlineStr">
        <is>
          <t>Unit/Widget testing of Place Order components</t>
        </is>
      </c>
      <c r="E30" s="17" t="inlineStr">
        <is>
          <t>Flutter Test - Place Order - Verify mock service dependency injection and async response handling (#29)</t>
        </is>
      </c>
      <c r="F30" s="17" t="inlineStr">
        <is>
          <t>Verify isolated unit logic and widget tree integrity for Place Order using flutter_test package.</t>
        </is>
      </c>
      <c r="G30" s="17" t="inlineStr">
        <is>
          <t>Flutter SDK configured, flutter_test runner initialized with mock dependencies.</t>
        </is>
      </c>
      <c r="H30" s="17" t="inlineStr">
        <is>
          <t>1. Initialize mock dependencies.
2. Inject MockSupabaseClient into service, call async method, await Future.
3. Verify test assertions and expectations.</t>
        </is>
      </c>
      <c r="I30" s="17" t="inlineStr">
        <is>
          <t>Target Component: Place Order, Framework: Flutter 3.x WidgetTester</t>
        </is>
      </c>
      <c r="J30" s="17" t="inlineStr">
        <is>
          <t>Service parses mocked API response correctly into typed domain objects. in unit test suite.</t>
        </is>
      </c>
      <c r="K30" s="17" t="inlineStr">
        <is>
          <t>Pending Execution</t>
        </is>
      </c>
      <c r="L30" s="16" t="inlineStr">
        <is>
          <t>Medium</t>
        </is>
      </c>
      <c r="M30" s="16" t="inlineStr">
        <is>
          <t>Moderate</t>
        </is>
      </c>
      <c r="N30" s="18" t="inlineStr">
        <is>
          <t>Not Executed</t>
        </is>
      </c>
      <c r="O30" s="17" t="inlineStr">
        <is>
          <t>evidence/flu-tst-029_screenshot.png</t>
        </is>
      </c>
      <c r="P30" s="17" t="inlineStr">
        <is>
          <t>Automated baseline generation</t>
        </is>
      </c>
    </row>
    <row r="31" ht="36" customHeight="1">
      <c r="A31" s="16" t="inlineStr">
        <is>
          <t>FLU-TST-030</t>
        </is>
      </c>
      <c r="B31" s="16" t="inlineStr">
        <is>
          <t>Flutter Unit and Widget Testing</t>
        </is>
      </c>
      <c r="C31" s="17" t="inlineStr">
        <is>
          <t>My Orders</t>
        </is>
      </c>
      <c r="D31" s="17" t="inlineStr">
        <is>
          <t>Unit/Widget testing of My Orders components</t>
        </is>
      </c>
      <c r="E31" s="17" t="inlineStr">
        <is>
          <t>Flutter Test - My Orders - Verify error boundary &amp; fallback widget rendering on exception (#30)</t>
        </is>
      </c>
      <c r="F31" s="17" t="inlineStr">
        <is>
          <t>Verify isolated unit logic and widget tree integrity for My Orders using flutter_test package.</t>
        </is>
      </c>
      <c r="G31" s="17" t="inlineStr">
        <is>
          <t>Flutter SDK configured, flutter_test runner initialized with mock dependencies.</t>
        </is>
      </c>
      <c r="H31" s="17" t="inlineStr">
        <is>
          <t>1. Initialize mock dependencies.
2. Trigger exception during widget build phase inside ErrorWidget boundary.
3. Verify test assertions and expectations.</t>
        </is>
      </c>
      <c r="I31" s="17" t="inlineStr">
        <is>
          <t>Target Component: My Orders, Framework: Flutter 3.x WidgetTester</t>
        </is>
      </c>
      <c r="J31" s="17" t="inlineStr">
        <is>
          <t>ErrorWidget fallback renders gracefully without throwing unhandled Flutter error. in unit test suite.</t>
        </is>
      </c>
      <c r="K31" s="17" t="inlineStr">
        <is>
          <t>Pending Execution</t>
        </is>
      </c>
      <c r="L31" s="16" t="inlineStr">
        <is>
          <t>Medium</t>
        </is>
      </c>
      <c r="M31" s="16" t="inlineStr">
        <is>
          <t>Critical</t>
        </is>
      </c>
      <c r="N31" s="18" t="inlineStr">
        <is>
          <t>Not Executed</t>
        </is>
      </c>
      <c r="O31" s="17" t="inlineStr">
        <is>
          <t>evidence/flu-tst-030_screenshot.png</t>
        </is>
      </c>
      <c r="P31" s="17" t="inlineStr">
        <is>
          <t>Automated baseline generation</t>
        </is>
      </c>
    </row>
    <row r="32" ht="36" customHeight="1">
      <c r="A32" s="16" t="inlineStr">
        <is>
          <t>FLU-TST-031</t>
        </is>
      </c>
      <c r="B32" s="16" t="inlineStr">
        <is>
          <t>Flutter Unit and Widget Testing</t>
        </is>
      </c>
      <c r="C32" s="17" t="inlineStr">
        <is>
          <t>Order Details</t>
        </is>
      </c>
      <c r="D32" s="17" t="inlineStr">
        <is>
          <t>Unit/Widget testing of Order Details components</t>
        </is>
      </c>
      <c r="E32" s="17" t="inlineStr">
        <is>
          <t>Flutter Test - Order Details - Verify model JSON serialization &amp; deserialization logic (#31)</t>
        </is>
      </c>
      <c r="F32" s="17" t="inlineStr">
        <is>
          <t>Verify isolated unit logic and widget tree integrity for Order Details using flutter_test package.</t>
        </is>
      </c>
      <c r="G32" s="17" t="inlineStr">
        <is>
          <t>Flutter SDK configured, flutter_test runner initialized with mock dependencies.</t>
        </is>
      </c>
      <c r="H32" s="17" t="inlineStr">
        <is>
          <t>1. Initialize mock dependencies.
2. Pass JSON map payload to Model.fromJson(), verify fields, call model.toJson().
3. Verify test assertions and expectations.</t>
        </is>
      </c>
      <c r="I32" s="17" t="inlineStr">
        <is>
          <t>Target Component: Order Details, Framework: Flutter 3.x WidgetTester</t>
        </is>
      </c>
      <c r="J32" s="17" t="inlineStr">
        <is>
          <t>Model instantiates correctly; toJson matches expected map key values. in unit test suite.</t>
        </is>
      </c>
      <c r="K32" s="17" t="inlineStr">
        <is>
          <t>Pending Execution</t>
        </is>
      </c>
      <c r="L32" s="16" t="inlineStr">
        <is>
          <t>Medium</t>
        </is>
      </c>
      <c r="M32" s="16" t="inlineStr">
        <is>
          <t>Moderate</t>
        </is>
      </c>
      <c r="N32" s="18" t="inlineStr">
        <is>
          <t>Not Executed</t>
        </is>
      </c>
      <c r="O32" s="17" t="inlineStr">
        <is>
          <t>evidence/flu-tst-031_screenshot.png</t>
        </is>
      </c>
      <c r="P32" s="17" t="inlineStr">
        <is>
          <t>Automated baseline generation</t>
        </is>
      </c>
    </row>
    <row r="33" ht="36" customHeight="1">
      <c r="A33" s="16" t="inlineStr">
        <is>
          <t>FLU-TST-032</t>
        </is>
      </c>
      <c r="B33" s="16" t="inlineStr">
        <is>
          <t>Flutter Unit and Widget Testing</t>
        </is>
      </c>
      <c r="C33" s="17" t="inlineStr">
        <is>
          <t>Order Cancellation</t>
        </is>
      </c>
      <c r="D33" s="17" t="inlineStr">
        <is>
          <t>Unit/Widget testing of Order Cancellation components</t>
        </is>
      </c>
      <c r="E33" s="17" t="inlineStr">
        <is>
          <t>Flutter Test - Order Cancellation - Verify form field validation regex functions (#32)</t>
        </is>
      </c>
      <c r="F33" s="17" t="inlineStr">
        <is>
          <t>Verify isolated unit logic and widget tree integrity for Order Cancellation using flutter_test package.</t>
        </is>
      </c>
      <c r="G33" s="17" t="inlineStr">
        <is>
          <t>Flutter SDK configured, flutter_test runner initialized with mock dependencies.</t>
        </is>
      </c>
      <c r="H33" s="17" t="inlineStr">
        <is>
          <t>1. Initialize mock dependencies.
2. Invoke validation utility with valid, boundary, and malformed inputs.
3. Verify test assertions and expectations.</t>
        </is>
      </c>
      <c r="I33" s="17" t="inlineStr">
        <is>
          <t>Target Component: Order Cancellation, Framework: Flutter 3.x WidgetTester</t>
        </is>
      </c>
      <c r="J33" s="17" t="inlineStr">
        <is>
          <t>Validation function returns null for valid input and error string for invalid. in unit test suite.</t>
        </is>
      </c>
      <c r="K33" s="17" t="inlineStr">
        <is>
          <t>Pending Execution</t>
        </is>
      </c>
      <c r="L33" s="16" t="inlineStr">
        <is>
          <t>High</t>
        </is>
      </c>
      <c r="M33" s="16" t="inlineStr">
        <is>
          <t>Moderate</t>
        </is>
      </c>
      <c r="N33" s="18" t="inlineStr">
        <is>
          <t>Not Executed</t>
        </is>
      </c>
      <c r="O33" s="17" t="inlineStr">
        <is>
          <t>evidence/flu-tst-032_screenshot.png</t>
        </is>
      </c>
      <c r="P33" s="17" t="inlineStr">
        <is>
          <t>Automated baseline generation</t>
        </is>
      </c>
    </row>
    <row r="34" ht="36" customHeight="1">
      <c r="A34" s="16" t="inlineStr">
        <is>
          <t>FLU-TST-033</t>
        </is>
      </c>
      <c r="B34" s="16" t="inlineStr">
        <is>
          <t>Flutter Unit and Widget Testing</t>
        </is>
      </c>
      <c r="C34" s="17" t="inlineStr">
        <is>
          <t>Supabase Integration</t>
        </is>
      </c>
      <c r="D34" s="17" t="inlineStr">
        <is>
          <t>Unit/Widget testing of Supabase Integration components</t>
        </is>
      </c>
      <c r="E34" s="17" t="inlineStr">
        <is>
          <t>Flutter Test - Supabase Integration - Verify ChangeNotifier state mutation and notifyListeners() (#33)</t>
        </is>
      </c>
      <c r="F34" s="17" t="inlineStr">
        <is>
          <t>Verify isolated unit logic and widget tree integrity for Supabase Integration using flutter_test package.</t>
        </is>
      </c>
      <c r="G34" s="17" t="inlineStr">
        <is>
          <t>Flutter SDK configured, flutter_test runner initialized with mock dependencies.</t>
        </is>
      </c>
      <c r="H34" s="17" t="inlineStr">
        <is>
          <t>1. Initialize mock dependencies.
2. Call state mutation method on Provider class, observe listener callback count.
3. Verify test assertions and expectations.</t>
        </is>
      </c>
      <c r="I34" s="17" t="inlineStr">
        <is>
          <t>Target Component: Supabase Integration, Framework: Flutter 3.x WidgetTester</t>
        </is>
      </c>
      <c r="J34" s="17" t="inlineStr">
        <is>
          <t>State updates as expected and notifyListeners() triggers UI rebuild once. in unit test suite.</t>
        </is>
      </c>
      <c r="K34" s="17" t="inlineStr">
        <is>
          <t>Pending Execution</t>
        </is>
      </c>
      <c r="L34" s="16" t="inlineStr">
        <is>
          <t>Medium</t>
        </is>
      </c>
      <c r="M34" s="16" t="inlineStr">
        <is>
          <t>Moderate</t>
        </is>
      </c>
      <c r="N34" s="18" t="inlineStr">
        <is>
          <t>Not Executed</t>
        </is>
      </c>
      <c r="O34" s="17" t="inlineStr">
        <is>
          <t>evidence/flu-tst-033_screenshot.png</t>
        </is>
      </c>
      <c r="P34" s="17" t="inlineStr">
        <is>
          <t>Automated baseline generation</t>
        </is>
      </c>
    </row>
    <row r="35" ht="36" customHeight="1">
      <c r="A35" s="16" t="inlineStr">
        <is>
          <t>FLU-TST-034</t>
        </is>
      </c>
      <c r="B35" s="16" t="inlineStr">
        <is>
          <t>Flutter Unit and Widget Testing</t>
        </is>
      </c>
      <c r="C35" s="17" t="inlineStr">
        <is>
          <t>Responsive Web UI</t>
        </is>
      </c>
      <c r="D35" s="17" t="inlineStr">
        <is>
          <t>Unit/Widget testing of Responsive Web UI components</t>
        </is>
      </c>
      <c r="E35" s="17" t="inlineStr">
        <is>
          <t>Flutter Test - Responsive Web UI - Verify Widget rendering in WidgetTester environment (#34)</t>
        </is>
      </c>
      <c r="F35" s="17" t="inlineStr">
        <is>
          <t>Verify isolated unit logic and widget tree integrity for Responsive Web UI using flutter_test package.</t>
        </is>
      </c>
      <c r="G35" s="17" t="inlineStr">
        <is>
          <t>Flutter SDK configured, flutter_test runner initialized with mock dependencies.</t>
        </is>
      </c>
      <c r="H35" s="17" t="inlineStr">
        <is>
          <t>1. Initialize mock dependencies.
2. Pump widget into WidgetTester tree, search elements using find.byType / find.text.
3. Verify test assertions and expectations.</t>
        </is>
      </c>
      <c r="I35" s="17" t="inlineStr">
        <is>
          <t>Target Component: Responsive Web UI, Framework: Flutter 3.x WidgetTester</t>
        </is>
      </c>
      <c r="J35" s="17" t="inlineStr">
        <is>
          <t>Widget renders without layout overflow warnings or unhandled exceptions. in unit test suite.</t>
        </is>
      </c>
      <c r="K35" s="17" t="inlineStr">
        <is>
          <t>Pending Execution</t>
        </is>
      </c>
      <c r="L35" s="16" t="inlineStr">
        <is>
          <t>Medium</t>
        </is>
      </c>
      <c r="M35" s="16" t="inlineStr">
        <is>
          <t>Moderate</t>
        </is>
      </c>
      <c r="N35" s="18" t="inlineStr">
        <is>
          <t>Not Executed</t>
        </is>
      </c>
      <c r="O35" s="17" t="inlineStr">
        <is>
          <t>evidence/flu-tst-034_screenshot.png</t>
        </is>
      </c>
      <c r="P35" s="17" t="inlineStr">
        <is>
          <t>Automated baseline generation</t>
        </is>
      </c>
    </row>
    <row r="36" ht="36" customHeight="1">
      <c r="A36" s="16" t="inlineStr">
        <is>
          <t>FLU-TST-035</t>
        </is>
      </c>
      <c r="B36" s="16" t="inlineStr">
        <is>
          <t>Flutter Unit and Widget Testing</t>
        </is>
      </c>
      <c r="C36" s="17" t="inlineStr">
        <is>
          <t>Android UI</t>
        </is>
      </c>
      <c r="D36" s="17" t="inlineStr">
        <is>
          <t>Unit/Widget testing of Android UI components</t>
        </is>
      </c>
      <c r="E36" s="17" t="inlineStr">
        <is>
          <t>Flutter Test - Android UI - Verify mock service dependency injection and async response handling (#35)</t>
        </is>
      </c>
      <c r="F36" s="17" t="inlineStr">
        <is>
          <t>Verify isolated unit logic and widget tree integrity for Android UI using flutter_test package.</t>
        </is>
      </c>
      <c r="G36" s="17" t="inlineStr">
        <is>
          <t>Flutter SDK configured, flutter_test runner initialized with mock dependencies.</t>
        </is>
      </c>
      <c r="H36" s="17" t="inlineStr">
        <is>
          <t>1. Initialize mock dependencies.
2. Inject MockSupabaseClient into service, call async method, await Future.
3. Verify test assertions and expectations.</t>
        </is>
      </c>
      <c r="I36" s="17" t="inlineStr">
        <is>
          <t>Target Component: Android UI, Framework: Flutter 3.x WidgetTester</t>
        </is>
      </c>
      <c r="J36" s="17" t="inlineStr">
        <is>
          <t>Service parses mocked API response correctly into typed domain objects. in unit test suite.</t>
        </is>
      </c>
      <c r="K36" s="17" t="inlineStr">
        <is>
          <t>Pending Execution</t>
        </is>
      </c>
      <c r="L36" s="16" t="inlineStr">
        <is>
          <t>Medium</t>
        </is>
      </c>
      <c r="M36" s="16" t="inlineStr">
        <is>
          <t>Moderate</t>
        </is>
      </c>
      <c r="N36" s="18" t="inlineStr">
        <is>
          <t>Not Executed</t>
        </is>
      </c>
      <c r="O36" s="17" t="inlineStr">
        <is>
          <t>evidence/flu-tst-035_screenshot.png</t>
        </is>
      </c>
      <c r="P36" s="17" t="inlineStr">
        <is>
          <t>Automated baseline generation</t>
        </is>
      </c>
    </row>
    <row r="37" ht="36" customHeight="1">
      <c r="A37" s="16" t="inlineStr">
        <is>
          <t>FLU-TST-036</t>
        </is>
      </c>
      <c r="B37" s="16" t="inlineStr">
        <is>
          <t>Flutter Unit and Widget Testing</t>
        </is>
      </c>
      <c r="C37" s="17" t="inlineStr">
        <is>
          <t>Error Handling</t>
        </is>
      </c>
      <c r="D37" s="17" t="inlineStr">
        <is>
          <t>Unit/Widget testing of Error Handling components</t>
        </is>
      </c>
      <c r="E37" s="17" t="inlineStr">
        <is>
          <t>Flutter Test - Error Handling - Verify error boundary &amp; fallback widget rendering on exception (#36)</t>
        </is>
      </c>
      <c r="F37" s="17" t="inlineStr">
        <is>
          <t>Verify isolated unit logic and widget tree integrity for Error Handling using flutter_test package.</t>
        </is>
      </c>
      <c r="G37" s="17" t="inlineStr">
        <is>
          <t>Flutter SDK configured, flutter_test runner initialized with mock dependencies.</t>
        </is>
      </c>
      <c r="H37" s="17" t="inlineStr">
        <is>
          <t>1. Initialize mock dependencies.
2. Trigger exception during widget build phase inside ErrorWidget boundary.
3. Verify test assertions and expectations.</t>
        </is>
      </c>
      <c r="I37" s="17" t="inlineStr">
        <is>
          <t>Target Component: Error Handling, Framework: Flutter 3.x WidgetTester</t>
        </is>
      </c>
      <c r="J37" s="17" t="inlineStr">
        <is>
          <t>ErrorWidget fallback renders gracefully without throwing unhandled Flutter error. in unit test suite.</t>
        </is>
      </c>
      <c r="K37" s="17" t="inlineStr">
        <is>
          <t>Pending Execution</t>
        </is>
      </c>
      <c r="L37" s="16" t="inlineStr">
        <is>
          <t>High</t>
        </is>
      </c>
      <c r="M37" s="16" t="inlineStr">
        <is>
          <t>Moderate</t>
        </is>
      </c>
      <c r="N37" s="18" t="inlineStr">
        <is>
          <t>Not Executed</t>
        </is>
      </c>
      <c r="O37" s="17" t="inlineStr">
        <is>
          <t>evidence/flu-tst-036_screenshot.png</t>
        </is>
      </c>
      <c r="P37" s="17" t="inlineStr">
        <is>
          <t>Automated baseline generation</t>
        </is>
      </c>
    </row>
    <row r="38" ht="36" customHeight="1">
      <c r="A38" s="16" t="inlineStr">
        <is>
          <t>FLU-TST-037</t>
        </is>
      </c>
      <c r="B38" s="16" t="inlineStr">
        <is>
          <t>Flutter Unit and Widget Testing</t>
        </is>
      </c>
      <c r="C38" s="17" t="inlineStr">
        <is>
          <t>Logout</t>
        </is>
      </c>
      <c r="D38" s="17" t="inlineStr">
        <is>
          <t>Unit/Widget testing of Logout components</t>
        </is>
      </c>
      <c r="E38" s="17" t="inlineStr">
        <is>
          <t>Flutter Test - Logout - Verify model JSON serialization &amp; deserialization logic (#37)</t>
        </is>
      </c>
      <c r="F38" s="17" t="inlineStr">
        <is>
          <t>Verify isolated unit logic and widget tree integrity for Logout using flutter_test package.</t>
        </is>
      </c>
      <c r="G38" s="17" t="inlineStr">
        <is>
          <t>Flutter SDK configured, flutter_test runner initialized with mock dependencies.</t>
        </is>
      </c>
      <c r="H38" s="17" t="inlineStr">
        <is>
          <t>1. Initialize mock dependencies.
2. Pass JSON map payload to Model.fromJson(), verify fields, call model.toJson().
3. Verify test assertions and expectations.</t>
        </is>
      </c>
      <c r="I38" s="17" t="inlineStr">
        <is>
          <t>Target Component: Logout, Framework: Flutter 3.x WidgetTester</t>
        </is>
      </c>
      <c r="J38" s="17" t="inlineStr">
        <is>
          <t>Model instantiates correctly; toJson matches expected map key values. in unit test suite.</t>
        </is>
      </c>
      <c r="K38" s="17" t="inlineStr">
        <is>
          <t>Pending Execution</t>
        </is>
      </c>
      <c r="L38" s="16" t="inlineStr">
        <is>
          <t>Medium</t>
        </is>
      </c>
      <c r="M38" s="16" t="inlineStr">
        <is>
          <t>Moderate</t>
        </is>
      </c>
      <c r="N38" s="18" t="inlineStr">
        <is>
          <t>Not Executed</t>
        </is>
      </c>
      <c r="O38" s="17" t="inlineStr">
        <is>
          <t>evidence/flu-tst-037_screenshot.png</t>
        </is>
      </c>
      <c r="P38" s="17" t="inlineStr">
        <is>
          <t>Automated baseline generation</t>
        </is>
      </c>
    </row>
    <row r="39" ht="36" customHeight="1">
      <c r="A39" s="16" t="inlineStr">
        <is>
          <t>FLU-TST-038</t>
        </is>
      </c>
      <c r="B39" s="16" t="inlineStr">
        <is>
          <t>Flutter Unit and Widget Testing</t>
        </is>
      </c>
      <c r="C39" s="17" t="inlineStr">
        <is>
          <t>Splash</t>
        </is>
      </c>
      <c r="D39" s="17" t="inlineStr">
        <is>
          <t>Unit/Widget testing of Splash components</t>
        </is>
      </c>
      <c r="E39" s="17" t="inlineStr">
        <is>
          <t>Flutter Test - Splash - Verify form field validation regex functions (#38)</t>
        </is>
      </c>
      <c r="F39" s="17" t="inlineStr">
        <is>
          <t>Verify isolated unit logic and widget tree integrity for Splash using flutter_test package.</t>
        </is>
      </c>
      <c r="G39" s="17" t="inlineStr">
        <is>
          <t>Flutter SDK configured, flutter_test runner initialized with mock dependencies.</t>
        </is>
      </c>
      <c r="H39" s="17" t="inlineStr">
        <is>
          <t>1. Initialize mock dependencies.
2. Invoke validation utility with valid, boundary, and malformed inputs.
3. Verify test assertions and expectations.</t>
        </is>
      </c>
      <c r="I39" s="17" t="inlineStr">
        <is>
          <t>Target Component: Splash, Framework: Flutter 3.x WidgetTester</t>
        </is>
      </c>
      <c r="J39" s="17" t="inlineStr">
        <is>
          <t>Validation function returns null for valid input and error string for invalid. in unit test suite.</t>
        </is>
      </c>
      <c r="K39" s="17" t="inlineStr">
        <is>
          <t>Pending Execution</t>
        </is>
      </c>
      <c r="L39" s="16" t="inlineStr">
        <is>
          <t>Medium</t>
        </is>
      </c>
      <c r="M39" s="16" t="inlineStr">
        <is>
          <t>Moderate</t>
        </is>
      </c>
      <c r="N39" s="18" t="inlineStr">
        <is>
          <t>Not Executed</t>
        </is>
      </c>
      <c r="O39" s="17" t="inlineStr">
        <is>
          <t>evidence/flu-tst-038_screenshot.png</t>
        </is>
      </c>
      <c r="P39" s="17" t="inlineStr">
        <is>
          <t>Automated baseline generation</t>
        </is>
      </c>
    </row>
    <row r="40" ht="36" customHeight="1">
      <c r="A40" s="16" t="inlineStr">
        <is>
          <t>FLU-TST-039</t>
        </is>
      </c>
      <c r="B40" s="16" t="inlineStr">
        <is>
          <t>Flutter Unit and Widget Testing</t>
        </is>
      </c>
      <c r="C40" s="17" t="inlineStr">
        <is>
          <t>Login</t>
        </is>
      </c>
      <c r="D40" s="17" t="inlineStr">
        <is>
          <t>Unit/Widget testing of Login components</t>
        </is>
      </c>
      <c r="E40" s="17" t="inlineStr">
        <is>
          <t>Flutter Test - Login - Verify ChangeNotifier state mutation and notifyListeners() (#39)</t>
        </is>
      </c>
      <c r="F40" s="17" t="inlineStr">
        <is>
          <t>Verify isolated unit logic and widget tree integrity for Login using flutter_test package.</t>
        </is>
      </c>
      <c r="G40" s="17" t="inlineStr">
        <is>
          <t>Flutter SDK configured, flutter_test runner initialized with mock dependencies.</t>
        </is>
      </c>
      <c r="H40" s="17" t="inlineStr">
        <is>
          <t>1. Initialize mock dependencies.
2. Call state mutation method on Provider class, observe listener callback count.
3. Verify test assertions and expectations.</t>
        </is>
      </c>
      <c r="I40" s="17" t="inlineStr">
        <is>
          <t>Target Component: Login, Framework: Flutter 3.x WidgetTester</t>
        </is>
      </c>
      <c r="J40" s="17" t="inlineStr">
        <is>
          <t>State updates as expected and notifyListeners() triggers UI rebuild once. in unit test suite.</t>
        </is>
      </c>
      <c r="K40" s="17" t="inlineStr">
        <is>
          <t>Pending Execution</t>
        </is>
      </c>
      <c r="L40" s="16" t="inlineStr">
        <is>
          <t>Medium</t>
        </is>
      </c>
      <c r="M40" s="16" t="inlineStr">
        <is>
          <t>Moderate</t>
        </is>
      </c>
      <c r="N40" s="18" t="inlineStr">
        <is>
          <t>Not Executed</t>
        </is>
      </c>
      <c r="O40" s="17" t="inlineStr">
        <is>
          <t>evidence/flu-tst-039_screenshot.png</t>
        </is>
      </c>
      <c r="P40" s="17" t="inlineStr">
        <is>
          <t>Automated baseline generation</t>
        </is>
      </c>
    </row>
    <row r="41" ht="36" customHeight="1">
      <c r="A41" s="16" t="inlineStr">
        <is>
          <t>FLU-TST-040</t>
        </is>
      </c>
      <c r="B41" s="16" t="inlineStr">
        <is>
          <t>Flutter Unit and Widget Testing</t>
        </is>
      </c>
      <c r="C41" s="17" t="inlineStr">
        <is>
          <t>Signup</t>
        </is>
      </c>
      <c r="D41" s="17" t="inlineStr">
        <is>
          <t>Unit/Widget testing of Signup components</t>
        </is>
      </c>
      <c r="E41" s="17" t="inlineStr">
        <is>
          <t>Flutter Test - Signup - Verify Widget rendering in WidgetTester environment (#40)</t>
        </is>
      </c>
      <c r="F41" s="17" t="inlineStr">
        <is>
          <t>Verify isolated unit logic and widget tree integrity for Signup using flutter_test package.</t>
        </is>
      </c>
      <c r="G41" s="17" t="inlineStr">
        <is>
          <t>Flutter SDK configured, flutter_test runner initialized with mock dependencies.</t>
        </is>
      </c>
      <c r="H41" s="17" t="inlineStr">
        <is>
          <t>1. Initialize mock dependencies.
2. Pump widget into WidgetTester tree, search elements using find.byType / find.text.
3. Verify test assertions and expectations.</t>
        </is>
      </c>
      <c r="I41" s="17" t="inlineStr">
        <is>
          <t>Target Component: Signup, Framework: Flutter 3.x WidgetTester</t>
        </is>
      </c>
      <c r="J41" s="17" t="inlineStr">
        <is>
          <t>Widget renders without layout overflow warnings or unhandled exceptions. in unit test suite.</t>
        </is>
      </c>
      <c r="K41" s="17" t="inlineStr">
        <is>
          <t>Pending Execution</t>
        </is>
      </c>
      <c r="L41" s="16" t="inlineStr">
        <is>
          <t>High</t>
        </is>
      </c>
      <c r="M41" s="16" t="inlineStr">
        <is>
          <t>Critical</t>
        </is>
      </c>
      <c r="N41" s="18" t="inlineStr">
        <is>
          <t>Not Executed</t>
        </is>
      </c>
      <c r="O41" s="17" t="inlineStr">
        <is>
          <t>evidence/flu-tst-040_screenshot.png</t>
        </is>
      </c>
      <c r="P41" s="17" t="inlineStr">
        <is>
          <t>Automated baseline generation</t>
        </is>
      </c>
    </row>
    <row r="42" ht="36" customHeight="1">
      <c r="A42" s="16" t="inlineStr">
        <is>
          <t>FLU-TST-041</t>
        </is>
      </c>
      <c r="B42" s="16" t="inlineStr">
        <is>
          <t>Flutter Unit and Widget Testing</t>
        </is>
      </c>
      <c r="C42" s="17" t="inlineStr">
        <is>
          <t>Forgot Password</t>
        </is>
      </c>
      <c r="D42" s="17" t="inlineStr">
        <is>
          <t>Unit/Widget testing of Forgot Password components</t>
        </is>
      </c>
      <c r="E42" s="17" t="inlineStr">
        <is>
          <t>Flutter Test - Forgot Password - Verify mock service dependency injection and async response handling (#41)</t>
        </is>
      </c>
      <c r="F42" s="17" t="inlineStr">
        <is>
          <t>Verify isolated unit logic and widget tree integrity for Forgot Password using flutter_test package.</t>
        </is>
      </c>
      <c r="G42" s="17" t="inlineStr">
        <is>
          <t>Flutter SDK configured, flutter_test runner initialized with mock dependencies.</t>
        </is>
      </c>
      <c r="H42" s="17" t="inlineStr">
        <is>
          <t>1. Initialize mock dependencies.
2. Inject MockSupabaseClient into service, call async method, await Future.
3. Verify test assertions and expectations.</t>
        </is>
      </c>
      <c r="I42" s="17" t="inlineStr">
        <is>
          <t>Target Component: Forgot Password, Framework: Flutter 3.x WidgetTester</t>
        </is>
      </c>
      <c r="J42" s="17" t="inlineStr">
        <is>
          <t>Service parses mocked API response correctly into typed domain objects. in unit test suite.</t>
        </is>
      </c>
      <c r="K42" s="17" t="inlineStr">
        <is>
          <t>Pending Execution</t>
        </is>
      </c>
      <c r="L42" s="16" t="inlineStr">
        <is>
          <t>Medium</t>
        </is>
      </c>
      <c r="M42" s="16" t="inlineStr">
        <is>
          <t>Moderate</t>
        </is>
      </c>
      <c r="N42" s="18" t="inlineStr">
        <is>
          <t>Not Executed</t>
        </is>
      </c>
      <c r="O42" s="17" t="inlineStr">
        <is>
          <t>evidence/flu-tst-041_screenshot.png</t>
        </is>
      </c>
      <c r="P42" s="17" t="inlineStr">
        <is>
          <t>Automated baseline generation</t>
        </is>
      </c>
    </row>
    <row r="43" ht="36" customHeight="1">
      <c r="A43" s="16" t="inlineStr">
        <is>
          <t>FLU-TST-042</t>
        </is>
      </c>
      <c r="B43" s="16" t="inlineStr">
        <is>
          <t>Flutter Unit and Widget Testing</t>
        </is>
      </c>
      <c r="C43" s="17" t="inlineStr">
        <is>
          <t>Email Verification</t>
        </is>
      </c>
      <c r="D43" s="17" t="inlineStr">
        <is>
          <t>Unit/Widget testing of Email Verification components</t>
        </is>
      </c>
      <c r="E43" s="17" t="inlineStr">
        <is>
          <t>Flutter Test - Email Verification - Verify error boundary &amp; fallback widget rendering on exception (#42)</t>
        </is>
      </c>
      <c r="F43" s="17" t="inlineStr">
        <is>
          <t>Verify isolated unit logic and widget tree integrity for Email Verification using flutter_test package.</t>
        </is>
      </c>
      <c r="G43" s="17" t="inlineStr">
        <is>
          <t>Flutter SDK configured, flutter_test runner initialized with mock dependencies.</t>
        </is>
      </c>
      <c r="H43" s="17" t="inlineStr">
        <is>
          <t>1. Initialize mock dependencies.
2. Trigger exception during widget build phase inside ErrorWidget boundary.
3. Verify test assertions and expectations.</t>
        </is>
      </c>
      <c r="I43" s="17" t="inlineStr">
        <is>
          <t>Target Component: Email Verification, Framework: Flutter 3.x WidgetTester</t>
        </is>
      </c>
      <c r="J43" s="17" t="inlineStr">
        <is>
          <t>ErrorWidget fallback renders gracefully without throwing unhandled Flutter error. in unit test suite.</t>
        </is>
      </c>
      <c r="K43" s="17" t="inlineStr">
        <is>
          <t>Pending Execution</t>
        </is>
      </c>
      <c r="L43" s="16" t="inlineStr">
        <is>
          <t>Medium</t>
        </is>
      </c>
      <c r="M43" s="16" t="inlineStr">
        <is>
          <t>Moderate</t>
        </is>
      </c>
      <c r="N43" s="18" t="inlineStr">
        <is>
          <t>Not Executed</t>
        </is>
      </c>
      <c r="O43" s="17" t="inlineStr">
        <is>
          <t>evidence/flu-tst-042_screenshot.png</t>
        </is>
      </c>
      <c r="P43" s="17" t="inlineStr">
        <is>
          <t>Automated baseline generation</t>
        </is>
      </c>
    </row>
    <row r="44" ht="36" customHeight="1">
      <c r="A44" s="16" t="inlineStr">
        <is>
          <t>FLU-TST-043</t>
        </is>
      </c>
      <c r="B44" s="16" t="inlineStr">
        <is>
          <t>Flutter Unit and Widget Testing</t>
        </is>
      </c>
      <c r="C44" s="17" t="inlineStr">
        <is>
          <t>Onboarding</t>
        </is>
      </c>
      <c r="D44" s="17" t="inlineStr">
        <is>
          <t>Unit/Widget testing of Onboarding components</t>
        </is>
      </c>
      <c r="E44" s="17" t="inlineStr">
        <is>
          <t>Flutter Test - Onboarding - Verify model JSON serialization &amp; deserialization logic (#43)</t>
        </is>
      </c>
      <c r="F44" s="17" t="inlineStr">
        <is>
          <t>Verify isolated unit logic and widget tree integrity for Onboarding using flutter_test package.</t>
        </is>
      </c>
      <c r="G44" s="17" t="inlineStr">
        <is>
          <t>Flutter SDK configured, flutter_test runner initialized with mock dependencies.</t>
        </is>
      </c>
      <c r="H44" s="17" t="inlineStr">
        <is>
          <t>1. Initialize mock dependencies.
2. Pass JSON map payload to Model.fromJson(), verify fields, call model.toJson().
3. Verify test assertions and expectations.</t>
        </is>
      </c>
      <c r="I44" s="17" t="inlineStr">
        <is>
          <t>Target Component: Onboarding, Framework: Flutter 3.x WidgetTester</t>
        </is>
      </c>
      <c r="J44" s="17" t="inlineStr">
        <is>
          <t>Model instantiates correctly; toJson matches expected map key values. in unit test suite.</t>
        </is>
      </c>
      <c r="K44" s="17" t="inlineStr">
        <is>
          <t>Pending Execution</t>
        </is>
      </c>
      <c r="L44" s="16" t="inlineStr">
        <is>
          <t>Medium</t>
        </is>
      </c>
      <c r="M44" s="16" t="inlineStr">
        <is>
          <t>Moderate</t>
        </is>
      </c>
      <c r="N44" s="18" t="inlineStr">
        <is>
          <t>Not Executed</t>
        </is>
      </c>
      <c r="O44" s="17" t="inlineStr">
        <is>
          <t>evidence/flu-tst-043_screenshot.png</t>
        </is>
      </c>
      <c r="P44" s="17" t="inlineStr">
        <is>
          <t>Automated baseline generation</t>
        </is>
      </c>
    </row>
    <row r="45" ht="36" customHeight="1">
      <c r="A45" s="16" t="inlineStr">
        <is>
          <t>FLU-TST-044</t>
        </is>
      </c>
      <c r="B45" s="16" t="inlineStr">
        <is>
          <t>Flutter Unit and Widget Testing</t>
        </is>
      </c>
      <c r="C45" s="17" t="inlineStr">
        <is>
          <t>Dashboard</t>
        </is>
      </c>
      <c r="D45" s="17" t="inlineStr">
        <is>
          <t>Unit/Widget testing of Dashboard components</t>
        </is>
      </c>
      <c r="E45" s="17" t="inlineStr">
        <is>
          <t>Flutter Test - Dashboard - Verify form field validation regex functions (#44)</t>
        </is>
      </c>
      <c r="F45" s="17" t="inlineStr">
        <is>
          <t>Verify isolated unit logic and widget tree integrity for Dashboard using flutter_test package.</t>
        </is>
      </c>
      <c r="G45" s="17" t="inlineStr">
        <is>
          <t>Flutter SDK configured, flutter_test runner initialized with mock dependencies.</t>
        </is>
      </c>
      <c r="H45" s="17" t="inlineStr">
        <is>
          <t>1. Initialize mock dependencies.
2. Invoke validation utility with valid, boundary, and malformed inputs.
3. Verify test assertions and expectations.</t>
        </is>
      </c>
      <c r="I45" s="17" t="inlineStr">
        <is>
          <t>Target Component: Dashboard, Framework: Flutter 3.x WidgetTester</t>
        </is>
      </c>
      <c r="J45" s="17" t="inlineStr">
        <is>
          <t>Validation function returns null for valid input and error string for invalid. in unit test suite.</t>
        </is>
      </c>
      <c r="K45" s="17" t="inlineStr">
        <is>
          <t>Pending Execution</t>
        </is>
      </c>
      <c r="L45" s="16" t="inlineStr">
        <is>
          <t>High</t>
        </is>
      </c>
      <c r="M45" s="16" t="inlineStr">
        <is>
          <t>Moderate</t>
        </is>
      </c>
      <c r="N45" s="18" t="inlineStr">
        <is>
          <t>Not Executed</t>
        </is>
      </c>
      <c r="O45" s="17" t="inlineStr">
        <is>
          <t>evidence/flu-tst-044_screenshot.png</t>
        </is>
      </c>
      <c r="P45" s="17" t="inlineStr">
        <is>
          <t>Automated baseline generation</t>
        </is>
      </c>
    </row>
    <row r="46" ht="36" customHeight="1">
      <c r="A46" s="16" t="inlineStr">
        <is>
          <t>FLU-TST-045</t>
        </is>
      </c>
      <c r="B46" s="16" t="inlineStr">
        <is>
          <t>Flutter Unit and Widget Testing</t>
        </is>
      </c>
      <c r="C46" s="17" t="inlineStr">
        <is>
          <t>Profile</t>
        </is>
      </c>
      <c r="D46" s="17" t="inlineStr">
        <is>
          <t>Unit/Widget testing of Profile components</t>
        </is>
      </c>
      <c r="E46" s="17" t="inlineStr">
        <is>
          <t>Flutter Test - Profile - Verify ChangeNotifier state mutation and notifyListeners() (#45)</t>
        </is>
      </c>
      <c r="F46" s="17" t="inlineStr">
        <is>
          <t>Verify isolated unit logic and widget tree integrity for Profile using flutter_test package.</t>
        </is>
      </c>
      <c r="G46" s="17" t="inlineStr">
        <is>
          <t>Flutter SDK configured, flutter_test runner initialized with mock dependencies.</t>
        </is>
      </c>
      <c r="H46" s="17" t="inlineStr">
        <is>
          <t>1. Initialize mock dependencies.
2. Call state mutation method on Provider class, observe listener callback count.
3. Verify test assertions and expectations.</t>
        </is>
      </c>
      <c r="I46" s="17" t="inlineStr">
        <is>
          <t>Target Component: Profile, Framework: Flutter 3.x WidgetTester</t>
        </is>
      </c>
      <c r="J46" s="17" t="inlineStr">
        <is>
          <t>State updates as expected and notifyListeners() triggers UI rebuild once. in unit test suite.</t>
        </is>
      </c>
      <c r="K46" s="17" t="inlineStr">
        <is>
          <t>Pending Execution</t>
        </is>
      </c>
      <c r="L46" s="16" t="inlineStr">
        <is>
          <t>Medium</t>
        </is>
      </c>
      <c r="M46" s="16" t="inlineStr">
        <is>
          <t>Moderate</t>
        </is>
      </c>
      <c r="N46" s="18" t="inlineStr">
        <is>
          <t>Not Executed</t>
        </is>
      </c>
      <c r="O46" s="17" t="inlineStr">
        <is>
          <t>evidence/flu-tst-045_screenshot.png</t>
        </is>
      </c>
      <c r="P46" s="17" t="inlineStr">
        <is>
          <t>Automated baseline generation</t>
        </is>
      </c>
    </row>
    <row r="47" ht="36" customHeight="1">
      <c r="A47" s="16" t="inlineStr">
        <is>
          <t>FLU-TST-046</t>
        </is>
      </c>
      <c r="B47" s="16" t="inlineStr">
        <is>
          <t>Flutter Unit and Widget Testing</t>
        </is>
      </c>
      <c r="C47" s="17" t="inlineStr">
        <is>
          <t>Language Settings</t>
        </is>
      </c>
      <c r="D47" s="17" t="inlineStr">
        <is>
          <t>Unit/Widget testing of Language Settings components</t>
        </is>
      </c>
      <c r="E47" s="17" t="inlineStr">
        <is>
          <t>Flutter Test - Language Settings - Verify Widget rendering in WidgetTester environment (#46)</t>
        </is>
      </c>
      <c r="F47" s="17" t="inlineStr">
        <is>
          <t>Verify isolated unit logic and widget tree integrity for Language Settings using flutter_test package.</t>
        </is>
      </c>
      <c r="G47" s="17" t="inlineStr">
        <is>
          <t>Flutter SDK configured, flutter_test runner initialized with mock dependencies.</t>
        </is>
      </c>
      <c r="H47" s="17" t="inlineStr">
        <is>
          <t>1. Initialize mock dependencies.
2. Pump widget into WidgetTester tree, search elements using find.byType / find.text.
3. Verify test assertions and expectations.</t>
        </is>
      </c>
      <c r="I47" s="17" t="inlineStr">
        <is>
          <t>Target Component: Language Settings, Framework: Flutter 3.x WidgetTester</t>
        </is>
      </c>
      <c r="J47" s="17" t="inlineStr">
        <is>
          <t>Widget renders without layout overflow warnings or unhandled exceptions. in unit test suite.</t>
        </is>
      </c>
      <c r="K47" s="17" t="inlineStr">
        <is>
          <t>Pending Execution</t>
        </is>
      </c>
      <c r="L47" s="16" t="inlineStr">
        <is>
          <t>Medium</t>
        </is>
      </c>
      <c r="M47" s="16" t="inlineStr">
        <is>
          <t>Moderate</t>
        </is>
      </c>
      <c r="N47" s="18" t="inlineStr">
        <is>
          <t>Not Executed</t>
        </is>
      </c>
      <c r="O47" s="17" t="inlineStr">
        <is>
          <t>evidence/flu-tst-046_screenshot.png</t>
        </is>
      </c>
      <c r="P47" s="17" t="inlineStr">
        <is>
          <t>Automated baseline generation</t>
        </is>
      </c>
    </row>
    <row r="48" ht="36" customHeight="1">
      <c r="A48" s="16" t="inlineStr">
        <is>
          <t>FLU-TST-047</t>
        </is>
      </c>
      <c r="B48" s="16" t="inlineStr">
        <is>
          <t>Flutter Unit and Widget Testing</t>
        </is>
      </c>
      <c r="C48" s="17" t="inlineStr">
        <is>
          <t>AI Trainer</t>
        </is>
      </c>
      <c r="D48" s="17" t="inlineStr">
        <is>
          <t>Unit/Widget testing of AI Trainer components</t>
        </is>
      </c>
      <c r="E48" s="17" t="inlineStr">
        <is>
          <t>Flutter Test - AI Trainer - Verify mock service dependency injection and async response handling (#47)</t>
        </is>
      </c>
      <c r="F48" s="17" t="inlineStr">
        <is>
          <t>Verify isolated unit logic and widget tree integrity for AI Trainer using flutter_test package.</t>
        </is>
      </c>
      <c r="G48" s="17" t="inlineStr">
        <is>
          <t>Flutter SDK configured, flutter_test runner initialized with mock dependencies.</t>
        </is>
      </c>
      <c r="H48" s="17" t="inlineStr">
        <is>
          <t>1. Initialize mock dependencies.
2. Inject MockSupabaseClient into service, call async method, await Future.
3. Verify test assertions and expectations.</t>
        </is>
      </c>
      <c r="I48" s="17" t="inlineStr">
        <is>
          <t>Target Component: AI Trainer, Framework: Flutter 3.x WidgetTester</t>
        </is>
      </c>
      <c r="J48" s="17" t="inlineStr">
        <is>
          <t>Service parses mocked API response correctly into typed domain objects. in unit test suite.</t>
        </is>
      </c>
      <c r="K48" s="17" t="inlineStr">
        <is>
          <t>Pending Execution</t>
        </is>
      </c>
      <c r="L48" s="16" t="inlineStr">
        <is>
          <t>Medium</t>
        </is>
      </c>
      <c r="M48" s="16" t="inlineStr">
        <is>
          <t>Moderate</t>
        </is>
      </c>
      <c r="N48" s="18" t="inlineStr">
        <is>
          <t>Not Executed</t>
        </is>
      </c>
      <c r="O48" s="17" t="inlineStr">
        <is>
          <t>evidence/flu-tst-047_screenshot.png</t>
        </is>
      </c>
      <c r="P48" s="17" t="inlineStr">
        <is>
          <t>Automated baseline generation</t>
        </is>
      </c>
    </row>
    <row r="49" ht="36" customHeight="1">
      <c r="A49" s="16" t="inlineStr">
        <is>
          <t>FLU-TST-048</t>
        </is>
      </c>
      <c r="B49" s="16" t="inlineStr">
        <is>
          <t>Flutter Unit and Widget Testing</t>
        </is>
      </c>
      <c r="C49" s="17" t="inlineStr">
        <is>
          <t>Workout Plan</t>
        </is>
      </c>
      <c r="D49" s="17" t="inlineStr">
        <is>
          <t>Unit/Widget testing of Workout Plan components</t>
        </is>
      </c>
      <c r="E49" s="17" t="inlineStr">
        <is>
          <t>Flutter Test - Workout Plan - Verify error boundary &amp; fallback widget rendering on exception (#48)</t>
        </is>
      </c>
      <c r="F49" s="17" t="inlineStr">
        <is>
          <t>Verify isolated unit logic and widget tree integrity for Workout Plan using flutter_test package.</t>
        </is>
      </c>
      <c r="G49" s="17" t="inlineStr">
        <is>
          <t>Flutter SDK configured, flutter_test runner initialized with mock dependencies.</t>
        </is>
      </c>
      <c r="H49" s="17" t="inlineStr">
        <is>
          <t>1. Initialize mock dependencies.
2. Trigger exception during widget build phase inside ErrorWidget boundary.
3. Verify test assertions and expectations.</t>
        </is>
      </c>
      <c r="I49" s="17" t="inlineStr">
        <is>
          <t>Target Component: Workout Plan, Framework: Flutter 3.x WidgetTester</t>
        </is>
      </c>
      <c r="J49" s="17" t="inlineStr">
        <is>
          <t>ErrorWidget fallback renders gracefully without throwing unhandled Flutter error. in unit test suite.</t>
        </is>
      </c>
      <c r="K49" s="17" t="inlineStr">
        <is>
          <t>Pending Execution</t>
        </is>
      </c>
      <c r="L49" s="16" t="inlineStr">
        <is>
          <t>High</t>
        </is>
      </c>
      <c r="M49" s="16" t="inlineStr">
        <is>
          <t>Moderate</t>
        </is>
      </c>
      <c r="N49" s="18" t="inlineStr">
        <is>
          <t>Not Executed</t>
        </is>
      </c>
      <c r="O49" s="17" t="inlineStr">
        <is>
          <t>evidence/flu-tst-048_screenshot.png</t>
        </is>
      </c>
      <c r="P49" s="17" t="inlineStr">
        <is>
          <t>Automated baseline generation</t>
        </is>
      </c>
    </row>
    <row r="50" ht="36" customHeight="1">
      <c r="A50" s="16" t="inlineStr">
        <is>
          <t>FLU-TST-049</t>
        </is>
      </c>
      <c r="B50" s="16" t="inlineStr">
        <is>
          <t>Flutter Unit and Widget Testing</t>
        </is>
      </c>
      <c r="C50" s="17" t="inlineStr">
        <is>
          <t>Diet Plan</t>
        </is>
      </c>
      <c r="D50" s="17" t="inlineStr">
        <is>
          <t>Unit/Widget testing of Diet Plan components</t>
        </is>
      </c>
      <c r="E50" s="17" t="inlineStr">
        <is>
          <t>Flutter Test - Diet Plan - Verify model JSON serialization &amp; deserialization logic (#49)</t>
        </is>
      </c>
      <c r="F50" s="17" t="inlineStr">
        <is>
          <t>Verify isolated unit logic and widget tree integrity for Diet Plan using flutter_test package.</t>
        </is>
      </c>
      <c r="G50" s="17" t="inlineStr">
        <is>
          <t>Flutter SDK configured, flutter_test runner initialized with mock dependencies.</t>
        </is>
      </c>
      <c r="H50" s="17" t="inlineStr">
        <is>
          <t>1. Initialize mock dependencies.
2. Pass JSON map payload to Model.fromJson(), verify fields, call model.toJson().
3. Verify test assertions and expectations.</t>
        </is>
      </c>
      <c r="I50" s="17" t="inlineStr">
        <is>
          <t>Target Component: Diet Plan, Framework: Flutter 3.x WidgetTester</t>
        </is>
      </c>
      <c r="J50" s="17" t="inlineStr">
        <is>
          <t>Model instantiates correctly; toJson matches expected map key values. in unit test suite.</t>
        </is>
      </c>
      <c r="K50" s="17" t="inlineStr">
        <is>
          <t>Pending Execution</t>
        </is>
      </c>
      <c r="L50" s="16" t="inlineStr">
        <is>
          <t>Medium</t>
        </is>
      </c>
      <c r="M50" s="16" t="inlineStr">
        <is>
          <t>Moderate</t>
        </is>
      </c>
      <c r="N50" s="18" t="inlineStr">
        <is>
          <t>Not Executed</t>
        </is>
      </c>
      <c r="O50" s="17" t="inlineStr">
        <is>
          <t>evidence/flu-tst-049_screenshot.png</t>
        </is>
      </c>
      <c r="P50" s="17" t="inlineStr">
        <is>
          <t>Automated baseline generation</t>
        </is>
      </c>
    </row>
    <row r="51" ht="36" customHeight="1">
      <c r="A51" s="16" t="inlineStr">
        <is>
          <t>FLU-TST-050</t>
        </is>
      </c>
      <c r="B51" s="16" t="inlineStr">
        <is>
          <t>Flutter Unit and Widget Testing</t>
        </is>
      </c>
      <c r="C51" s="17" t="inlineStr">
        <is>
          <t>Budget Diet Plan</t>
        </is>
      </c>
      <c r="D51" s="17" t="inlineStr">
        <is>
          <t>Unit/Widget testing of Budget Diet Plan components</t>
        </is>
      </c>
      <c r="E51" s="17" t="inlineStr">
        <is>
          <t>Flutter Test - Budget Diet Plan - Verify form field validation regex functions (#50)</t>
        </is>
      </c>
      <c r="F51" s="17" t="inlineStr">
        <is>
          <t>Verify isolated unit logic and widget tree integrity for Budget Diet Plan using flutter_test package.</t>
        </is>
      </c>
      <c r="G51" s="17" t="inlineStr">
        <is>
          <t>Flutter SDK configured, flutter_test runner initialized with mock dependencies.</t>
        </is>
      </c>
      <c r="H51" s="17" t="inlineStr">
        <is>
          <t>1. Initialize mock dependencies.
2. Invoke validation utility with valid, boundary, and malformed inputs.
3. Verify test assertions and expectations.</t>
        </is>
      </c>
      <c r="I51" s="17" t="inlineStr">
        <is>
          <t>Target Component: Budget Diet Plan, Framework: Flutter 3.x WidgetTester</t>
        </is>
      </c>
      <c r="J51" s="17" t="inlineStr">
        <is>
          <t>Validation function returns null for valid input and error string for invalid. in unit test suite.</t>
        </is>
      </c>
      <c r="K51" s="17" t="inlineStr">
        <is>
          <t>Pending Execution</t>
        </is>
      </c>
      <c r="L51" s="16" t="inlineStr">
        <is>
          <t>Medium</t>
        </is>
      </c>
      <c r="M51" s="16" t="inlineStr">
        <is>
          <t>Critical</t>
        </is>
      </c>
      <c r="N51" s="18" t="inlineStr">
        <is>
          <t>Not Executed</t>
        </is>
      </c>
      <c r="O51" s="17" t="inlineStr">
        <is>
          <t>evidence/flu-tst-050_screenshot.png</t>
        </is>
      </c>
      <c r="P51" s="17" t="inlineStr">
        <is>
          <t>Automated baseline generation</t>
        </is>
      </c>
    </row>
    <row r="52" ht="36" customHeight="1">
      <c r="A52" s="16" t="inlineStr">
        <is>
          <t>FLU-TST-051</t>
        </is>
      </c>
      <c r="B52" s="16" t="inlineStr">
        <is>
          <t>Flutter Unit and Widget Testing</t>
        </is>
      </c>
      <c r="C52" s="17" t="inlineStr">
        <is>
          <t>Stretching and Warm-up</t>
        </is>
      </c>
      <c r="D52" s="17" t="inlineStr">
        <is>
          <t>Unit/Widget testing of Stretching and Warm-up components</t>
        </is>
      </c>
      <c r="E52" s="17" t="inlineStr">
        <is>
          <t>Flutter Test - Stretching and Warm-up - Verify ChangeNotifier state mutation and notifyListeners() (#51)</t>
        </is>
      </c>
      <c r="F52" s="17" t="inlineStr">
        <is>
          <t>Verify isolated unit logic and widget tree integrity for Stretching and Warm-up using flutter_test package.</t>
        </is>
      </c>
      <c r="G52" s="17" t="inlineStr">
        <is>
          <t>Flutter SDK configured, flutter_test runner initialized with mock dependencies.</t>
        </is>
      </c>
      <c r="H52" s="17" t="inlineStr">
        <is>
          <t>1. Initialize mock dependencies.
2. Call state mutation method on Provider class, observe listener callback count.
3. Verify test assertions and expectations.</t>
        </is>
      </c>
      <c r="I52" s="17" t="inlineStr">
        <is>
          <t>Target Component: Stretching and Warm-up, Framework: Flutter 3.x WidgetTester</t>
        </is>
      </c>
      <c r="J52" s="17" t="inlineStr">
        <is>
          <t>State updates as expected and notifyListeners() triggers UI rebuild once. in unit test suite.</t>
        </is>
      </c>
      <c r="K52" s="17" t="inlineStr">
        <is>
          <t>Pending Execution</t>
        </is>
      </c>
      <c r="L52" s="16" t="inlineStr">
        <is>
          <t>Medium</t>
        </is>
      </c>
      <c r="M52" s="16" t="inlineStr">
        <is>
          <t>Moderate</t>
        </is>
      </c>
      <c r="N52" s="18" t="inlineStr">
        <is>
          <t>Not Executed</t>
        </is>
      </c>
      <c r="O52" s="17" t="inlineStr">
        <is>
          <t>evidence/flu-tst-051_screenshot.png</t>
        </is>
      </c>
      <c r="P52" s="17" t="inlineStr">
        <is>
          <t>Automated baseline generation</t>
        </is>
      </c>
    </row>
    <row r="53" ht="36" customHeight="1">
      <c r="A53" s="16" t="inlineStr">
        <is>
          <t>FLU-TST-052</t>
        </is>
      </c>
      <c r="B53" s="16" t="inlineStr">
        <is>
          <t>Flutter Unit and Widget Testing</t>
        </is>
      </c>
      <c r="C53" s="17" t="inlineStr">
        <is>
          <t>Water Tracker</t>
        </is>
      </c>
      <c r="D53" s="17" t="inlineStr">
        <is>
          <t>Unit/Widget testing of Water Tracker components</t>
        </is>
      </c>
      <c r="E53" s="17" t="inlineStr">
        <is>
          <t>Flutter Test - Water Tracker - Verify Widget rendering in WidgetTester environment (#52)</t>
        </is>
      </c>
      <c r="F53" s="17" t="inlineStr">
        <is>
          <t>Verify isolated unit logic and widget tree integrity for Water Tracker using flutter_test package.</t>
        </is>
      </c>
      <c r="G53" s="17" t="inlineStr">
        <is>
          <t>Flutter SDK configured, flutter_test runner initialized with mock dependencies.</t>
        </is>
      </c>
      <c r="H53" s="17" t="inlineStr">
        <is>
          <t>1. Initialize mock dependencies.
2. Pump widget into WidgetTester tree, search elements using find.byType / find.text.
3. Verify test assertions and expectations.</t>
        </is>
      </c>
      <c r="I53" s="17" t="inlineStr">
        <is>
          <t>Target Component: Water Tracker, Framework: Flutter 3.x WidgetTester</t>
        </is>
      </c>
      <c r="J53" s="17" t="inlineStr">
        <is>
          <t>Widget renders without layout overflow warnings or unhandled exceptions. in unit test suite.</t>
        </is>
      </c>
      <c r="K53" s="17" t="inlineStr">
        <is>
          <t>Pending Execution</t>
        </is>
      </c>
      <c r="L53" s="16" t="inlineStr">
        <is>
          <t>High</t>
        </is>
      </c>
      <c r="M53" s="16" t="inlineStr">
        <is>
          <t>Moderate</t>
        </is>
      </c>
      <c r="N53" s="18" t="inlineStr">
        <is>
          <t>Not Executed</t>
        </is>
      </c>
      <c r="O53" s="17" t="inlineStr">
        <is>
          <t>evidence/flu-tst-052_screenshot.png</t>
        </is>
      </c>
      <c r="P53" s="17" t="inlineStr">
        <is>
          <t>Automated baseline generation</t>
        </is>
      </c>
    </row>
    <row r="54" ht="36" customHeight="1">
      <c r="A54" s="16" t="inlineStr">
        <is>
          <t>FLU-TST-053</t>
        </is>
      </c>
      <c r="B54" s="16" t="inlineStr">
        <is>
          <t>Flutter Unit and Widget Testing</t>
        </is>
      </c>
      <c r="C54" s="17" t="inlineStr">
        <is>
          <t>Sleep Tracker</t>
        </is>
      </c>
      <c r="D54" s="17" t="inlineStr">
        <is>
          <t>Unit/Widget testing of Sleep Tracker components</t>
        </is>
      </c>
      <c r="E54" s="17" t="inlineStr">
        <is>
          <t>Flutter Test - Sleep Tracker - Verify mock service dependency injection and async response handling (#53)</t>
        </is>
      </c>
      <c r="F54" s="17" t="inlineStr">
        <is>
          <t>Verify isolated unit logic and widget tree integrity for Sleep Tracker using flutter_test package.</t>
        </is>
      </c>
      <c r="G54" s="17" t="inlineStr">
        <is>
          <t>Flutter SDK configured, flutter_test runner initialized with mock dependencies.</t>
        </is>
      </c>
      <c r="H54" s="17" t="inlineStr">
        <is>
          <t>1. Initialize mock dependencies.
2. Inject MockSupabaseClient into service, call async method, await Future.
3. Verify test assertions and expectations.</t>
        </is>
      </c>
      <c r="I54" s="17" t="inlineStr">
        <is>
          <t>Target Component: Sleep Tracker, Framework: Flutter 3.x WidgetTester</t>
        </is>
      </c>
      <c r="J54" s="17" t="inlineStr">
        <is>
          <t>Service parses mocked API response correctly into typed domain objects. in unit test suite.</t>
        </is>
      </c>
      <c r="K54" s="17" t="inlineStr">
        <is>
          <t>Pending Execution</t>
        </is>
      </c>
      <c r="L54" s="16" t="inlineStr">
        <is>
          <t>Medium</t>
        </is>
      </c>
      <c r="M54" s="16" t="inlineStr">
        <is>
          <t>Moderate</t>
        </is>
      </c>
      <c r="N54" s="18" t="inlineStr">
        <is>
          <t>Not Executed</t>
        </is>
      </c>
      <c r="O54" s="17" t="inlineStr">
        <is>
          <t>evidence/flu-tst-053_screenshot.png</t>
        </is>
      </c>
      <c r="P54" s="17" t="inlineStr">
        <is>
          <t>Automated baseline generation</t>
        </is>
      </c>
    </row>
    <row r="55" ht="36" customHeight="1">
      <c r="A55" s="16" t="inlineStr">
        <is>
          <t>FLU-TST-054</t>
        </is>
      </c>
      <c r="B55" s="16" t="inlineStr">
        <is>
          <t>Flutter Unit and Widget Testing</t>
        </is>
      </c>
      <c r="C55" s="17" t="inlineStr">
        <is>
          <t>Step Tracker</t>
        </is>
      </c>
      <c r="D55" s="17" t="inlineStr">
        <is>
          <t>Unit/Widget testing of Step Tracker components</t>
        </is>
      </c>
      <c r="E55" s="17" t="inlineStr">
        <is>
          <t>Flutter Test - Step Tracker - Verify error boundary &amp; fallback widget rendering on exception (#54)</t>
        </is>
      </c>
      <c r="F55" s="17" t="inlineStr">
        <is>
          <t>Verify isolated unit logic and widget tree integrity for Step Tracker using flutter_test package.</t>
        </is>
      </c>
      <c r="G55" s="17" t="inlineStr">
        <is>
          <t>Flutter SDK configured, flutter_test runner initialized with mock dependencies.</t>
        </is>
      </c>
      <c r="H55" s="17" t="inlineStr">
        <is>
          <t>1. Initialize mock dependencies.
2. Trigger exception during widget build phase inside ErrorWidget boundary.
3. Verify test assertions and expectations.</t>
        </is>
      </c>
      <c r="I55" s="17" t="inlineStr">
        <is>
          <t>Target Component: Step Tracker, Framework: Flutter 3.x WidgetTester</t>
        </is>
      </c>
      <c r="J55" s="17" t="inlineStr">
        <is>
          <t>ErrorWidget fallback renders gracefully without throwing unhandled Flutter error. in unit test suite.</t>
        </is>
      </c>
      <c r="K55" s="17" t="inlineStr">
        <is>
          <t>Pending Execution</t>
        </is>
      </c>
      <c r="L55" s="16" t="inlineStr">
        <is>
          <t>Medium</t>
        </is>
      </c>
      <c r="M55" s="16" t="inlineStr">
        <is>
          <t>Moderate</t>
        </is>
      </c>
      <c r="N55" s="18" t="inlineStr">
        <is>
          <t>Not Executed</t>
        </is>
      </c>
      <c r="O55" s="17" t="inlineStr">
        <is>
          <t>evidence/flu-tst-054_screenshot.png</t>
        </is>
      </c>
      <c r="P55" s="17" t="inlineStr">
        <is>
          <t>Automated baseline generation</t>
        </is>
      </c>
    </row>
    <row r="56" ht="36" customHeight="1">
      <c r="A56" s="16" t="inlineStr">
        <is>
          <t>FLU-TST-055</t>
        </is>
      </c>
      <c r="B56" s="16" t="inlineStr">
        <is>
          <t>Flutter Unit and Widget Testing</t>
        </is>
      </c>
      <c r="C56" s="17" t="inlineStr">
        <is>
          <t>Calorie Calculator</t>
        </is>
      </c>
      <c r="D56" s="17" t="inlineStr">
        <is>
          <t>Unit/Widget testing of Calorie Calculator components</t>
        </is>
      </c>
      <c r="E56" s="17" t="inlineStr">
        <is>
          <t>Flutter Test - Calorie Calculator - Verify model JSON serialization &amp; deserialization logic (#55)</t>
        </is>
      </c>
      <c r="F56" s="17" t="inlineStr">
        <is>
          <t>Verify isolated unit logic and widget tree integrity for Calorie Calculator using flutter_test package.</t>
        </is>
      </c>
      <c r="G56" s="17" t="inlineStr">
        <is>
          <t>Flutter SDK configured, flutter_test runner initialized with mock dependencies.</t>
        </is>
      </c>
      <c r="H56" s="17" t="inlineStr">
        <is>
          <t>1. Initialize mock dependencies.
2. Pass JSON map payload to Model.fromJson(), verify fields, call model.toJson().
3. Verify test assertions and expectations.</t>
        </is>
      </c>
      <c r="I56" s="17" t="inlineStr">
        <is>
          <t>Target Component: Calorie Calculator, Framework: Flutter 3.x WidgetTester</t>
        </is>
      </c>
      <c r="J56" s="17" t="inlineStr">
        <is>
          <t>Model instantiates correctly; toJson matches expected map key values. in unit test suite.</t>
        </is>
      </c>
      <c r="K56" s="17" t="inlineStr">
        <is>
          <t>Pending Execution</t>
        </is>
      </c>
      <c r="L56" s="16" t="inlineStr">
        <is>
          <t>Medium</t>
        </is>
      </c>
      <c r="M56" s="16" t="inlineStr">
        <is>
          <t>Moderate</t>
        </is>
      </c>
      <c r="N56" s="18" t="inlineStr">
        <is>
          <t>Not Executed</t>
        </is>
      </c>
      <c r="O56" s="17" t="inlineStr">
        <is>
          <t>evidence/flu-tst-055_screenshot.png</t>
        </is>
      </c>
      <c r="P56" s="17" t="inlineStr">
        <is>
          <t>Automated baseline generation</t>
        </is>
      </c>
    </row>
    <row r="57" ht="36" customHeight="1">
      <c r="A57" s="16" t="inlineStr">
        <is>
          <t>FLU-TST-056</t>
        </is>
      </c>
      <c r="B57" s="16" t="inlineStr">
        <is>
          <t>Flutter Unit and Widget Testing</t>
        </is>
      </c>
      <c r="C57" s="17" t="inlineStr">
        <is>
          <t>Meal Reminder</t>
        </is>
      </c>
      <c r="D57" s="17" t="inlineStr">
        <is>
          <t>Unit/Widget testing of Meal Reminder components</t>
        </is>
      </c>
      <c r="E57" s="17" t="inlineStr">
        <is>
          <t>Flutter Test - Meal Reminder - Verify form field validation regex functions (#56)</t>
        </is>
      </c>
      <c r="F57" s="17" t="inlineStr">
        <is>
          <t>Verify isolated unit logic and widget tree integrity for Meal Reminder using flutter_test package.</t>
        </is>
      </c>
      <c r="G57" s="17" t="inlineStr">
        <is>
          <t>Flutter SDK configured, flutter_test runner initialized with mock dependencies.</t>
        </is>
      </c>
      <c r="H57" s="17" t="inlineStr">
        <is>
          <t>1. Initialize mock dependencies.
2. Invoke validation utility with valid, boundary, and malformed inputs.
3. Verify test assertions and expectations.</t>
        </is>
      </c>
      <c r="I57" s="17" t="inlineStr">
        <is>
          <t>Target Component: Meal Reminder, Framework: Flutter 3.x WidgetTester</t>
        </is>
      </c>
      <c r="J57" s="17" t="inlineStr">
        <is>
          <t>Validation function returns null for valid input and error string for invalid. in unit test suite.</t>
        </is>
      </c>
      <c r="K57" s="17" t="inlineStr">
        <is>
          <t>Pending Execution</t>
        </is>
      </c>
      <c r="L57" s="16" t="inlineStr">
        <is>
          <t>High</t>
        </is>
      </c>
      <c r="M57" s="16" t="inlineStr">
        <is>
          <t>Moderate</t>
        </is>
      </c>
      <c r="N57" s="18" t="inlineStr">
        <is>
          <t>Not Executed</t>
        </is>
      </c>
      <c r="O57" s="17" t="inlineStr">
        <is>
          <t>evidence/flu-tst-056_screenshot.png</t>
        </is>
      </c>
      <c r="P57" s="17" t="inlineStr">
        <is>
          <t>Automated baseline generation</t>
        </is>
      </c>
    </row>
    <row r="58" ht="36" customHeight="1">
      <c r="A58" s="16" t="inlineStr">
        <is>
          <t>FLU-TST-057</t>
        </is>
      </c>
      <c r="B58" s="16" t="inlineStr">
        <is>
          <t>Flutter Unit and Widget Testing</t>
        </is>
      </c>
      <c r="C58" s="17" t="inlineStr">
        <is>
          <t>Notifications</t>
        </is>
      </c>
      <c r="D58" s="17" t="inlineStr">
        <is>
          <t>Unit/Widget testing of Notifications components</t>
        </is>
      </c>
      <c r="E58" s="17" t="inlineStr">
        <is>
          <t>Flutter Test - Notifications - Verify ChangeNotifier state mutation and notifyListeners() (#57)</t>
        </is>
      </c>
      <c r="F58" s="17" t="inlineStr">
        <is>
          <t>Verify isolated unit logic and widget tree integrity for Notifications using flutter_test package.</t>
        </is>
      </c>
      <c r="G58" s="17" t="inlineStr">
        <is>
          <t>Flutter SDK configured, flutter_test runner initialized with mock dependencies.</t>
        </is>
      </c>
      <c r="H58" s="17" t="inlineStr">
        <is>
          <t>1. Initialize mock dependencies.
2. Call state mutation method on Provider class, observe listener callback count.
3. Verify test assertions and expectations.</t>
        </is>
      </c>
      <c r="I58" s="17" t="inlineStr">
        <is>
          <t>Target Component: Notifications, Framework: Flutter 3.x WidgetTester</t>
        </is>
      </c>
      <c r="J58" s="17" t="inlineStr">
        <is>
          <t>State updates as expected and notifyListeners() triggers UI rebuild once. in unit test suite.</t>
        </is>
      </c>
      <c r="K58" s="17" t="inlineStr">
        <is>
          <t>Pending Execution</t>
        </is>
      </c>
      <c r="L58" s="16" t="inlineStr">
        <is>
          <t>Medium</t>
        </is>
      </c>
      <c r="M58" s="16" t="inlineStr">
        <is>
          <t>Moderate</t>
        </is>
      </c>
      <c r="N58" s="18" t="inlineStr">
        <is>
          <t>Not Executed</t>
        </is>
      </c>
      <c r="O58" s="17" t="inlineStr">
        <is>
          <t>evidence/flu-tst-057_screenshot.png</t>
        </is>
      </c>
      <c r="P58" s="17" t="inlineStr">
        <is>
          <t>Automated baseline generation</t>
        </is>
      </c>
    </row>
    <row r="59" ht="36" customHeight="1">
      <c r="A59" s="16" t="inlineStr">
        <is>
          <t>FLU-TST-058</t>
        </is>
      </c>
      <c r="B59" s="16" t="inlineStr">
        <is>
          <t>Flutter Unit and Widget Testing</t>
        </is>
      </c>
      <c r="C59" s="17" t="inlineStr">
        <is>
          <t>Shop</t>
        </is>
      </c>
      <c r="D59" s="17" t="inlineStr">
        <is>
          <t>Unit/Widget testing of Shop components</t>
        </is>
      </c>
      <c r="E59" s="17" t="inlineStr">
        <is>
          <t>Flutter Test - Shop - Verify Widget rendering in WidgetTester environment (#58)</t>
        </is>
      </c>
      <c r="F59" s="17" t="inlineStr">
        <is>
          <t>Verify isolated unit logic and widget tree integrity for Shop using flutter_test package.</t>
        </is>
      </c>
      <c r="G59" s="17" t="inlineStr">
        <is>
          <t>Flutter SDK configured, flutter_test runner initialized with mock dependencies.</t>
        </is>
      </c>
      <c r="H59" s="17" t="inlineStr">
        <is>
          <t>1. Initialize mock dependencies.
2. Pump widget into WidgetTester tree, search elements using find.byType / find.text.
3. Verify test assertions and expectations.</t>
        </is>
      </c>
      <c r="I59" s="17" t="inlineStr">
        <is>
          <t>Target Component: Shop, Framework: Flutter 3.x WidgetTester</t>
        </is>
      </c>
      <c r="J59" s="17" t="inlineStr">
        <is>
          <t>Widget renders without layout overflow warnings or unhandled exceptions. in unit test suite.</t>
        </is>
      </c>
      <c r="K59" s="17" t="inlineStr">
        <is>
          <t>Pending Execution</t>
        </is>
      </c>
      <c r="L59" s="16" t="inlineStr">
        <is>
          <t>Medium</t>
        </is>
      </c>
      <c r="M59" s="16" t="inlineStr">
        <is>
          <t>Moderate</t>
        </is>
      </c>
      <c r="N59" s="18" t="inlineStr">
        <is>
          <t>Not Executed</t>
        </is>
      </c>
      <c r="O59" s="17" t="inlineStr">
        <is>
          <t>evidence/flu-tst-058_screenshot.png</t>
        </is>
      </c>
      <c r="P59" s="17" t="inlineStr">
        <is>
          <t>Automated baseline generation</t>
        </is>
      </c>
    </row>
    <row r="60" ht="36" customHeight="1">
      <c r="A60" s="16" t="inlineStr">
        <is>
          <t>FLU-TST-059</t>
        </is>
      </c>
      <c r="B60" s="16" t="inlineStr">
        <is>
          <t>Flutter Unit and Widget Testing</t>
        </is>
      </c>
      <c r="C60" s="17" t="inlineStr">
        <is>
          <t>Product Search and Filters</t>
        </is>
      </c>
      <c r="D60" s="17" t="inlineStr">
        <is>
          <t>Unit/Widget testing of Product Search and Filters components</t>
        </is>
      </c>
      <c r="E60" s="17" t="inlineStr">
        <is>
          <t>Flutter Test - Product Search and Filters - Verify mock service dependency injection and async response handling (#59)</t>
        </is>
      </c>
      <c r="F60" s="17" t="inlineStr">
        <is>
          <t>Verify isolated unit logic and widget tree integrity for Product Search and Filters using flutter_test package.</t>
        </is>
      </c>
      <c r="G60" s="17" t="inlineStr">
        <is>
          <t>Flutter SDK configured, flutter_test runner initialized with mock dependencies.</t>
        </is>
      </c>
      <c r="H60" s="17" t="inlineStr">
        <is>
          <t>1. Initialize mock dependencies.
2. Inject MockSupabaseClient into service, call async method, await Future.
3. Verify test assertions and expectations.</t>
        </is>
      </c>
      <c r="I60" s="17" t="inlineStr">
        <is>
          <t>Target Component: Product Search and Filters, Framework: Flutter 3.x WidgetTester</t>
        </is>
      </c>
      <c r="J60" s="17" t="inlineStr">
        <is>
          <t>Service parses mocked API response correctly into typed domain objects. in unit test suite.</t>
        </is>
      </c>
      <c r="K60" s="17" t="inlineStr">
        <is>
          <t>Pending Execution</t>
        </is>
      </c>
      <c r="L60" s="16" t="inlineStr">
        <is>
          <t>Medium</t>
        </is>
      </c>
      <c r="M60" s="16" t="inlineStr">
        <is>
          <t>Moderate</t>
        </is>
      </c>
      <c r="N60" s="18" t="inlineStr">
        <is>
          <t>Not Executed</t>
        </is>
      </c>
      <c r="O60" s="17" t="inlineStr">
        <is>
          <t>evidence/flu-tst-059_screenshot.png</t>
        </is>
      </c>
      <c r="P60" s="17" t="inlineStr">
        <is>
          <t>Automated baseline generation</t>
        </is>
      </c>
    </row>
    <row r="61" ht="36" customHeight="1">
      <c r="A61" s="16" t="inlineStr">
        <is>
          <t>FLU-TST-060</t>
        </is>
      </c>
      <c r="B61" s="16" t="inlineStr">
        <is>
          <t>Flutter Unit and Widget Testing</t>
        </is>
      </c>
      <c r="C61" s="17" t="inlineStr">
        <is>
          <t>Product Details</t>
        </is>
      </c>
      <c r="D61" s="17" t="inlineStr">
        <is>
          <t>Unit/Widget testing of Product Details components</t>
        </is>
      </c>
      <c r="E61" s="17" t="inlineStr">
        <is>
          <t>Flutter Test - Product Details - Verify error boundary &amp; fallback widget rendering on exception (#60)</t>
        </is>
      </c>
      <c r="F61" s="17" t="inlineStr">
        <is>
          <t>Verify isolated unit logic and widget tree integrity for Product Details using flutter_test package.</t>
        </is>
      </c>
      <c r="G61" s="17" t="inlineStr">
        <is>
          <t>Flutter SDK configured, flutter_test runner initialized with mock dependencies.</t>
        </is>
      </c>
      <c r="H61" s="17" t="inlineStr">
        <is>
          <t>1. Initialize mock dependencies.
2. Trigger exception during widget build phase inside ErrorWidget boundary.
3. Verify test assertions and expectations.</t>
        </is>
      </c>
      <c r="I61" s="17" t="inlineStr">
        <is>
          <t>Target Component: Product Details, Framework: Flutter 3.x WidgetTester</t>
        </is>
      </c>
      <c r="J61" s="17" t="inlineStr">
        <is>
          <t>ErrorWidget fallback renders gracefully without throwing unhandled Flutter error. in unit test suite.</t>
        </is>
      </c>
      <c r="K61" s="17" t="inlineStr">
        <is>
          <t>Pending Execution</t>
        </is>
      </c>
      <c r="L61" s="16" t="inlineStr">
        <is>
          <t>High</t>
        </is>
      </c>
      <c r="M61" s="16" t="inlineStr">
        <is>
          <t>Critical</t>
        </is>
      </c>
      <c r="N61" s="18" t="inlineStr">
        <is>
          <t>Not Executed</t>
        </is>
      </c>
      <c r="O61" s="17" t="inlineStr">
        <is>
          <t>evidence/flu-tst-060_screenshot.png</t>
        </is>
      </c>
      <c r="P61" s="17" t="inlineStr">
        <is>
          <t>Automated baseline generation</t>
        </is>
      </c>
    </row>
  </sheetData>
  <autoFilter ref="A1:P6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20" customWidth="1" min="3" max="3"/>
    <col width="30" customWidth="1" min="4" max="4"/>
    <col width="35" customWidth="1" min="5" max="5"/>
    <col width="35" customWidth="1" min="6" max="6"/>
    <col width="30" customWidth="1" min="7" max="7"/>
    <col width="45" customWidth="1" min="8" max="8"/>
    <col width="25" customWidth="1" min="9" max="9"/>
    <col width="35" customWidth="1" min="10" max="10"/>
    <col width="20" customWidth="1" min="11" max="11"/>
    <col width="12" customWidth="1" min="12" max="12"/>
    <col width="12" customWidth="1" min="13" max="13"/>
    <col width="15" customWidth="1" min="14" max="14"/>
    <col width="25" customWidth="1" min="15" max="15"/>
    <col width="25" customWidth="1" min="16" max="16"/>
  </cols>
  <sheetData>
    <row r="1" ht="28" customHeight="1">
      <c r="A1" s="15" t="inlineStr">
        <is>
          <t>Test Case ID</t>
        </is>
      </c>
      <c r="B1" s="15" t="inlineStr">
        <is>
          <t>Testing Type</t>
        </is>
      </c>
      <c r="C1" s="15" t="inlineStr">
        <is>
          <t>Module</t>
        </is>
      </c>
      <c r="D1" s="15" t="inlineStr">
        <is>
          <t>Test Scenario</t>
        </is>
      </c>
      <c r="E1" s="15" t="inlineStr">
        <is>
          <t>Test Case Title</t>
        </is>
      </c>
      <c r="F1" s="15" t="inlineStr">
        <is>
          <t>Objective</t>
        </is>
      </c>
      <c r="G1" s="15" t="inlineStr">
        <is>
          <t>Preconditions</t>
        </is>
      </c>
      <c r="H1" s="15" t="inlineStr">
        <is>
          <t>Test Steps</t>
        </is>
      </c>
      <c r="I1" s="15" t="inlineStr">
        <is>
          <t>Test Data</t>
        </is>
      </c>
      <c r="J1" s="15" t="inlineStr">
        <is>
          <t>Expected Result</t>
        </is>
      </c>
      <c r="K1" s="15" t="inlineStr">
        <is>
          <t>Actual Result</t>
        </is>
      </c>
      <c r="L1" s="15" t="inlineStr">
        <is>
          <t>Priority</t>
        </is>
      </c>
      <c r="M1" s="15" t="inlineStr">
        <is>
          <t>Severity</t>
        </is>
      </c>
      <c r="N1" s="15" t="inlineStr">
        <is>
          <t>Status</t>
        </is>
      </c>
      <c r="O1" s="15" t="inlineStr">
        <is>
          <t>Evidence Path</t>
        </is>
      </c>
      <c r="P1" s="15" t="inlineStr">
        <is>
          <t>Remarks</t>
        </is>
      </c>
    </row>
    <row r="2" ht="36" customHeight="1">
      <c r="A2" s="16" t="inlineStr">
        <is>
          <t>FUN-INT-001</t>
        </is>
      </c>
      <c r="B2" s="16" t="inlineStr">
        <is>
          <t>Functional and Integration Testing</t>
        </is>
      </c>
      <c r="C2" s="17" t="inlineStr">
        <is>
          <t>Splash</t>
        </is>
      </c>
      <c r="D2" s="17" t="inlineStr">
        <is>
          <t>Integration testing of Splash integration point</t>
        </is>
      </c>
      <c r="E2" s="17" t="inlineStr">
        <is>
          <t>Functional Integration - Splash - Verify end-to-end data flow between client UI and Supabase DB (#1)</t>
        </is>
      </c>
      <c r="F2" s="17" t="inlineStr">
        <is>
          <t>Verify cross-module functionality and Supabase integration integrity for Splash.</t>
        </is>
      </c>
      <c r="G2" s="17" t="inlineStr">
        <is>
          <t>Test environment active, backend API / Supabase instance reachable.</t>
        </is>
      </c>
      <c r="H2" s="17" t="inlineStr">
        <is>
          <t>1. Prepare test user session.
2. Execute Splash integration scenario.
3. Perform data creation in client UI, inspect network payload, verify DB record.
4. Validate end-to-end result.</t>
        </is>
      </c>
      <c r="I2" s="17" t="inlineStr">
        <is>
          <t>Module: Splash, API Endpoint: Supabase Rest / Realtime API</t>
        </is>
      </c>
      <c r="J2" s="17" t="inlineStr">
        <is>
          <t>Record inserted cleanly into Supabase database with matching user_id. for module Splash.</t>
        </is>
      </c>
      <c r="K2" s="17" t="inlineStr">
        <is>
          <t>Pending Execution</t>
        </is>
      </c>
      <c r="L2" s="16" t="inlineStr">
        <is>
          <t>Medium</t>
        </is>
      </c>
      <c r="M2" s="16" t="inlineStr">
        <is>
          <t>Moderate</t>
        </is>
      </c>
      <c r="N2" s="18" t="inlineStr">
        <is>
          <t>Not Executed</t>
        </is>
      </c>
      <c r="O2" s="17" t="inlineStr">
        <is>
          <t>evidence/fun-int-001_screenshot.png</t>
        </is>
      </c>
      <c r="P2" s="17" t="inlineStr">
        <is>
          <t>Automated baseline generation</t>
        </is>
      </c>
    </row>
    <row r="3" ht="36" customHeight="1">
      <c r="A3" s="16" t="inlineStr">
        <is>
          <t>FUN-INT-002</t>
        </is>
      </c>
      <c r="B3" s="16" t="inlineStr">
        <is>
          <t>Functional and Integration Testing</t>
        </is>
      </c>
      <c r="C3" s="17" t="inlineStr">
        <is>
          <t>Login</t>
        </is>
      </c>
      <c r="D3" s="17" t="inlineStr">
        <is>
          <t>Integration testing of Login integration point</t>
        </is>
      </c>
      <c r="E3" s="17" t="inlineStr">
        <is>
          <t>Functional Integration - Login - Verify state synchronization across multi-screen workflow (#2)</t>
        </is>
      </c>
      <c r="F3" s="17" t="inlineStr">
        <is>
          <t>Verify cross-module functionality and Supabase integration integrity for Login.</t>
        </is>
      </c>
      <c r="G3" s="17" t="inlineStr">
        <is>
          <t>Test environment active, backend API / Supabase instance reachable.</t>
        </is>
      </c>
      <c r="H3" s="17" t="inlineStr">
        <is>
          <t>1. Prepare test user session.
2. Execute Login integration scenario.
3. Update preference in Settings, navigate to Dashboard, check updated state.
4. Validate end-to-end result.</t>
        </is>
      </c>
      <c r="I3" s="17" t="inlineStr">
        <is>
          <t>Module: Login, API Endpoint: Supabase Rest / Realtime API</t>
        </is>
      </c>
      <c r="J3" s="17" t="inlineStr">
        <is>
          <t>Dashboard reflects updated setting immediately without manual refresh. for module Login.</t>
        </is>
      </c>
      <c r="K3" s="17" t="inlineStr">
        <is>
          <t>Pending Execution</t>
        </is>
      </c>
      <c r="L3" s="16" t="inlineStr">
        <is>
          <t>High</t>
        </is>
      </c>
      <c r="M3" s="16" t="inlineStr">
        <is>
          <t>Moderate</t>
        </is>
      </c>
      <c r="N3" s="18" t="inlineStr">
        <is>
          <t>Not Executed</t>
        </is>
      </c>
      <c r="O3" s="17" t="inlineStr">
        <is>
          <t>evidence/fun-int-002_screenshot.png</t>
        </is>
      </c>
      <c r="P3" s="17" t="inlineStr">
        <is>
          <t>Automated baseline generation</t>
        </is>
      </c>
    </row>
    <row r="4" ht="36" customHeight="1">
      <c r="A4" s="16" t="inlineStr">
        <is>
          <t>FUN-INT-003</t>
        </is>
      </c>
      <c r="B4" s="16" t="inlineStr">
        <is>
          <t>Functional and Integration Testing</t>
        </is>
      </c>
      <c r="C4" s="17" t="inlineStr">
        <is>
          <t>Signup</t>
        </is>
      </c>
      <c r="D4" s="17" t="inlineStr">
        <is>
          <t>Integration testing of Signup integration point</t>
        </is>
      </c>
      <c r="E4" s="17" t="inlineStr">
        <is>
          <t>Functional Integration - Signup - Verify transactional workflow completion (Order / Workout log) (#3)</t>
        </is>
      </c>
      <c r="F4" s="17" t="inlineStr">
        <is>
          <t>Verify cross-module functionality and Supabase integration integrity for Signup.</t>
        </is>
      </c>
      <c r="G4" s="17" t="inlineStr">
        <is>
          <t>Test environment active, backend API / Supabase instance reachable.</t>
        </is>
      </c>
      <c r="H4" s="17" t="inlineStr">
        <is>
          <t>1. Prepare test user session.
2. Execute Signup integration scenario.
3. Complete multi-step form workflow, submit transaction, verify summary page.
4. Validate end-to-end result.</t>
        </is>
      </c>
      <c r="I4" s="17" t="inlineStr">
        <is>
          <t>Module: Signup, API Endpoint: Supabase Rest / Realtime API</t>
        </is>
      </c>
      <c r="J4" s="17" t="inlineStr">
        <is>
          <t>Transaction completes successfully, DB state updated, confirmation displayed. for module Signup.</t>
        </is>
      </c>
      <c r="K4" s="17" t="inlineStr">
        <is>
          <t>Pending Execution</t>
        </is>
      </c>
      <c r="L4" s="16" t="inlineStr">
        <is>
          <t>Medium</t>
        </is>
      </c>
      <c r="M4" s="16" t="inlineStr">
        <is>
          <t>Moderate</t>
        </is>
      </c>
      <c r="N4" s="18" t="inlineStr">
        <is>
          <t>Not Executed</t>
        </is>
      </c>
      <c r="O4" s="17" t="inlineStr">
        <is>
          <t>evidence/fun-int-003_screenshot.png</t>
        </is>
      </c>
      <c r="P4" s="17" t="inlineStr">
        <is>
          <t>Automated baseline generation</t>
        </is>
      </c>
    </row>
    <row r="5" ht="36" customHeight="1">
      <c r="A5" s="16" t="inlineStr">
        <is>
          <t>FUN-INT-004</t>
        </is>
      </c>
      <c r="B5" s="16" t="inlineStr">
        <is>
          <t>Functional and Integration Testing</t>
        </is>
      </c>
      <c r="C5" s="17" t="inlineStr">
        <is>
          <t>Forgot Password</t>
        </is>
      </c>
      <c r="D5" s="17" t="inlineStr">
        <is>
          <t>Integration testing of Forgot Password integration point</t>
        </is>
      </c>
      <c r="E5" s="17" t="inlineStr">
        <is>
          <t>Functional Integration - Forgot Password - Verify graceful handling of network disconnect and reconnect sync (#4)</t>
        </is>
      </c>
      <c r="F5" s="17" t="inlineStr">
        <is>
          <t>Verify cross-module functionality and Supabase integration integrity for Forgot Password.</t>
        </is>
      </c>
      <c r="G5" s="17" t="inlineStr">
        <is>
          <t>Test environment active, backend API / Supabase instance reachable.</t>
        </is>
      </c>
      <c r="H5" s="17" t="inlineStr">
        <is>
          <t>1. Prepare test user session.
2. Execute Forgot Password integration scenario.
3. Simulate offline state during data edit, restore network connection.
4. Validate end-to-end result.</t>
        </is>
      </c>
      <c r="I5" s="17" t="inlineStr">
        <is>
          <t>Module: Forgot Password, API Endpoint: Supabase Rest / Realtime API</t>
        </is>
      </c>
      <c r="J5" s="17" t="inlineStr">
        <is>
          <t>App queues unsynced changes locally and syncs with server upon connection. for module Forgot Password.</t>
        </is>
      </c>
      <c r="K5" s="17" t="inlineStr">
        <is>
          <t>Pending Execution</t>
        </is>
      </c>
      <c r="L5" s="16" t="inlineStr">
        <is>
          <t>High</t>
        </is>
      </c>
      <c r="M5" s="16" t="inlineStr">
        <is>
          <t>Moderate</t>
        </is>
      </c>
      <c r="N5" s="18" t="inlineStr">
        <is>
          <t>Not Executed</t>
        </is>
      </c>
      <c r="O5" s="17" t="inlineStr">
        <is>
          <t>evidence/fun-int-004_screenshot.png</t>
        </is>
      </c>
      <c r="P5" s="17" t="inlineStr">
        <is>
          <t>Automated baseline generation</t>
        </is>
      </c>
    </row>
    <row r="6" ht="36" customHeight="1">
      <c r="A6" s="16" t="inlineStr">
        <is>
          <t>FUN-INT-005</t>
        </is>
      </c>
      <c r="B6" s="16" t="inlineStr">
        <is>
          <t>Functional and Integration Testing</t>
        </is>
      </c>
      <c r="C6" s="17" t="inlineStr">
        <is>
          <t>Email Verification</t>
        </is>
      </c>
      <c r="D6" s="17" t="inlineStr">
        <is>
          <t>Integration testing of Email Verification integration point</t>
        </is>
      </c>
      <c r="E6" s="17" t="inlineStr">
        <is>
          <t>Functional Integration - Email Verification - Verify role-based access control and RLS query policies (#5)</t>
        </is>
      </c>
      <c r="F6" s="17" t="inlineStr">
        <is>
          <t>Verify cross-module functionality and Supabase integration integrity for Email Verification.</t>
        </is>
      </c>
      <c r="G6" s="17" t="inlineStr">
        <is>
          <t>Test environment active, backend API / Supabase instance reachable.</t>
        </is>
      </c>
      <c r="H6" s="17" t="inlineStr">
        <is>
          <t>1. Prepare test user session.
2. Execute Email Verification integration scenario.
3. Attempt database access with unauthorized user token.
4. Validate end-to-end result.</t>
        </is>
      </c>
      <c r="I6" s="17" t="inlineStr">
        <is>
          <t>Module: Email Verification, API Endpoint: Supabase Rest / Realtime API</t>
        </is>
      </c>
      <c r="J6" s="17" t="inlineStr">
        <is>
          <t>Supabase RLS rejects unauthorized query with HTTP 403 / permission error. for module Email Verification.</t>
        </is>
      </c>
      <c r="K6" s="17" t="inlineStr">
        <is>
          <t>Pending Execution</t>
        </is>
      </c>
      <c r="L6" s="16" t="inlineStr">
        <is>
          <t>Medium</t>
        </is>
      </c>
      <c r="M6" s="16" t="inlineStr">
        <is>
          <t>Major</t>
        </is>
      </c>
      <c r="N6" s="18" t="inlineStr">
        <is>
          <t>Not Executed</t>
        </is>
      </c>
      <c r="O6" s="17" t="inlineStr">
        <is>
          <t>evidence/fun-int-005_screenshot.png</t>
        </is>
      </c>
      <c r="P6" s="17" t="inlineStr">
        <is>
          <t>Automated baseline generation</t>
        </is>
      </c>
    </row>
    <row r="7" ht="36" customHeight="1">
      <c r="A7" s="16" t="inlineStr">
        <is>
          <t>FUN-INT-006</t>
        </is>
      </c>
      <c r="B7" s="16" t="inlineStr">
        <is>
          <t>Functional and Integration Testing</t>
        </is>
      </c>
      <c r="C7" s="17" t="inlineStr">
        <is>
          <t>Onboarding</t>
        </is>
      </c>
      <c r="D7" s="17" t="inlineStr">
        <is>
          <t>Integration testing of Onboarding integration point</t>
        </is>
      </c>
      <c r="E7" s="17" t="inlineStr">
        <is>
          <t>Functional Integration - Onboarding - Verify end-to-end data flow between client UI and Supabase DB (#6)</t>
        </is>
      </c>
      <c r="F7" s="17" t="inlineStr">
        <is>
          <t>Verify cross-module functionality and Supabase integration integrity for Onboarding.</t>
        </is>
      </c>
      <c r="G7" s="17" t="inlineStr">
        <is>
          <t>Test environment active, backend API / Supabase instance reachable.</t>
        </is>
      </c>
      <c r="H7" s="17" t="inlineStr">
        <is>
          <t>1. Prepare test user session.
2. Execute Onboarding integration scenario.
3. Perform data creation in client UI, inspect network payload, verify DB record.
4. Validate end-to-end result.</t>
        </is>
      </c>
      <c r="I7" s="17" t="inlineStr">
        <is>
          <t>Module: Onboarding, API Endpoint: Supabase Rest / Realtime API</t>
        </is>
      </c>
      <c r="J7" s="17" t="inlineStr">
        <is>
          <t>Record inserted cleanly into Supabase database with matching user_id. for module Onboarding.</t>
        </is>
      </c>
      <c r="K7" s="17" t="inlineStr">
        <is>
          <t>Pending Execution</t>
        </is>
      </c>
      <c r="L7" s="16" t="inlineStr">
        <is>
          <t>High</t>
        </is>
      </c>
      <c r="M7" s="16" t="inlineStr">
        <is>
          <t>Moderate</t>
        </is>
      </c>
      <c r="N7" s="18" t="inlineStr">
        <is>
          <t>Not Executed</t>
        </is>
      </c>
      <c r="O7" s="17" t="inlineStr">
        <is>
          <t>evidence/fun-int-006_screenshot.png</t>
        </is>
      </c>
      <c r="P7" s="17" t="inlineStr">
        <is>
          <t>Automated baseline generation</t>
        </is>
      </c>
    </row>
    <row r="8" ht="36" customHeight="1">
      <c r="A8" s="16" t="inlineStr">
        <is>
          <t>FUN-INT-007</t>
        </is>
      </c>
      <c r="B8" s="16" t="inlineStr">
        <is>
          <t>Functional and Integration Testing</t>
        </is>
      </c>
      <c r="C8" s="17" t="inlineStr">
        <is>
          <t>Dashboard</t>
        </is>
      </c>
      <c r="D8" s="17" t="inlineStr">
        <is>
          <t>Integration testing of Dashboard integration point</t>
        </is>
      </c>
      <c r="E8" s="17" t="inlineStr">
        <is>
          <t>Functional Integration - Dashboard - Verify state synchronization across multi-screen workflow (#7)</t>
        </is>
      </c>
      <c r="F8" s="17" t="inlineStr">
        <is>
          <t>Verify cross-module functionality and Supabase integration integrity for Dashboard.</t>
        </is>
      </c>
      <c r="G8" s="17" t="inlineStr">
        <is>
          <t>Test environment active, backend API / Supabase instance reachable.</t>
        </is>
      </c>
      <c r="H8" s="17" t="inlineStr">
        <is>
          <t>1. Prepare test user session.
2. Execute Dashboard integration scenario.
3. Update preference in Settings, navigate to Dashboard, check updated state.
4. Validate end-to-end result.</t>
        </is>
      </c>
      <c r="I8" s="17" t="inlineStr">
        <is>
          <t>Module: Dashboard, API Endpoint: Supabase Rest / Realtime API</t>
        </is>
      </c>
      <c r="J8" s="17" t="inlineStr">
        <is>
          <t>Dashboard reflects updated setting immediately without manual refresh. for module Dashboard.</t>
        </is>
      </c>
      <c r="K8" s="17" t="inlineStr">
        <is>
          <t>Pending Execution</t>
        </is>
      </c>
      <c r="L8" s="16" t="inlineStr">
        <is>
          <t>Medium</t>
        </is>
      </c>
      <c r="M8" s="16" t="inlineStr">
        <is>
          <t>Moderate</t>
        </is>
      </c>
      <c r="N8" s="18" t="inlineStr">
        <is>
          <t>Not Executed</t>
        </is>
      </c>
      <c r="O8" s="17" t="inlineStr">
        <is>
          <t>evidence/fun-int-007_screenshot.png</t>
        </is>
      </c>
      <c r="P8" s="17" t="inlineStr">
        <is>
          <t>Automated baseline generation</t>
        </is>
      </c>
    </row>
    <row r="9" ht="36" customHeight="1">
      <c r="A9" s="16" t="inlineStr">
        <is>
          <t>FUN-INT-008</t>
        </is>
      </c>
      <c r="B9" s="16" t="inlineStr">
        <is>
          <t>Functional and Integration Testing</t>
        </is>
      </c>
      <c r="C9" s="17" t="inlineStr">
        <is>
          <t>Profile</t>
        </is>
      </c>
      <c r="D9" s="17" t="inlineStr">
        <is>
          <t>Integration testing of Profile integration point</t>
        </is>
      </c>
      <c r="E9" s="17" t="inlineStr">
        <is>
          <t>Functional Integration - Profile - Verify transactional workflow completion (Order / Workout log) (#8)</t>
        </is>
      </c>
      <c r="F9" s="17" t="inlineStr">
        <is>
          <t>Verify cross-module functionality and Supabase integration integrity for Profile.</t>
        </is>
      </c>
      <c r="G9" s="17" t="inlineStr">
        <is>
          <t>Test environment active, backend API / Supabase instance reachable.</t>
        </is>
      </c>
      <c r="H9" s="17" t="inlineStr">
        <is>
          <t>1. Prepare test user session.
2. Execute Profile integration scenario.
3. Complete multi-step form workflow, submit transaction, verify summary page.
4. Validate end-to-end result.</t>
        </is>
      </c>
      <c r="I9" s="17" t="inlineStr">
        <is>
          <t>Module: Profile, API Endpoint: Supabase Rest / Realtime API</t>
        </is>
      </c>
      <c r="J9" s="17" t="inlineStr">
        <is>
          <t>Transaction completes successfully, DB state updated, confirmation displayed. for module Profile.</t>
        </is>
      </c>
      <c r="K9" s="17" t="inlineStr">
        <is>
          <t>Pending Execution</t>
        </is>
      </c>
      <c r="L9" s="16" t="inlineStr">
        <is>
          <t>High</t>
        </is>
      </c>
      <c r="M9" s="16" t="inlineStr">
        <is>
          <t>Moderate</t>
        </is>
      </c>
      <c r="N9" s="18" t="inlineStr">
        <is>
          <t>Not Executed</t>
        </is>
      </c>
      <c r="O9" s="17" t="inlineStr">
        <is>
          <t>evidence/fun-int-008_screenshot.png</t>
        </is>
      </c>
      <c r="P9" s="17" t="inlineStr">
        <is>
          <t>Automated baseline generation</t>
        </is>
      </c>
    </row>
    <row r="10" ht="36" customHeight="1">
      <c r="A10" s="16" t="inlineStr">
        <is>
          <t>FUN-INT-009</t>
        </is>
      </c>
      <c r="B10" s="16" t="inlineStr">
        <is>
          <t>Functional and Integration Testing</t>
        </is>
      </c>
      <c r="C10" s="17" t="inlineStr">
        <is>
          <t>Language Settings</t>
        </is>
      </c>
      <c r="D10" s="17" t="inlineStr">
        <is>
          <t>Integration testing of Language Settings integration point</t>
        </is>
      </c>
      <c r="E10" s="17" t="inlineStr">
        <is>
          <t>Functional Integration - Language Settings - Verify graceful handling of network disconnect and reconnect sync (#9)</t>
        </is>
      </c>
      <c r="F10" s="17" t="inlineStr">
        <is>
          <t>Verify cross-module functionality and Supabase integration integrity for Language Settings.</t>
        </is>
      </c>
      <c r="G10" s="17" t="inlineStr">
        <is>
          <t>Test environment active, backend API / Supabase instance reachable.</t>
        </is>
      </c>
      <c r="H10" s="17" t="inlineStr">
        <is>
          <t>1. Prepare test user session.
2. Execute Language Settings integration scenario.
3. Simulate offline state during data edit, restore network connection.
4. Validate end-to-end result.</t>
        </is>
      </c>
      <c r="I10" s="17" t="inlineStr">
        <is>
          <t>Module: Language Settings, API Endpoint: Supabase Rest / Realtime API</t>
        </is>
      </c>
      <c r="J10" s="17" t="inlineStr">
        <is>
          <t>App queues unsynced changes locally and syncs with server upon connection. for module Language Settings.</t>
        </is>
      </c>
      <c r="K10" s="17" t="inlineStr">
        <is>
          <t>Pending Execution</t>
        </is>
      </c>
      <c r="L10" s="16" t="inlineStr">
        <is>
          <t>Medium</t>
        </is>
      </c>
      <c r="M10" s="16" t="inlineStr">
        <is>
          <t>Moderate</t>
        </is>
      </c>
      <c r="N10" s="18" t="inlineStr">
        <is>
          <t>Not Executed</t>
        </is>
      </c>
      <c r="O10" s="17" t="inlineStr">
        <is>
          <t>evidence/fun-int-009_screenshot.png</t>
        </is>
      </c>
      <c r="P10" s="17" t="inlineStr">
        <is>
          <t>Automated baseline generation</t>
        </is>
      </c>
    </row>
    <row r="11" ht="36" customHeight="1">
      <c r="A11" s="16" t="inlineStr">
        <is>
          <t>FUN-INT-010</t>
        </is>
      </c>
      <c r="B11" s="16" t="inlineStr">
        <is>
          <t>Functional and Integration Testing</t>
        </is>
      </c>
      <c r="C11" s="17" t="inlineStr">
        <is>
          <t>AI Trainer</t>
        </is>
      </c>
      <c r="D11" s="17" t="inlineStr">
        <is>
          <t>Integration testing of AI Trainer integration point</t>
        </is>
      </c>
      <c r="E11" s="17" t="inlineStr">
        <is>
          <t>Functional Integration - AI Trainer - Verify role-based access control and RLS query policies (#10)</t>
        </is>
      </c>
      <c r="F11" s="17" t="inlineStr">
        <is>
          <t>Verify cross-module functionality and Supabase integration integrity for AI Trainer.</t>
        </is>
      </c>
      <c r="G11" s="17" t="inlineStr">
        <is>
          <t>Test environment active, backend API / Supabase instance reachable.</t>
        </is>
      </c>
      <c r="H11" s="17" t="inlineStr">
        <is>
          <t>1. Prepare test user session.
2. Execute AI Trainer integration scenario.
3. Attempt database access with unauthorized user token.
4. Validate end-to-end result.</t>
        </is>
      </c>
      <c r="I11" s="17" t="inlineStr">
        <is>
          <t>Module: AI Trainer, API Endpoint: Supabase Rest / Realtime API</t>
        </is>
      </c>
      <c r="J11" s="17" t="inlineStr">
        <is>
          <t>Supabase RLS rejects unauthorized query with HTTP 403 / permission error. for module AI Trainer.</t>
        </is>
      </c>
      <c r="K11" s="17" t="inlineStr">
        <is>
          <t>Pending Execution</t>
        </is>
      </c>
      <c r="L11" s="16" t="inlineStr">
        <is>
          <t>High</t>
        </is>
      </c>
      <c r="M11" s="16" t="inlineStr">
        <is>
          <t>Major</t>
        </is>
      </c>
      <c r="N11" s="18" t="inlineStr">
        <is>
          <t>Not Executed</t>
        </is>
      </c>
      <c r="O11" s="17" t="inlineStr">
        <is>
          <t>evidence/fun-int-010_screenshot.png</t>
        </is>
      </c>
      <c r="P11" s="17" t="inlineStr">
        <is>
          <t>Automated baseline generation</t>
        </is>
      </c>
    </row>
    <row r="12" ht="36" customHeight="1">
      <c r="A12" s="16" t="inlineStr">
        <is>
          <t>FUN-INT-011</t>
        </is>
      </c>
      <c r="B12" s="16" t="inlineStr">
        <is>
          <t>Functional and Integration Testing</t>
        </is>
      </c>
      <c r="C12" s="17" t="inlineStr">
        <is>
          <t>Workout Plan</t>
        </is>
      </c>
      <c r="D12" s="17" t="inlineStr">
        <is>
          <t>Integration testing of Workout Plan integration point</t>
        </is>
      </c>
      <c r="E12" s="17" t="inlineStr">
        <is>
          <t>Functional Integration - Workout Plan - Verify end-to-end data flow between client UI and Supabase DB (#11)</t>
        </is>
      </c>
      <c r="F12" s="17" t="inlineStr">
        <is>
          <t>Verify cross-module functionality and Supabase integration integrity for Workout Plan.</t>
        </is>
      </c>
      <c r="G12" s="17" t="inlineStr">
        <is>
          <t>Test environment active, backend API / Supabase instance reachable.</t>
        </is>
      </c>
      <c r="H12" s="17" t="inlineStr">
        <is>
          <t>1. Prepare test user session.
2. Execute Workout Plan integration scenario.
3. Perform data creation in client UI, inspect network payload, verify DB record.
4. Validate end-to-end result.</t>
        </is>
      </c>
      <c r="I12" s="17" t="inlineStr">
        <is>
          <t>Module: Workout Plan, API Endpoint: Supabase Rest / Realtime API</t>
        </is>
      </c>
      <c r="J12" s="17" t="inlineStr">
        <is>
          <t>Record inserted cleanly into Supabase database with matching user_id. for module Workout Plan.</t>
        </is>
      </c>
      <c r="K12" s="17" t="inlineStr">
        <is>
          <t>Pending Execution</t>
        </is>
      </c>
      <c r="L12" s="16" t="inlineStr">
        <is>
          <t>Medium</t>
        </is>
      </c>
      <c r="M12" s="16" t="inlineStr">
        <is>
          <t>Moderate</t>
        </is>
      </c>
      <c r="N12" s="18" t="inlineStr">
        <is>
          <t>Not Executed</t>
        </is>
      </c>
      <c r="O12" s="17" t="inlineStr">
        <is>
          <t>evidence/fun-int-011_screenshot.png</t>
        </is>
      </c>
      <c r="P12" s="17" t="inlineStr">
        <is>
          <t>Automated baseline generation</t>
        </is>
      </c>
    </row>
    <row r="13" ht="36" customHeight="1">
      <c r="A13" s="16" t="inlineStr">
        <is>
          <t>FUN-INT-012</t>
        </is>
      </c>
      <c r="B13" s="16" t="inlineStr">
        <is>
          <t>Functional and Integration Testing</t>
        </is>
      </c>
      <c r="C13" s="17" t="inlineStr">
        <is>
          <t>Diet Plan</t>
        </is>
      </c>
      <c r="D13" s="17" t="inlineStr">
        <is>
          <t>Integration testing of Diet Plan integration point</t>
        </is>
      </c>
      <c r="E13" s="17" t="inlineStr">
        <is>
          <t>Functional Integration - Diet Plan - Verify state synchronization across multi-screen workflow (#12)</t>
        </is>
      </c>
      <c r="F13" s="17" t="inlineStr">
        <is>
          <t>Verify cross-module functionality and Supabase integration integrity for Diet Plan.</t>
        </is>
      </c>
      <c r="G13" s="17" t="inlineStr">
        <is>
          <t>Test environment active, backend API / Supabase instance reachable.</t>
        </is>
      </c>
      <c r="H13" s="17" t="inlineStr">
        <is>
          <t>1. Prepare test user session.
2. Execute Diet Plan integration scenario.
3. Update preference in Settings, navigate to Dashboard, check updated state.
4. Validate end-to-end result.</t>
        </is>
      </c>
      <c r="I13" s="17" t="inlineStr">
        <is>
          <t>Module: Diet Plan, API Endpoint: Supabase Rest / Realtime API</t>
        </is>
      </c>
      <c r="J13" s="17" t="inlineStr">
        <is>
          <t>Dashboard reflects updated setting immediately without manual refresh. for module Diet Plan.</t>
        </is>
      </c>
      <c r="K13" s="17" t="inlineStr">
        <is>
          <t>Pending Execution</t>
        </is>
      </c>
      <c r="L13" s="16" t="inlineStr">
        <is>
          <t>High</t>
        </is>
      </c>
      <c r="M13" s="16" t="inlineStr">
        <is>
          <t>Moderate</t>
        </is>
      </c>
      <c r="N13" s="18" t="inlineStr">
        <is>
          <t>Not Executed</t>
        </is>
      </c>
      <c r="O13" s="17" t="inlineStr">
        <is>
          <t>evidence/fun-int-012_screenshot.png</t>
        </is>
      </c>
      <c r="P13" s="17" t="inlineStr">
        <is>
          <t>Automated baseline generation</t>
        </is>
      </c>
    </row>
    <row r="14" ht="36" customHeight="1">
      <c r="A14" s="16" t="inlineStr">
        <is>
          <t>FUN-INT-013</t>
        </is>
      </c>
      <c r="B14" s="16" t="inlineStr">
        <is>
          <t>Functional and Integration Testing</t>
        </is>
      </c>
      <c r="C14" s="17" t="inlineStr">
        <is>
          <t>Budget Diet Plan</t>
        </is>
      </c>
      <c r="D14" s="17" t="inlineStr">
        <is>
          <t>Integration testing of Budget Diet Plan integration point</t>
        </is>
      </c>
      <c r="E14" s="17" t="inlineStr">
        <is>
          <t>Functional Integration - Budget Diet Plan - Verify transactional workflow completion (Order / Workout log) (#13)</t>
        </is>
      </c>
      <c r="F14" s="17" t="inlineStr">
        <is>
          <t>Verify cross-module functionality and Supabase integration integrity for Budget Diet Plan.</t>
        </is>
      </c>
      <c r="G14" s="17" t="inlineStr">
        <is>
          <t>Test environment active, backend API / Supabase instance reachable.</t>
        </is>
      </c>
      <c r="H14" s="17" t="inlineStr">
        <is>
          <t>1. Prepare test user session.
2. Execute Budget Diet Plan integration scenario.
3. Complete multi-step form workflow, submit transaction, verify summary page.
4. Validate end-to-end result.</t>
        </is>
      </c>
      <c r="I14" s="17" t="inlineStr">
        <is>
          <t>Module: Budget Diet Plan, API Endpoint: Supabase Rest / Realtime API</t>
        </is>
      </c>
      <c r="J14" s="17" t="inlineStr">
        <is>
          <t>Transaction completes successfully, DB state updated, confirmation displayed. for module Budget Diet Plan.</t>
        </is>
      </c>
      <c r="K14" s="17" t="inlineStr">
        <is>
          <t>Pending Execution</t>
        </is>
      </c>
      <c r="L14" s="16" t="inlineStr">
        <is>
          <t>Medium</t>
        </is>
      </c>
      <c r="M14" s="16" t="inlineStr">
        <is>
          <t>Moderate</t>
        </is>
      </c>
      <c r="N14" s="18" t="inlineStr">
        <is>
          <t>Not Executed</t>
        </is>
      </c>
      <c r="O14" s="17" t="inlineStr">
        <is>
          <t>evidence/fun-int-013_screenshot.png</t>
        </is>
      </c>
      <c r="P14" s="17" t="inlineStr">
        <is>
          <t>Automated baseline generation</t>
        </is>
      </c>
    </row>
    <row r="15" ht="36" customHeight="1">
      <c r="A15" s="16" t="inlineStr">
        <is>
          <t>FUN-INT-014</t>
        </is>
      </c>
      <c r="B15" s="16" t="inlineStr">
        <is>
          <t>Functional and Integration Testing</t>
        </is>
      </c>
      <c r="C15" s="17" t="inlineStr">
        <is>
          <t>Stretching and Warm-up</t>
        </is>
      </c>
      <c r="D15" s="17" t="inlineStr">
        <is>
          <t>Integration testing of Stretching and Warm-up integration point</t>
        </is>
      </c>
      <c r="E15" s="17" t="inlineStr">
        <is>
          <t>Functional Integration - Stretching and Warm-up - Verify graceful handling of network disconnect and reconnect sync (#14)</t>
        </is>
      </c>
      <c r="F15" s="17" t="inlineStr">
        <is>
          <t>Verify cross-module functionality and Supabase integration integrity for Stretching and Warm-up.</t>
        </is>
      </c>
      <c r="G15" s="17" t="inlineStr">
        <is>
          <t>Test environment active, backend API / Supabase instance reachable.</t>
        </is>
      </c>
      <c r="H15" s="17" t="inlineStr">
        <is>
          <t>1. Prepare test user session.
2. Execute Stretching and Warm-up integration scenario.
3. Simulate offline state during data edit, restore network connection.
4. Validate end-to-end result.</t>
        </is>
      </c>
      <c r="I15" s="17" t="inlineStr">
        <is>
          <t>Module: Stretching and Warm-up, API Endpoint: Supabase Rest / Realtime API</t>
        </is>
      </c>
      <c r="J15" s="17" t="inlineStr">
        <is>
          <t>App queues unsynced changes locally and syncs with server upon connection. for module Stretching and Warm-up.</t>
        </is>
      </c>
      <c r="K15" s="17" t="inlineStr">
        <is>
          <t>Pending Execution</t>
        </is>
      </c>
      <c r="L15" s="16" t="inlineStr">
        <is>
          <t>High</t>
        </is>
      </c>
      <c r="M15" s="16" t="inlineStr">
        <is>
          <t>Moderate</t>
        </is>
      </c>
      <c r="N15" s="18" t="inlineStr">
        <is>
          <t>Not Executed</t>
        </is>
      </c>
      <c r="O15" s="17" t="inlineStr">
        <is>
          <t>evidence/fun-int-014_screenshot.png</t>
        </is>
      </c>
      <c r="P15" s="17" t="inlineStr">
        <is>
          <t>Automated baseline generation</t>
        </is>
      </c>
    </row>
    <row r="16" ht="36" customHeight="1">
      <c r="A16" s="16" t="inlineStr">
        <is>
          <t>FUN-INT-015</t>
        </is>
      </c>
      <c r="B16" s="16" t="inlineStr">
        <is>
          <t>Functional and Integration Testing</t>
        </is>
      </c>
      <c r="C16" s="17" t="inlineStr">
        <is>
          <t>Water Tracker</t>
        </is>
      </c>
      <c r="D16" s="17" t="inlineStr">
        <is>
          <t>Integration testing of Water Tracker integration point</t>
        </is>
      </c>
      <c r="E16" s="17" t="inlineStr">
        <is>
          <t>Functional Integration - Water Tracker - Verify role-based access control and RLS query policies (#15)</t>
        </is>
      </c>
      <c r="F16" s="17" t="inlineStr">
        <is>
          <t>Verify cross-module functionality and Supabase integration integrity for Water Tracker.</t>
        </is>
      </c>
      <c r="G16" s="17" t="inlineStr">
        <is>
          <t>Test environment active, backend API / Supabase instance reachable.</t>
        </is>
      </c>
      <c r="H16" s="17" t="inlineStr">
        <is>
          <t>1. Prepare test user session.
2. Execute Water Tracker integration scenario.
3. Attempt database access with unauthorized user token.
4. Validate end-to-end result.</t>
        </is>
      </c>
      <c r="I16" s="17" t="inlineStr">
        <is>
          <t>Module: Water Tracker, API Endpoint: Supabase Rest / Realtime API</t>
        </is>
      </c>
      <c r="J16" s="17" t="inlineStr">
        <is>
          <t>Supabase RLS rejects unauthorized query with HTTP 403 / permission error. for module Water Tracker.</t>
        </is>
      </c>
      <c r="K16" s="17" t="inlineStr">
        <is>
          <t>Pending Execution</t>
        </is>
      </c>
      <c r="L16" s="16" t="inlineStr">
        <is>
          <t>Medium</t>
        </is>
      </c>
      <c r="M16" s="16" t="inlineStr">
        <is>
          <t>Major</t>
        </is>
      </c>
      <c r="N16" s="18" t="inlineStr">
        <is>
          <t>Not Executed</t>
        </is>
      </c>
      <c r="O16" s="17" t="inlineStr">
        <is>
          <t>evidence/fun-int-015_screenshot.png</t>
        </is>
      </c>
      <c r="P16" s="17" t="inlineStr">
        <is>
          <t>Automated baseline generation</t>
        </is>
      </c>
    </row>
    <row r="17" ht="36" customHeight="1">
      <c r="A17" s="16" t="inlineStr">
        <is>
          <t>FUN-INT-016</t>
        </is>
      </c>
      <c r="B17" s="16" t="inlineStr">
        <is>
          <t>Functional and Integration Testing</t>
        </is>
      </c>
      <c r="C17" s="17" t="inlineStr">
        <is>
          <t>Sleep Tracker</t>
        </is>
      </c>
      <c r="D17" s="17" t="inlineStr">
        <is>
          <t>Integration testing of Sleep Tracker integration point</t>
        </is>
      </c>
      <c r="E17" s="17" t="inlineStr">
        <is>
          <t>Functional Integration - Sleep Tracker - Verify end-to-end data flow between client UI and Supabase DB (#16)</t>
        </is>
      </c>
      <c r="F17" s="17" t="inlineStr">
        <is>
          <t>Verify cross-module functionality and Supabase integration integrity for Sleep Tracker.</t>
        </is>
      </c>
      <c r="G17" s="17" t="inlineStr">
        <is>
          <t>Test environment active, backend API / Supabase instance reachable.</t>
        </is>
      </c>
      <c r="H17" s="17" t="inlineStr">
        <is>
          <t>1. Prepare test user session.
2. Execute Sleep Tracker integration scenario.
3. Perform data creation in client UI, inspect network payload, verify DB record.
4. Validate end-to-end result.</t>
        </is>
      </c>
      <c r="I17" s="17" t="inlineStr">
        <is>
          <t>Module: Sleep Tracker, API Endpoint: Supabase Rest / Realtime API</t>
        </is>
      </c>
      <c r="J17" s="17" t="inlineStr">
        <is>
          <t>Record inserted cleanly into Supabase database with matching user_id. for module Sleep Tracker.</t>
        </is>
      </c>
      <c r="K17" s="17" t="inlineStr">
        <is>
          <t>Pending Execution</t>
        </is>
      </c>
      <c r="L17" s="16" t="inlineStr">
        <is>
          <t>High</t>
        </is>
      </c>
      <c r="M17" s="16" t="inlineStr">
        <is>
          <t>Moderate</t>
        </is>
      </c>
      <c r="N17" s="18" t="inlineStr">
        <is>
          <t>Not Executed</t>
        </is>
      </c>
      <c r="O17" s="17" t="inlineStr">
        <is>
          <t>evidence/fun-int-016_screenshot.png</t>
        </is>
      </c>
      <c r="P17" s="17" t="inlineStr">
        <is>
          <t>Automated baseline generation</t>
        </is>
      </c>
    </row>
    <row r="18" ht="36" customHeight="1">
      <c r="A18" s="16" t="inlineStr">
        <is>
          <t>FUN-INT-017</t>
        </is>
      </c>
      <c r="B18" s="16" t="inlineStr">
        <is>
          <t>Functional and Integration Testing</t>
        </is>
      </c>
      <c r="C18" s="17" t="inlineStr">
        <is>
          <t>Step Tracker</t>
        </is>
      </c>
      <c r="D18" s="17" t="inlineStr">
        <is>
          <t>Integration testing of Step Tracker integration point</t>
        </is>
      </c>
      <c r="E18" s="17" t="inlineStr">
        <is>
          <t>Functional Integration - Step Tracker - Verify state synchronization across multi-screen workflow (#17)</t>
        </is>
      </c>
      <c r="F18" s="17" t="inlineStr">
        <is>
          <t>Verify cross-module functionality and Supabase integration integrity for Step Tracker.</t>
        </is>
      </c>
      <c r="G18" s="17" t="inlineStr">
        <is>
          <t>Test environment active, backend API / Supabase instance reachable.</t>
        </is>
      </c>
      <c r="H18" s="17" t="inlineStr">
        <is>
          <t>1. Prepare test user session.
2. Execute Step Tracker integration scenario.
3. Update preference in Settings, navigate to Dashboard, check updated state.
4. Validate end-to-end result.</t>
        </is>
      </c>
      <c r="I18" s="17" t="inlineStr">
        <is>
          <t>Module: Step Tracker, API Endpoint: Supabase Rest / Realtime API</t>
        </is>
      </c>
      <c r="J18" s="17" t="inlineStr">
        <is>
          <t>Dashboard reflects updated setting immediately without manual refresh. for module Step Tracker.</t>
        </is>
      </c>
      <c r="K18" s="17" t="inlineStr">
        <is>
          <t>Pending Execution</t>
        </is>
      </c>
      <c r="L18" s="16" t="inlineStr">
        <is>
          <t>Medium</t>
        </is>
      </c>
      <c r="M18" s="16" t="inlineStr">
        <is>
          <t>Moderate</t>
        </is>
      </c>
      <c r="N18" s="18" t="inlineStr">
        <is>
          <t>Not Executed</t>
        </is>
      </c>
      <c r="O18" s="17" t="inlineStr">
        <is>
          <t>evidence/fun-int-017_screenshot.png</t>
        </is>
      </c>
      <c r="P18" s="17" t="inlineStr">
        <is>
          <t>Automated baseline generation</t>
        </is>
      </c>
    </row>
    <row r="19" ht="36" customHeight="1">
      <c r="A19" s="16" t="inlineStr">
        <is>
          <t>FUN-INT-018</t>
        </is>
      </c>
      <c r="B19" s="16" t="inlineStr">
        <is>
          <t>Functional and Integration Testing</t>
        </is>
      </c>
      <c r="C19" s="17" t="inlineStr">
        <is>
          <t>Calorie Calculator</t>
        </is>
      </c>
      <c r="D19" s="17" t="inlineStr">
        <is>
          <t>Integration testing of Calorie Calculator integration point</t>
        </is>
      </c>
      <c r="E19" s="17" t="inlineStr">
        <is>
          <t>Functional Integration - Calorie Calculator - Verify transactional workflow completion (Order / Workout log) (#18)</t>
        </is>
      </c>
      <c r="F19" s="17" t="inlineStr">
        <is>
          <t>Verify cross-module functionality and Supabase integration integrity for Calorie Calculator.</t>
        </is>
      </c>
      <c r="G19" s="17" t="inlineStr">
        <is>
          <t>Test environment active, backend API / Supabase instance reachable.</t>
        </is>
      </c>
      <c r="H19" s="17" t="inlineStr">
        <is>
          <t>1. Prepare test user session.
2. Execute Calorie Calculator integration scenario.
3. Complete multi-step form workflow, submit transaction, verify summary page.
4. Validate end-to-end result.</t>
        </is>
      </c>
      <c r="I19" s="17" t="inlineStr">
        <is>
          <t>Module: Calorie Calculator, API Endpoint: Supabase Rest / Realtime API</t>
        </is>
      </c>
      <c r="J19" s="17" t="inlineStr">
        <is>
          <t>Transaction completes successfully, DB state updated, confirmation displayed. for module Calorie Calculator.</t>
        </is>
      </c>
      <c r="K19" s="17" t="inlineStr">
        <is>
          <t>Pending Execution</t>
        </is>
      </c>
      <c r="L19" s="16" t="inlineStr">
        <is>
          <t>High</t>
        </is>
      </c>
      <c r="M19" s="16" t="inlineStr">
        <is>
          <t>Moderate</t>
        </is>
      </c>
      <c r="N19" s="18" t="inlineStr">
        <is>
          <t>Not Executed</t>
        </is>
      </c>
      <c r="O19" s="17" t="inlineStr">
        <is>
          <t>evidence/fun-int-018_screenshot.png</t>
        </is>
      </c>
      <c r="P19" s="17" t="inlineStr">
        <is>
          <t>Automated baseline generation</t>
        </is>
      </c>
    </row>
    <row r="20" ht="36" customHeight="1">
      <c r="A20" s="16" t="inlineStr">
        <is>
          <t>FUN-INT-019</t>
        </is>
      </c>
      <c r="B20" s="16" t="inlineStr">
        <is>
          <t>Functional and Integration Testing</t>
        </is>
      </c>
      <c r="C20" s="17" t="inlineStr">
        <is>
          <t>Meal Reminder</t>
        </is>
      </c>
      <c r="D20" s="17" t="inlineStr">
        <is>
          <t>Integration testing of Meal Reminder integration point</t>
        </is>
      </c>
      <c r="E20" s="17" t="inlineStr">
        <is>
          <t>Functional Integration - Meal Reminder - Verify graceful handling of network disconnect and reconnect sync (#19)</t>
        </is>
      </c>
      <c r="F20" s="17" t="inlineStr">
        <is>
          <t>Verify cross-module functionality and Supabase integration integrity for Meal Reminder.</t>
        </is>
      </c>
      <c r="G20" s="17" t="inlineStr">
        <is>
          <t>Test environment active, backend API / Supabase instance reachable.</t>
        </is>
      </c>
      <c r="H20" s="17" t="inlineStr">
        <is>
          <t>1. Prepare test user session.
2. Execute Meal Reminder integration scenario.
3. Simulate offline state during data edit, restore network connection.
4. Validate end-to-end result.</t>
        </is>
      </c>
      <c r="I20" s="17" t="inlineStr">
        <is>
          <t>Module: Meal Reminder, API Endpoint: Supabase Rest / Realtime API</t>
        </is>
      </c>
      <c r="J20" s="17" t="inlineStr">
        <is>
          <t>App queues unsynced changes locally and syncs with server upon connection. for module Meal Reminder.</t>
        </is>
      </c>
      <c r="K20" s="17" t="inlineStr">
        <is>
          <t>Pending Execution</t>
        </is>
      </c>
      <c r="L20" s="16" t="inlineStr">
        <is>
          <t>Medium</t>
        </is>
      </c>
      <c r="M20" s="16" t="inlineStr">
        <is>
          <t>Moderate</t>
        </is>
      </c>
      <c r="N20" s="18" t="inlineStr">
        <is>
          <t>Not Executed</t>
        </is>
      </c>
      <c r="O20" s="17" t="inlineStr">
        <is>
          <t>evidence/fun-int-019_screenshot.png</t>
        </is>
      </c>
      <c r="P20" s="17" t="inlineStr">
        <is>
          <t>Automated baseline generation</t>
        </is>
      </c>
    </row>
    <row r="21" ht="36" customHeight="1">
      <c r="A21" s="16" t="inlineStr">
        <is>
          <t>FUN-INT-020</t>
        </is>
      </c>
      <c r="B21" s="16" t="inlineStr">
        <is>
          <t>Functional and Integration Testing</t>
        </is>
      </c>
      <c r="C21" s="17" t="inlineStr">
        <is>
          <t>Notifications</t>
        </is>
      </c>
      <c r="D21" s="17" t="inlineStr">
        <is>
          <t>Integration testing of Notifications integration point</t>
        </is>
      </c>
      <c r="E21" s="17" t="inlineStr">
        <is>
          <t>Functional Integration - Notifications - Verify role-based access control and RLS query policies (#20)</t>
        </is>
      </c>
      <c r="F21" s="17" t="inlineStr">
        <is>
          <t>Verify cross-module functionality and Supabase integration integrity for Notifications.</t>
        </is>
      </c>
      <c r="G21" s="17" t="inlineStr">
        <is>
          <t>Test environment active, backend API / Supabase instance reachable.</t>
        </is>
      </c>
      <c r="H21" s="17" t="inlineStr">
        <is>
          <t>1. Prepare test user session.
2. Execute Notifications integration scenario.
3. Attempt database access with unauthorized user token.
4. Validate end-to-end result.</t>
        </is>
      </c>
      <c r="I21" s="17" t="inlineStr">
        <is>
          <t>Module: Notifications, API Endpoint: Supabase Rest / Realtime API</t>
        </is>
      </c>
      <c r="J21" s="17" t="inlineStr">
        <is>
          <t>Supabase RLS rejects unauthorized query with HTTP 403 / permission error. for module Notifications.</t>
        </is>
      </c>
      <c r="K21" s="17" t="inlineStr">
        <is>
          <t>Pending Execution</t>
        </is>
      </c>
      <c r="L21" s="16" t="inlineStr">
        <is>
          <t>High</t>
        </is>
      </c>
      <c r="M21" s="16" t="inlineStr">
        <is>
          <t>Major</t>
        </is>
      </c>
      <c r="N21" s="18" t="inlineStr">
        <is>
          <t>Not Executed</t>
        </is>
      </c>
      <c r="O21" s="17" t="inlineStr">
        <is>
          <t>evidence/fun-int-020_screenshot.png</t>
        </is>
      </c>
      <c r="P21" s="17" t="inlineStr">
        <is>
          <t>Automated baseline generation</t>
        </is>
      </c>
    </row>
    <row r="22" ht="36" customHeight="1">
      <c r="A22" s="16" t="inlineStr">
        <is>
          <t>FUN-INT-021</t>
        </is>
      </c>
      <c r="B22" s="16" t="inlineStr">
        <is>
          <t>Functional and Integration Testing</t>
        </is>
      </c>
      <c r="C22" s="17" t="inlineStr">
        <is>
          <t>Shop</t>
        </is>
      </c>
      <c r="D22" s="17" t="inlineStr">
        <is>
          <t>Integration testing of Shop integration point</t>
        </is>
      </c>
      <c r="E22" s="17" t="inlineStr">
        <is>
          <t>Functional Integration - Shop - Verify end-to-end data flow between client UI and Supabase DB (#21)</t>
        </is>
      </c>
      <c r="F22" s="17" t="inlineStr">
        <is>
          <t>Verify cross-module functionality and Supabase integration integrity for Shop.</t>
        </is>
      </c>
      <c r="G22" s="17" t="inlineStr">
        <is>
          <t>Test environment active, backend API / Supabase instance reachable.</t>
        </is>
      </c>
      <c r="H22" s="17" t="inlineStr">
        <is>
          <t>1. Prepare test user session.
2. Execute Shop integration scenario.
3. Perform data creation in client UI, inspect network payload, verify DB record.
4. Validate end-to-end result.</t>
        </is>
      </c>
      <c r="I22" s="17" t="inlineStr">
        <is>
          <t>Module: Shop, API Endpoint: Supabase Rest / Realtime API</t>
        </is>
      </c>
      <c r="J22" s="17" t="inlineStr">
        <is>
          <t>Record inserted cleanly into Supabase database with matching user_id. for module Shop.</t>
        </is>
      </c>
      <c r="K22" s="17" t="inlineStr">
        <is>
          <t>Pending Execution</t>
        </is>
      </c>
      <c r="L22" s="16" t="inlineStr">
        <is>
          <t>Medium</t>
        </is>
      </c>
      <c r="M22" s="16" t="inlineStr">
        <is>
          <t>Moderate</t>
        </is>
      </c>
      <c r="N22" s="18" t="inlineStr">
        <is>
          <t>Not Executed</t>
        </is>
      </c>
      <c r="O22" s="17" t="inlineStr">
        <is>
          <t>evidence/fun-int-021_screenshot.png</t>
        </is>
      </c>
      <c r="P22" s="17" t="inlineStr">
        <is>
          <t>Automated baseline generation</t>
        </is>
      </c>
    </row>
    <row r="23" ht="36" customHeight="1">
      <c r="A23" s="16" t="inlineStr">
        <is>
          <t>FUN-INT-022</t>
        </is>
      </c>
      <c r="B23" s="16" t="inlineStr">
        <is>
          <t>Functional and Integration Testing</t>
        </is>
      </c>
      <c r="C23" s="17" t="inlineStr">
        <is>
          <t>Product Search and Filters</t>
        </is>
      </c>
      <c r="D23" s="17" t="inlineStr">
        <is>
          <t>Integration testing of Product Search and Filters integration point</t>
        </is>
      </c>
      <c r="E23" s="17" t="inlineStr">
        <is>
          <t>Functional Integration - Product Search and Filters - Verify state synchronization across multi-screen workflow (#22)</t>
        </is>
      </c>
      <c r="F23" s="17" t="inlineStr">
        <is>
          <t>Verify cross-module functionality and Supabase integration integrity for Product Search and Filters.</t>
        </is>
      </c>
      <c r="G23" s="17" t="inlineStr">
        <is>
          <t>Test environment active, backend API / Supabase instance reachable.</t>
        </is>
      </c>
      <c r="H23" s="17" t="inlineStr">
        <is>
          <t>1. Prepare test user session.
2. Execute Product Search and Filters integration scenario.
3. Update preference in Settings, navigate to Dashboard, check updated state.
4. Validate end-to-end result.</t>
        </is>
      </c>
      <c r="I23" s="17" t="inlineStr">
        <is>
          <t>Module: Product Search and Filters, API Endpoint: Supabase Rest / Realtime API</t>
        </is>
      </c>
      <c r="J23" s="17" t="inlineStr">
        <is>
          <t>Dashboard reflects updated setting immediately without manual refresh. for module Product Search and Filters.</t>
        </is>
      </c>
      <c r="K23" s="17" t="inlineStr">
        <is>
          <t>Pending Execution</t>
        </is>
      </c>
      <c r="L23" s="16" t="inlineStr">
        <is>
          <t>High</t>
        </is>
      </c>
      <c r="M23" s="16" t="inlineStr">
        <is>
          <t>Moderate</t>
        </is>
      </c>
      <c r="N23" s="18" t="inlineStr">
        <is>
          <t>Not Executed</t>
        </is>
      </c>
      <c r="O23" s="17" t="inlineStr">
        <is>
          <t>evidence/fun-int-022_screenshot.png</t>
        </is>
      </c>
      <c r="P23" s="17" t="inlineStr">
        <is>
          <t>Automated baseline generation</t>
        </is>
      </c>
    </row>
    <row r="24" ht="36" customHeight="1">
      <c r="A24" s="16" t="inlineStr">
        <is>
          <t>FUN-INT-023</t>
        </is>
      </c>
      <c r="B24" s="16" t="inlineStr">
        <is>
          <t>Functional and Integration Testing</t>
        </is>
      </c>
      <c r="C24" s="17" t="inlineStr">
        <is>
          <t>Product Details</t>
        </is>
      </c>
      <c r="D24" s="17" t="inlineStr">
        <is>
          <t>Integration testing of Product Details integration point</t>
        </is>
      </c>
      <c r="E24" s="17" t="inlineStr">
        <is>
          <t>Functional Integration - Product Details - Verify transactional workflow completion (Order / Workout log) (#23)</t>
        </is>
      </c>
      <c r="F24" s="17" t="inlineStr">
        <is>
          <t>Verify cross-module functionality and Supabase integration integrity for Product Details.</t>
        </is>
      </c>
      <c r="G24" s="17" t="inlineStr">
        <is>
          <t>Test environment active, backend API / Supabase instance reachable.</t>
        </is>
      </c>
      <c r="H24" s="17" t="inlineStr">
        <is>
          <t>1. Prepare test user session.
2. Execute Product Details integration scenario.
3. Complete multi-step form workflow, submit transaction, verify summary page.
4. Validate end-to-end result.</t>
        </is>
      </c>
      <c r="I24" s="17" t="inlineStr">
        <is>
          <t>Module: Product Details, API Endpoint: Supabase Rest / Realtime API</t>
        </is>
      </c>
      <c r="J24" s="17" t="inlineStr">
        <is>
          <t>Transaction completes successfully, DB state updated, confirmation displayed. for module Product Details.</t>
        </is>
      </c>
      <c r="K24" s="17" t="inlineStr">
        <is>
          <t>Pending Execution</t>
        </is>
      </c>
      <c r="L24" s="16" t="inlineStr">
        <is>
          <t>Medium</t>
        </is>
      </c>
      <c r="M24" s="16" t="inlineStr">
        <is>
          <t>Moderate</t>
        </is>
      </c>
      <c r="N24" s="18" t="inlineStr">
        <is>
          <t>Not Executed</t>
        </is>
      </c>
      <c r="O24" s="17" t="inlineStr">
        <is>
          <t>evidence/fun-int-023_screenshot.png</t>
        </is>
      </c>
      <c r="P24" s="17" t="inlineStr">
        <is>
          <t>Automated baseline generation</t>
        </is>
      </c>
    </row>
    <row r="25" ht="36" customHeight="1">
      <c r="A25" s="16" t="inlineStr">
        <is>
          <t>FUN-INT-024</t>
        </is>
      </c>
      <c r="B25" s="16" t="inlineStr">
        <is>
          <t>Functional and Integration Testing</t>
        </is>
      </c>
      <c r="C25" s="17" t="inlineStr">
        <is>
          <t>Wishlist</t>
        </is>
      </c>
      <c r="D25" s="17" t="inlineStr">
        <is>
          <t>Integration testing of Wishlist integration point</t>
        </is>
      </c>
      <c r="E25" s="17" t="inlineStr">
        <is>
          <t>Functional Integration - Wishlist - Verify graceful handling of network disconnect and reconnect sync (#24)</t>
        </is>
      </c>
      <c r="F25" s="17" t="inlineStr">
        <is>
          <t>Verify cross-module functionality and Supabase integration integrity for Wishlist.</t>
        </is>
      </c>
      <c r="G25" s="17" t="inlineStr">
        <is>
          <t>Test environment active, backend API / Supabase instance reachable.</t>
        </is>
      </c>
      <c r="H25" s="17" t="inlineStr">
        <is>
          <t>1. Prepare test user session.
2. Execute Wishlist integration scenario.
3. Simulate offline state during data edit, restore network connection.
4. Validate end-to-end result.</t>
        </is>
      </c>
      <c r="I25" s="17" t="inlineStr">
        <is>
          <t>Module: Wishlist, API Endpoint: Supabase Rest / Realtime API</t>
        </is>
      </c>
      <c r="J25" s="17" t="inlineStr">
        <is>
          <t>App queues unsynced changes locally and syncs with server upon connection. for module Wishlist.</t>
        </is>
      </c>
      <c r="K25" s="17" t="inlineStr">
        <is>
          <t>Pending Execution</t>
        </is>
      </c>
      <c r="L25" s="16" t="inlineStr">
        <is>
          <t>High</t>
        </is>
      </c>
      <c r="M25" s="16" t="inlineStr">
        <is>
          <t>Moderate</t>
        </is>
      </c>
      <c r="N25" s="18" t="inlineStr">
        <is>
          <t>Not Executed</t>
        </is>
      </c>
      <c r="O25" s="17" t="inlineStr">
        <is>
          <t>evidence/fun-int-024_screenshot.png</t>
        </is>
      </c>
      <c r="P25" s="17" t="inlineStr">
        <is>
          <t>Automated baseline generation</t>
        </is>
      </c>
    </row>
    <row r="26" ht="36" customHeight="1">
      <c r="A26" s="16" t="inlineStr">
        <is>
          <t>FUN-INT-025</t>
        </is>
      </c>
      <c r="B26" s="16" t="inlineStr">
        <is>
          <t>Functional and Integration Testing</t>
        </is>
      </c>
      <c r="C26" s="17" t="inlineStr">
        <is>
          <t>Cart</t>
        </is>
      </c>
      <c r="D26" s="17" t="inlineStr">
        <is>
          <t>Integration testing of Cart integration point</t>
        </is>
      </c>
      <c r="E26" s="17" t="inlineStr">
        <is>
          <t>Functional Integration - Cart - Verify role-based access control and RLS query policies (#25)</t>
        </is>
      </c>
      <c r="F26" s="17" t="inlineStr">
        <is>
          <t>Verify cross-module functionality and Supabase integration integrity for Cart.</t>
        </is>
      </c>
      <c r="G26" s="17" t="inlineStr">
        <is>
          <t>Test environment active, backend API / Supabase instance reachable.</t>
        </is>
      </c>
      <c r="H26" s="17" t="inlineStr">
        <is>
          <t>1. Prepare test user session.
2. Execute Cart integration scenario.
3. Attempt database access with unauthorized user token.
4. Validate end-to-end result.</t>
        </is>
      </c>
      <c r="I26" s="17" t="inlineStr">
        <is>
          <t>Module: Cart, API Endpoint: Supabase Rest / Realtime API</t>
        </is>
      </c>
      <c r="J26" s="17" t="inlineStr">
        <is>
          <t>Supabase RLS rejects unauthorized query with HTTP 403 / permission error. for module Cart.</t>
        </is>
      </c>
      <c r="K26" s="17" t="inlineStr">
        <is>
          <t>Pending Execution</t>
        </is>
      </c>
      <c r="L26" s="16" t="inlineStr">
        <is>
          <t>Medium</t>
        </is>
      </c>
      <c r="M26" s="16" t="inlineStr">
        <is>
          <t>Major</t>
        </is>
      </c>
      <c r="N26" s="18" t="inlineStr">
        <is>
          <t>Not Executed</t>
        </is>
      </c>
      <c r="O26" s="17" t="inlineStr">
        <is>
          <t>evidence/fun-int-025_screenshot.png</t>
        </is>
      </c>
      <c r="P26" s="17" t="inlineStr">
        <is>
          <t>Automated baseline generation</t>
        </is>
      </c>
    </row>
    <row r="27" ht="36" customHeight="1">
      <c r="A27" s="16" t="inlineStr">
        <is>
          <t>FUN-INT-026</t>
        </is>
      </c>
      <c r="B27" s="16" t="inlineStr">
        <is>
          <t>Functional and Integration Testing</t>
        </is>
      </c>
      <c r="C27" s="17" t="inlineStr">
        <is>
          <t>Checkout</t>
        </is>
      </c>
      <c r="D27" s="17" t="inlineStr">
        <is>
          <t>Integration testing of Checkout integration point</t>
        </is>
      </c>
      <c r="E27" s="17" t="inlineStr">
        <is>
          <t>Functional Integration - Checkout - Verify end-to-end data flow between client UI and Supabase DB (#26)</t>
        </is>
      </c>
      <c r="F27" s="17" t="inlineStr">
        <is>
          <t>Verify cross-module functionality and Supabase integration integrity for Checkout.</t>
        </is>
      </c>
      <c r="G27" s="17" t="inlineStr">
        <is>
          <t>Test environment active, backend API / Supabase instance reachable.</t>
        </is>
      </c>
      <c r="H27" s="17" t="inlineStr">
        <is>
          <t>1. Prepare test user session.
2. Execute Checkout integration scenario.
3. Perform data creation in client UI, inspect network payload, verify DB record.
4. Validate end-to-end result.</t>
        </is>
      </c>
      <c r="I27" s="17" t="inlineStr">
        <is>
          <t>Module: Checkout, API Endpoint: Supabase Rest / Realtime API</t>
        </is>
      </c>
      <c r="J27" s="17" t="inlineStr">
        <is>
          <t>Record inserted cleanly into Supabase database with matching user_id. for module Checkout.</t>
        </is>
      </c>
      <c r="K27" s="17" t="inlineStr">
        <is>
          <t>Pending Execution</t>
        </is>
      </c>
      <c r="L27" s="16" t="inlineStr">
        <is>
          <t>High</t>
        </is>
      </c>
      <c r="M27" s="16" t="inlineStr">
        <is>
          <t>Moderate</t>
        </is>
      </c>
      <c r="N27" s="18" t="inlineStr">
        <is>
          <t>Not Executed</t>
        </is>
      </c>
      <c r="O27" s="17" t="inlineStr">
        <is>
          <t>evidence/fun-int-026_screenshot.png</t>
        </is>
      </c>
      <c r="P27" s="17" t="inlineStr">
        <is>
          <t>Automated baseline generation</t>
        </is>
      </c>
    </row>
    <row r="28" ht="36" customHeight="1">
      <c r="A28" s="16" t="inlineStr">
        <is>
          <t>FUN-INT-027</t>
        </is>
      </c>
      <c r="B28" s="16" t="inlineStr">
        <is>
          <t>Functional and Integration Testing</t>
        </is>
      </c>
      <c r="C28" s="17" t="inlineStr">
        <is>
          <t>Address Management</t>
        </is>
      </c>
      <c r="D28" s="17" t="inlineStr">
        <is>
          <t>Integration testing of Address Management integration point</t>
        </is>
      </c>
      <c r="E28" s="17" t="inlineStr">
        <is>
          <t>Functional Integration - Address Management - Verify state synchronization across multi-screen workflow (#27)</t>
        </is>
      </c>
      <c r="F28" s="17" t="inlineStr">
        <is>
          <t>Verify cross-module functionality and Supabase integration integrity for Address Management.</t>
        </is>
      </c>
      <c r="G28" s="17" t="inlineStr">
        <is>
          <t>Test environment active, backend API / Supabase instance reachable.</t>
        </is>
      </c>
      <c r="H28" s="17" t="inlineStr">
        <is>
          <t>1. Prepare test user session.
2. Execute Address Management integration scenario.
3. Update preference in Settings, navigate to Dashboard, check updated state.
4. Validate end-to-end result.</t>
        </is>
      </c>
      <c r="I28" s="17" t="inlineStr">
        <is>
          <t>Module: Address Management, API Endpoint: Supabase Rest / Realtime API</t>
        </is>
      </c>
      <c r="J28" s="17" t="inlineStr">
        <is>
          <t>Dashboard reflects updated setting immediately without manual refresh. for module Address Management.</t>
        </is>
      </c>
      <c r="K28" s="17" t="inlineStr">
        <is>
          <t>Pending Execution</t>
        </is>
      </c>
      <c r="L28" s="16" t="inlineStr">
        <is>
          <t>Medium</t>
        </is>
      </c>
      <c r="M28" s="16" t="inlineStr">
        <is>
          <t>Moderate</t>
        </is>
      </c>
      <c r="N28" s="18" t="inlineStr">
        <is>
          <t>Not Executed</t>
        </is>
      </c>
      <c r="O28" s="17" t="inlineStr">
        <is>
          <t>evidence/fun-int-027_screenshot.png</t>
        </is>
      </c>
      <c r="P28" s="17" t="inlineStr">
        <is>
          <t>Automated baseline generation</t>
        </is>
      </c>
    </row>
    <row r="29" ht="36" customHeight="1">
      <c r="A29" s="16" t="inlineStr">
        <is>
          <t>FUN-INT-028</t>
        </is>
      </c>
      <c r="B29" s="16" t="inlineStr">
        <is>
          <t>Functional and Integration Testing</t>
        </is>
      </c>
      <c r="C29" s="17" t="inlineStr">
        <is>
          <t>Payment Method</t>
        </is>
      </c>
      <c r="D29" s="17" t="inlineStr">
        <is>
          <t>Integration testing of Payment Method integration point</t>
        </is>
      </c>
      <c r="E29" s="17" t="inlineStr">
        <is>
          <t>Functional Integration - Payment Method - Verify transactional workflow completion (Order / Workout log) (#28)</t>
        </is>
      </c>
      <c r="F29" s="17" t="inlineStr">
        <is>
          <t>Verify cross-module functionality and Supabase integration integrity for Payment Method.</t>
        </is>
      </c>
      <c r="G29" s="17" t="inlineStr">
        <is>
          <t>Test environment active, backend API / Supabase instance reachable.</t>
        </is>
      </c>
      <c r="H29" s="17" t="inlineStr">
        <is>
          <t>1. Prepare test user session.
2. Execute Payment Method integration scenario.
3. Complete multi-step form workflow, submit transaction, verify summary page.
4. Validate end-to-end result.</t>
        </is>
      </c>
      <c r="I29" s="17" t="inlineStr">
        <is>
          <t>Module: Payment Method, API Endpoint: Supabase Rest / Realtime API</t>
        </is>
      </c>
      <c r="J29" s="17" t="inlineStr">
        <is>
          <t>Transaction completes successfully, DB state updated, confirmation displayed. for module Payment Method.</t>
        </is>
      </c>
      <c r="K29" s="17" t="inlineStr">
        <is>
          <t>Pending Execution</t>
        </is>
      </c>
      <c r="L29" s="16" t="inlineStr">
        <is>
          <t>High</t>
        </is>
      </c>
      <c r="M29" s="16" t="inlineStr">
        <is>
          <t>Moderate</t>
        </is>
      </c>
      <c r="N29" s="18" t="inlineStr">
        <is>
          <t>Not Executed</t>
        </is>
      </c>
      <c r="O29" s="17" t="inlineStr">
        <is>
          <t>evidence/fun-int-028_screenshot.png</t>
        </is>
      </c>
      <c r="P29" s="17" t="inlineStr">
        <is>
          <t>Automated baseline generation</t>
        </is>
      </c>
    </row>
    <row r="30" ht="36" customHeight="1">
      <c r="A30" s="16" t="inlineStr">
        <is>
          <t>FUN-INT-029</t>
        </is>
      </c>
      <c r="B30" s="16" t="inlineStr">
        <is>
          <t>Functional and Integration Testing</t>
        </is>
      </c>
      <c r="C30" s="17" t="inlineStr">
        <is>
          <t>Place Order</t>
        </is>
      </c>
      <c r="D30" s="17" t="inlineStr">
        <is>
          <t>Integration testing of Place Order integration point</t>
        </is>
      </c>
      <c r="E30" s="17" t="inlineStr">
        <is>
          <t>Functional Integration - Place Order - Verify graceful handling of network disconnect and reconnect sync (#29)</t>
        </is>
      </c>
      <c r="F30" s="17" t="inlineStr">
        <is>
          <t>Verify cross-module functionality and Supabase integration integrity for Place Order.</t>
        </is>
      </c>
      <c r="G30" s="17" t="inlineStr">
        <is>
          <t>Test environment active, backend API / Supabase instance reachable.</t>
        </is>
      </c>
      <c r="H30" s="17" t="inlineStr">
        <is>
          <t>1. Prepare test user session.
2. Execute Place Order integration scenario.
3. Simulate offline state during data edit, restore network connection.
4. Validate end-to-end result.</t>
        </is>
      </c>
      <c r="I30" s="17" t="inlineStr">
        <is>
          <t>Module: Place Order, API Endpoint: Supabase Rest / Realtime API</t>
        </is>
      </c>
      <c r="J30" s="17" t="inlineStr">
        <is>
          <t>App queues unsynced changes locally and syncs with server upon connection. for module Place Order.</t>
        </is>
      </c>
      <c r="K30" s="17" t="inlineStr">
        <is>
          <t>Pending Execution</t>
        </is>
      </c>
      <c r="L30" s="16" t="inlineStr">
        <is>
          <t>Medium</t>
        </is>
      </c>
      <c r="M30" s="16" t="inlineStr">
        <is>
          <t>Moderate</t>
        </is>
      </c>
      <c r="N30" s="18" t="inlineStr">
        <is>
          <t>Not Executed</t>
        </is>
      </c>
      <c r="O30" s="17" t="inlineStr">
        <is>
          <t>evidence/fun-int-029_screenshot.png</t>
        </is>
      </c>
      <c r="P30" s="17" t="inlineStr">
        <is>
          <t>Automated baseline generation</t>
        </is>
      </c>
    </row>
    <row r="31" ht="36" customHeight="1">
      <c r="A31" s="16" t="inlineStr">
        <is>
          <t>FUN-INT-030</t>
        </is>
      </c>
      <c r="B31" s="16" t="inlineStr">
        <is>
          <t>Functional and Integration Testing</t>
        </is>
      </c>
      <c r="C31" s="17" t="inlineStr">
        <is>
          <t>My Orders</t>
        </is>
      </c>
      <c r="D31" s="17" t="inlineStr">
        <is>
          <t>Integration testing of My Orders integration point</t>
        </is>
      </c>
      <c r="E31" s="17" t="inlineStr">
        <is>
          <t>Functional Integration - My Orders - Verify role-based access control and RLS query policies (#30)</t>
        </is>
      </c>
      <c r="F31" s="17" t="inlineStr">
        <is>
          <t>Verify cross-module functionality and Supabase integration integrity for My Orders.</t>
        </is>
      </c>
      <c r="G31" s="17" t="inlineStr">
        <is>
          <t>Test environment active, backend API / Supabase instance reachable.</t>
        </is>
      </c>
      <c r="H31" s="17" t="inlineStr">
        <is>
          <t>1. Prepare test user session.
2. Execute My Orders integration scenario.
3. Attempt database access with unauthorized user token.
4. Validate end-to-end result.</t>
        </is>
      </c>
      <c r="I31" s="17" t="inlineStr">
        <is>
          <t>Module: My Orders, API Endpoint: Supabase Rest / Realtime API</t>
        </is>
      </c>
      <c r="J31" s="17" t="inlineStr">
        <is>
          <t>Supabase RLS rejects unauthorized query with HTTP 403 / permission error. for module My Orders.</t>
        </is>
      </c>
      <c r="K31" s="17" t="inlineStr">
        <is>
          <t>Pending Execution</t>
        </is>
      </c>
      <c r="L31" s="16" t="inlineStr">
        <is>
          <t>High</t>
        </is>
      </c>
      <c r="M31" s="16" t="inlineStr">
        <is>
          <t>Major</t>
        </is>
      </c>
      <c r="N31" s="18" t="inlineStr">
        <is>
          <t>Not Executed</t>
        </is>
      </c>
      <c r="O31" s="17" t="inlineStr">
        <is>
          <t>evidence/fun-int-030_screenshot.png</t>
        </is>
      </c>
      <c r="P31" s="17" t="inlineStr">
        <is>
          <t>Automated baseline generation</t>
        </is>
      </c>
    </row>
    <row r="32" ht="36" customHeight="1">
      <c r="A32" s="16" t="inlineStr">
        <is>
          <t>FUN-INT-031</t>
        </is>
      </c>
      <c r="B32" s="16" t="inlineStr">
        <is>
          <t>Functional and Integration Testing</t>
        </is>
      </c>
      <c r="C32" s="17" t="inlineStr">
        <is>
          <t>Order Details</t>
        </is>
      </c>
      <c r="D32" s="17" t="inlineStr">
        <is>
          <t>Integration testing of Order Details integration point</t>
        </is>
      </c>
      <c r="E32" s="17" t="inlineStr">
        <is>
          <t>Functional Integration - Order Details - Verify end-to-end data flow between client UI and Supabase DB (#31)</t>
        </is>
      </c>
      <c r="F32" s="17" t="inlineStr">
        <is>
          <t>Verify cross-module functionality and Supabase integration integrity for Order Details.</t>
        </is>
      </c>
      <c r="G32" s="17" t="inlineStr">
        <is>
          <t>Test environment active, backend API / Supabase instance reachable.</t>
        </is>
      </c>
      <c r="H32" s="17" t="inlineStr">
        <is>
          <t>1. Prepare test user session.
2. Execute Order Details integration scenario.
3. Perform data creation in client UI, inspect network payload, verify DB record.
4. Validate end-to-end result.</t>
        </is>
      </c>
      <c r="I32" s="17" t="inlineStr">
        <is>
          <t>Module: Order Details, API Endpoint: Supabase Rest / Realtime API</t>
        </is>
      </c>
      <c r="J32" s="17" t="inlineStr">
        <is>
          <t>Record inserted cleanly into Supabase database with matching user_id. for module Order Details.</t>
        </is>
      </c>
      <c r="K32" s="17" t="inlineStr">
        <is>
          <t>Pending Execution</t>
        </is>
      </c>
      <c r="L32" s="16" t="inlineStr">
        <is>
          <t>Medium</t>
        </is>
      </c>
      <c r="M32" s="16" t="inlineStr">
        <is>
          <t>Moderate</t>
        </is>
      </c>
      <c r="N32" s="18" t="inlineStr">
        <is>
          <t>Not Executed</t>
        </is>
      </c>
      <c r="O32" s="17" t="inlineStr">
        <is>
          <t>evidence/fun-int-031_screenshot.png</t>
        </is>
      </c>
      <c r="P32" s="17" t="inlineStr">
        <is>
          <t>Automated baseline generation</t>
        </is>
      </c>
    </row>
    <row r="33" ht="36" customHeight="1">
      <c r="A33" s="16" t="inlineStr">
        <is>
          <t>FUN-INT-032</t>
        </is>
      </c>
      <c r="B33" s="16" t="inlineStr">
        <is>
          <t>Functional and Integration Testing</t>
        </is>
      </c>
      <c r="C33" s="17" t="inlineStr">
        <is>
          <t>Order Cancellation</t>
        </is>
      </c>
      <c r="D33" s="17" t="inlineStr">
        <is>
          <t>Integration testing of Order Cancellation integration point</t>
        </is>
      </c>
      <c r="E33" s="17" t="inlineStr">
        <is>
          <t>Functional Integration - Order Cancellation - Verify state synchronization across multi-screen workflow (#32)</t>
        </is>
      </c>
      <c r="F33" s="17" t="inlineStr">
        <is>
          <t>Verify cross-module functionality and Supabase integration integrity for Order Cancellation.</t>
        </is>
      </c>
      <c r="G33" s="17" t="inlineStr">
        <is>
          <t>Test environment active, backend API / Supabase instance reachable.</t>
        </is>
      </c>
      <c r="H33" s="17" t="inlineStr">
        <is>
          <t>1. Prepare test user session.
2. Execute Order Cancellation integration scenario.
3. Update preference in Settings, navigate to Dashboard, check updated state.
4. Validate end-to-end result.</t>
        </is>
      </c>
      <c r="I33" s="17" t="inlineStr">
        <is>
          <t>Module: Order Cancellation, API Endpoint: Supabase Rest / Realtime API</t>
        </is>
      </c>
      <c r="J33" s="17" t="inlineStr">
        <is>
          <t>Dashboard reflects updated setting immediately without manual refresh. for module Order Cancellation.</t>
        </is>
      </c>
      <c r="K33" s="17" t="inlineStr">
        <is>
          <t>Pending Execution</t>
        </is>
      </c>
      <c r="L33" s="16" t="inlineStr">
        <is>
          <t>High</t>
        </is>
      </c>
      <c r="M33" s="16" t="inlineStr">
        <is>
          <t>Moderate</t>
        </is>
      </c>
      <c r="N33" s="18" t="inlineStr">
        <is>
          <t>Not Executed</t>
        </is>
      </c>
      <c r="O33" s="17" t="inlineStr">
        <is>
          <t>evidence/fun-int-032_screenshot.png</t>
        </is>
      </c>
      <c r="P33" s="17" t="inlineStr">
        <is>
          <t>Automated baseline generation</t>
        </is>
      </c>
    </row>
    <row r="34" ht="36" customHeight="1">
      <c r="A34" s="16" t="inlineStr">
        <is>
          <t>FUN-INT-033</t>
        </is>
      </c>
      <c r="B34" s="16" t="inlineStr">
        <is>
          <t>Functional and Integration Testing</t>
        </is>
      </c>
      <c r="C34" s="17" t="inlineStr">
        <is>
          <t>Supabase Integration</t>
        </is>
      </c>
      <c r="D34" s="17" t="inlineStr">
        <is>
          <t>Integration testing of Supabase Integration integration point</t>
        </is>
      </c>
      <c r="E34" s="17" t="inlineStr">
        <is>
          <t>Functional Integration - Supabase Integration - Verify transactional workflow completion (Order / Workout log) (#33)</t>
        </is>
      </c>
      <c r="F34" s="17" t="inlineStr">
        <is>
          <t>Verify cross-module functionality and Supabase integration integrity for Supabase Integration.</t>
        </is>
      </c>
      <c r="G34" s="17" t="inlineStr">
        <is>
          <t>Test environment active, backend API / Supabase instance reachable.</t>
        </is>
      </c>
      <c r="H34" s="17" t="inlineStr">
        <is>
          <t>1. Prepare test user session.
2. Execute Supabase Integration integration scenario.
3. Complete multi-step form workflow, submit transaction, verify summary page.
4. Validate end-to-end result.</t>
        </is>
      </c>
      <c r="I34" s="17" t="inlineStr">
        <is>
          <t>Module: Supabase Integration, API Endpoint: Supabase Rest / Realtime API</t>
        </is>
      </c>
      <c r="J34" s="17" t="inlineStr">
        <is>
          <t>Transaction completes successfully, DB state updated, confirmation displayed. for module Supabase Integration.</t>
        </is>
      </c>
      <c r="K34" s="17" t="inlineStr">
        <is>
          <t>Pending Execution</t>
        </is>
      </c>
      <c r="L34" s="16" t="inlineStr">
        <is>
          <t>Medium</t>
        </is>
      </c>
      <c r="M34" s="16" t="inlineStr">
        <is>
          <t>Moderate</t>
        </is>
      </c>
      <c r="N34" s="18" t="inlineStr">
        <is>
          <t>Not Executed</t>
        </is>
      </c>
      <c r="O34" s="17" t="inlineStr">
        <is>
          <t>evidence/fun-int-033_screenshot.png</t>
        </is>
      </c>
      <c r="P34" s="17" t="inlineStr">
        <is>
          <t>Automated baseline generation</t>
        </is>
      </c>
    </row>
    <row r="35" ht="36" customHeight="1">
      <c r="A35" s="16" t="inlineStr">
        <is>
          <t>FUN-INT-034</t>
        </is>
      </c>
      <c r="B35" s="16" t="inlineStr">
        <is>
          <t>Functional and Integration Testing</t>
        </is>
      </c>
      <c r="C35" s="17" t="inlineStr">
        <is>
          <t>Responsive Web UI</t>
        </is>
      </c>
      <c r="D35" s="17" t="inlineStr">
        <is>
          <t>Integration testing of Responsive Web UI integration point</t>
        </is>
      </c>
      <c r="E35" s="17" t="inlineStr">
        <is>
          <t>Functional Integration - Responsive Web UI - Verify graceful handling of network disconnect and reconnect sync (#34)</t>
        </is>
      </c>
      <c r="F35" s="17" t="inlineStr">
        <is>
          <t>Verify cross-module functionality and Supabase integration integrity for Responsive Web UI.</t>
        </is>
      </c>
      <c r="G35" s="17" t="inlineStr">
        <is>
          <t>Test environment active, backend API / Supabase instance reachable.</t>
        </is>
      </c>
      <c r="H35" s="17" t="inlineStr">
        <is>
          <t>1. Prepare test user session.
2. Execute Responsive Web UI integration scenario.
3. Simulate offline state during data edit, restore network connection.
4. Validate end-to-end result.</t>
        </is>
      </c>
      <c r="I35" s="17" t="inlineStr">
        <is>
          <t>Module: Responsive Web UI, API Endpoint: Supabase Rest / Realtime API</t>
        </is>
      </c>
      <c r="J35" s="17" t="inlineStr">
        <is>
          <t>App queues unsynced changes locally and syncs with server upon connection. for module Responsive Web UI.</t>
        </is>
      </c>
      <c r="K35" s="17" t="inlineStr">
        <is>
          <t>Pending Execution</t>
        </is>
      </c>
      <c r="L35" s="16" t="inlineStr">
        <is>
          <t>High</t>
        </is>
      </c>
      <c r="M35" s="16" t="inlineStr">
        <is>
          <t>Moderate</t>
        </is>
      </c>
      <c r="N35" s="18" t="inlineStr">
        <is>
          <t>Not Executed</t>
        </is>
      </c>
      <c r="O35" s="17" t="inlineStr">
        <is>
          <t>evidence/fun-int-034_screenshot.png</t>
        </is>
      </c>
      <c r="P35" s="17" t="inlineStr">
        <is>
          <t>Automated baseline generation</t>
        </is>
      </c>
    </row>
    <row r="36" ht="36" customHeight="1">
      <c r="A36" s="16" t="inlineStr">
        <is>
          <t>FUN-INT-035</t>
        </is>
      </c>
      <c r="B36" s="16" t="inlineStr">
        <is>
          <t>Functional and Integration Testing</t>
        </is>
      </c>
      <c r="C36" s="17" t="inlineStr">
        <is>
          <t>Android UI</t>
        </is>
      </c>
      <c r="D36" s="17" t="inlineStr">
        <is>
          <t>Integration testing of Android UI integration point</t>
        </is>
      </c>
      <c r="E36" s="17" t="inlineStr">
        <is>
          <t>Functional Integration - Android UI - Verify role-based access control and RLS query policies (#35)</t>
        </is>
      </c>
      <c r="F36" s="17" t="inlineStr">
        <is>
          <t>Verify cross-module functionality and Supabase integration integrity for Android UI.</t>
        </is>
      </c>
      <c r="G36" s="17" t="inlineStr">
        <is>
          <t>Test environment active, backend API / Supabase instance reachable.</t>
        </is>
      </c>
      <c r="H36" s="17" t="inlineStr">
        <is>
          <t>1. Prepare test user session.
2. Execute Android UI integration scenario.
3. Attempt database access with unauthorized user token.
4. Validate end-to-end result.</t>
        </is>
      </c>
      <c r="I36" s="17" t="inlineStr">
        <is>
          <t>Module: Android UI, API Endpoint: Supabase Rest / Realtime API</t>
        </is>
      </c>
      <c r="J36" s="17" t="inlineStr">
        <is>
          <t>Supabase RLS rejects unauthorized query with HTTP 403 / permission error. for module Android UI.</t>
        </is>
      </c>
      <c r="K36" s="17" t="inlineStr">
        <is>
          <t>Pending Execution</t>
        </is>
      </c>
      <c r="L36" s="16" t="inlineStr">
        <is>
          <t>Medium</t>
        </is>
      </c>
      <c r="M36" s="16" t="inlineStr">
        <is>
          <t>Major</t>
        </is>
      </c>
      <c r="N36" s="18" t="inlineStr">
        <is>
          <t>Not Executed</t>
        </is>
      </c>
      <c r="O36" s="17" t="inlineStr">
        <is>
          <t>evidence/fun-int-035_screenshot.png</t>
        </is>
      </c>
      <c r="P36" s="17" t="inlineStr">
        <is>
          <t>Automated baseline generation</t>
        </is>
      </c>
    </row>
    <row r="37" ht="36" customHeight="1">
      <c r="A37" s="16" t="inlineStr">
        <is>
          <t>FUN-INT-036</t>
        </is>
      </c>
      <c r="B37" s="16" t="inlineStr">
        <is>
          <t>Functional and Integration Testing</t>
        </is>
      </c>
      <c r="C37" s="17" t="inlineStr">
        <is>
          <t>Error Handling</t>
        </is>
      </c>
      <c r="D37" s="17" t="inlineStr">
        <is>
          <t>Integration testing of Error Handling integration point</t>
        </is>
      </c>
      <c r="E37" s="17" t="inlineStr">
        <is>
          <t>Functional Integration - Error Handling - Verify end-to-end data flow between client UI and Supabase DB (#36)</t>
        </is>
      </c>
      <c r="F37" s="17" t="inlineStr">
        <is>
          <t>Verify cross-module functionality and Supabase integration integrity for Error Handling.</t>
        </is>
      </c>
      <c r="G37" s="17" t="inlineStr">
        <is>
          <t>Test environment active, backend API / Supabase instance reachable.</t>
        </is>
      </c>
      <c r="H37" s="17" t="inlineStr">
        <is>
          <t>1. Prepare test user session.
2. Execute Error Handling integration scenario.
3. Perform data creation in client UI, inspect network payload, verify DB record.
4. Validate end-to-end result.</t>
        </is>
      </c>
      <c r="I37" s="17" t="inlineStr">
        <is>
          <t>Module: Error Handling, API Endpoint: Supabase Rest / Realtime API</t>
        </is>
      </c>
      <c r="J37" s="17" t="inlineStr">
        <is>
          <t>Record inserted cleanly into Supabase database with matching user_id. for module Error Handling.</t>
        </is>
      </c>
      <c r="K37" s="17" t="inlineStr">
        <is>
          <t>Pending Execution</t>
        </is>
      </c>
      <c r="L37" s="16" t="inlineStr">
        <is>
          <t>High</t>
        </is>
      </c>
      <c r="M37" s="16" t="inlineStr">
        <is>
          <t>Moderate</t>
        </is>
      </c>
      <c r="N37" s="18" t="inlineStr">
        <is>
          <t>Not Executed</t>
        </is>
      </c>
      <c r="O37" s="17" t="inlineStr">
        <is>
          <t>evidence/fun-int-036_screenshot.png</t>
        </is>
      </c>
      <c r="P37" s="17" t="inlineStr">
        <is>
          <t>Automated baseline generation</t>
        </is>
      </c>
    </row>
    <row r="38" ht="36" customHeight="1">
      <c r="A38" s="16" t="inlineStr">
        <is>
          <t>FUN-INT-037</t>
        </is>
      </c>
      <c r="B38" s="16" t="inlineStr">
        <is>
          <t>Functional and Integration Testing</t>
        </is>
      </c>
      <c r="C38" s="17" t="inlineStr">
        <is>
          <t>Logout</t>
        </is>
      </c>
      <c r="D38" s="17" t="inlineStr">
        <is>
          <t>Integration testing of Logout integration point</t>
        </is>
      </c>
      <c r="E38" s="17" t="inlineStr">
        <is>
          <t>Functional Integration - Logout - Verify state synchronization across multi-screen workflow (#37)</t>
        </is>
      </c>
      <c r="F38" s="17" t="inlineStr">
        <is>
          <t>Verify cross-module functionality and Supabase integration integrity for Logout.</t>
        </is>
      </c>
      <c r="G38" s="17" t="inlineStr">
        <is>
          <t>Test environment active, backend API / Supabase instance reachable.</t>
        </is>
      </c>
      <c r="H38" s="17" t="inlineStr">
        <is>
          <t>1. Prepare test user session.
2. Execute Logout integration scenario.
3. Update preference in Settings, navigate to Dashboard, check updated state.
4. Validate end-to-end result.</t>
        </is>
      </c>
      <c r="I38" s="17" t="inlineStr">
        <is>
          <t>Module: Logout, API Endpoint: Supabase Rest / Realtime API</t>
        </is>
      </c>
      <c r="J38" s="17" t="inlineStr">
        <is>
          <t>Dashboard reflects updated setting immediately without manual refresh. for module Logout.</t>
        </is>
      </c>
      <c r="K38" s="17" t="inlineStr">
        <is>
          <t>Pending Execution</t>
        </is>
      </c>
      <c r="L38" s="16" t="inlineStr">
        <is>
          <t>Medium</t>
        </is>
      </c>
      <c r="M38" s="16" t="inlineStr">
        <is>
          <t>Moderate</t>
        </is>
      </c>
      <c r="N38" s="18" t="inlineStr">
        <is>
          <t>Not Executed</t>
        </is>
      </c>
      <c r="O38" s="17" t="inlineStr">
        <is>
          <t>evidence/fun-int-037_screenshot.png</t>
        </is>
      </c>
      <c r="P38" s="17" t="inlineStr">
        <is>
          <t>Automated baseline generation</t>
        </is>
      </c>
    </row>
    <row r="39" ht="36" customHeight="1">
      <c r="A39" s="16" t="inlineStr">
        <is>
          <t>FUN-INT-038</t>
        </is>
      </c>
      <c r="B39" s="16" t="inlineStr">
        <is>
          <t>Functional and Integration Testing</t>
        </is>
      </c>
      <c r="C39" s="17" t="inlineStr">
        <is>
          <t>Splash</t>
        </is>
      </c>
      <c r="D39" s="17" t="inlineStr">
        <is>
          <t>Integration testing of Splash integration point</t>
        </is>
      </c>
      <c r="E39" s="17" t="inlineStr">
        <is>
          <t>Functional Integration - Splash - Verify transactional workflow completion (Order / Workout log) (#38)</t>
        </is>
      </c>
      <c r="F39" s="17" t="inlineStr">
        <is>
          <t>Verify cross-module functionality and Supabase integration integrity for Splash.</t>
        </is>
      </c>
      <c r="G39" s="17" t="inlineStr">
        <is>
          <t>Test environment active, backend API / Supabase instance reachable.</t>
        </is>
      </c>
      <c r="H39" s="17" t="inlineStr">
        <is>
          <t>1. Prepare test user session.
2. Execute Splash integration scenario.
3. Complete multi-step form workflow, submit transaction, verify summary page.
4. Validate end-to-end result.</t>
        </is>
      </c>
      <c r="I39" s="17" t="inlineStr">
        <is>
          <t>Module: Splash, API Endpoint: Supabase Rest / Realtime API</t>
        </is>
      </c>
      <c r="J39" s="17" t="inlineStr">
        <is>
          <t>Transaction completes successfully, DB state updated, confirmation displayed. for module Splash.</t>
        </is>
      </c>
      <c r="K39" s="17" t="inlineStr">
        <is>
          <t>Pending Execution</t>
        </is>
      </c>
      <c r="L39" s="16" t="inlineStr">
        <is>
          <t>High</t>
        </is>
      </c>
      <c r="M39" s="16" t="inlineStr">
        <is>
          <t>Moderate</t>
        </is>
      </c>
      <c r="N39" s="18" t="inlineStr">
        <is>
          <t>Not Executed</t>
        </is>
      </c>
      <c r="O39" s="17" t="inlineStr">
        <is>
          <t>evidence/fun-int-038_screenshot.png</t>
        </is>
      </c>
      <c r="P39" s="17" t="inlineStr">
        <is>
          <t>Automated baseline generation</t>
        </is>
      </c>
    </row>
    <row r="40" ht="36" customHeight="1">
      <c r="A40" s="16" t="inlineStr">
        <is>
          <t>FUN-INT-039</t>
        </is>
      </c>
      <c r="B40" s="16" t="inlineStr">
        <is>
          <t>Functional and Integration Testing</t>
        </is>
      </c>
      <c r="C40" s="17" t="inlineStr">
        <is>
          <t>Login</t>
        </is>
      </c>
      <c r="D40" s="17" t="inlineStr">
        <is>
          <t>Integration testing of Login integration point</t>
        </is>
      </c>
      <c r="E40" s="17" t="inlineStr">
        <is>
          <t>Functional Integration - Login - Verify graceful handling of network disconnect and reconnect sync (#39)</t>
        </is>
      </c>
      <c r="F40" s="17" t="inlineStr">
        <is>
          <t>Verify cross-module functionality and Supabase integration integrity for Login.</t>
        </is>
      </c>
      <c r="G40" s="17" t="inlineStr">
        <is>
          <t>Test environment active, backend API / Supabase instance reachable.</t>
        </is>
      </c>
      <c r="H40" s="17" t="inlineStr">
        <is>
          <t>1. Prepare test user session.
2. Execute Login integration scenario.
3. Simulate offline state during data edit, restore network connection.
4. Validate end-to-end result.</t>
        </is>
      </c>
      <c r="I40" s="17" t="inlineStr">
        <is>
          <t>Module: Login, API Endpoint: Supabase Rest / Realtime API</t>
        </is>
      </c>
      <c r="J40" s="17" t="inlineStr">
        <is>
          <t>App queues unsynced changes locally and syncs with server upon connection. for module Login.</t>
        </is>
      </c>
      <c r="K40" s="17" t="inlineStr">
        <is>
          <t>Pending Execution</t>
        </is>
      </c>
      <c r="L40" s="16" t="inlineStr">
        <is>
          <t>Medium</t>
        </is>
      </c>
      <c r="M40" s="16" t="inlineStr">
        <is>
          <t>Moderate</t>
        </is>
      </c>
      <c r="N40" s="18" t="inlineStr">
        <is>
          <t>Not Executed</t>
        </is>
      </c>
      <c r="O40" s="17" t="inlineStr">
        <is>
          <t>evidence/fun-int-039_screenshot.png</t>
        </is>
      </c>
      <c r="P40" s="17" t="inlineStr">
        <is>
          <t>Automated baseline generation</t>
        </is>
      </c>
    </row>
    <row r="41" ht="36" customHeight="1">
      <c r="A41" s="16" t="inlineStr">
        <is>
          <t>FUN-INT-040</t>
        </is>
      </c>
      <c r="B41" s="16" t="inlineStr">
        <is>
          <t>Functional and Integration Testing</t>
        </is>
      </c>
      <c r="C41" s="17" t="inlineStr">
        <is>
          <t>Signup</t>
        </is>
      </c>
      <c r="D41" s="17" t="inlineStr">
        <is>
          <t>Integration testing of Signup integration point</t>
        </is>
      </c>
      <c r="E41" s="17" t="inlineStr">
        <is>
          <t>Functional Integration - Signup - Verify role-based access control and RLS query policies (#40)</t>
        </is>
      </c>
      <c r="F41" s="17" t="inlineStr">
        <is>
          <t>Verify cross-module functionality and Supabase integration integrity for Signup.</t>
        </is>
      </c>
      <c r="G41" s="17" t="inlineStr">
        <is>
          <t>Test environment active, backend API / Supabase instance reachable.</t>
        </is>
      </c>
      <c r="H41" s="17" t="inlineStr">
        <is>
          <t>1. Prepare test user session.
2. Execute Signup integration scenario.
3. Attempt database access with unauthorized user token.
4. Validate end-to-end result.</t>
        </is>
      </c>
      <c r="I41" s="17" t="inlineStr">
        <is>
          <t>Module: Signup, API Endpoint: Supabase Rest / Realtime API</t>
        </is>
      </c>
      <c r="J41" s="17" t="inlineStr">
        <is>
          <t>Supabase RLS rejects unauthorized query with HTTP 403 / permission error. for module Signup.</t>
        </is>
      </c>
      <c r="K41" s="17" t="inlineStr">
        <is>
          <t>Pending Execution</t>
        </is>
      </c>
      <c r="L41" s="16" t="inlineStr">
        <is>
          <t>High</t>
        </is>
      </c>
      <c r="M41" s="16" t="inlineStr">
        <is>
          <t>Major</t>
        </is>
      </c>
      <c r="N41" s="18" t="inlineStr">
        <is>
          <t>Not Executed</t>
        </is>
      </c>
      <c r="O41" s="17" t="inlineStr">
        <is>
          <t>evidence/fun-int-040_screenshot.png</t>
        </is>
      </c>
      <c r="P41" s="17" t="inlineStr">
        <is>
          <t>Automated baseline generation</t>
        </is>
      </c>
    </row>
    <row r="42" ht="36" customHeight="1">
      <c r="A42" s="16" t="inlineStr">
        <is>
          <t>FUN-INT-041</t>
        </is>
      </c>
      <c r="B42" s="16" t="inlineStr">
        <is>
          <t>Functional and Integration Testing</t>
        </is>
      </c>
      <c r="C42" s="17" t="inlineStr">
        <is>
          <t>Forgot Password</t>
        </is>
      </c>
      <c r="D42" s="17" t="inlineStr">
        <is>
          <t>Integration testing of Forgot Password integration point</t>
        </is>
      </c>
      <c r="E42" s="17" t="inlineStr">
        <is>
          <t>Functional Integration - Forgot Password - Verify end-to-end data flow between client UI and Supabase DB (#41)</t>
        </is>
      </c>
      <c r="F42" s="17" t="inlineStr">
        <is>
          <t>Verify cross-module functionality and Supabase integration integrity for Forgot Password.</t>
        </is>
      </c>
      <c r="G42" s="17" t="inlineStr">
        <is>
          <t>Test environment active, backend API / Supabase instance reachable.</t>
        </is>
      </c>
      <c r="H42" s="17" t="inlineStr">
        <is>
          <t>1. Prepare test user session.
2. Execute Forgot Password integration scenario.
3. Perform data creation in client UI, inspect network payload, verify DB record.
4. Validate end-to-end result.</t>
        </is>
      </c>
      <c r="I42" s="17" t="inlineStr">
        <is>
          <t>Module: Forgot Password, API Endpoint: Supabase Rest / Realtime API</t>
        </is>
      </c>
      <c r="J42" s="17" t="inlineStr">
        <is>
          <t>Record inserted cleanly into Supabase database with matching user_id. for module Forgot Password.</t>
        </is>
      </c>
      <c r="K42" s="17" t="inlineStr">
        <is>
          <t>Pending Execution</t>
        </is>
      </c>
      <c r="L42" s="16" t="inlineStr">
        <is>
          <t>Medium</t>
        </is>
      </c>
      <c r="M42" s="16" t="inlineStr">
        <is>
          <t>Moderate</t>
        </is>
      </c>
      <c r="N42" s="18" t="inlineStr">
        <is>
          <t>Not Executed</t>
        </is>
      </c>
      <c r="O42" s="17" t="inlineStr">
        <is>
          <t>evidence/fun-int-041_screenshot.png</t>
        </is>
      </c>
      <c r="P42" s="17" t="inlineStr">
        <is>
          <t>Automated baseline generation</t>
        </is>
      </c>
    </row>
    <row r="43" ht="36" customHeight="1">
      <c r="A43" s="16" t="inlineStr">
        <is>
          <t>FUN-INT-042</t>
        </is>
      </c>
      <c r="B43" s="16" t="inlineStr">
        <is>
          <t>Functional and Integration Testing</t>
        </is>
      </c>
      <c r="C43" s="17" t="inlineStr">
        <is>
          <t>Email Verification</t>
        </is>
      </c>
      <c r="D43" s="17" t="inlineStr">
        <is>
          <t>Integration testing of Email Verification integration point</t>
        </is>
      </c>
      <c r="E43" s="17" t="inlineStr">
        <is>
          <t>Functional Integration - Email Verification - Verify state synchronization across multi-screen workflow (#42)</t>
        </is>
      </c>
      <c r="F43" s="17" t="inlineStr">
        <is>
          <t>Verify cross-module functionality and Supabase integration integrity for Email Verification.</t>
        </is>
      </c>
      <c r="G43" s="17" t="inlineStr">
        <is>
          <t>Test environment active, backend API / Supabase instance reachable.</t>
        </is>
      </c>
      <c r="H43" s="17" t="inlineStr">
        <is>
          <t>1. Prepare test user session.
2. Execute Email Verification integration scenario.
3. Update preference in Settings, navigate to Dashboard, check updated state.
4. Validate end-to-end result.</t>
        </is>
      </c>
      <c r="I43" s="17" t="inlineStr">
        <is>
          <t>Module: Email Verification, API Endpoint: Supabase Rest / Realtime API</t>
        </is>
      </c>
      <c r="J43" s="17" t="inlineStr">
        <is>
          <t>Dashboard reflects updated setting immediately without manual refresh. for module Email Verification.</t>
        </is>
      </c>
      <c r="K43" s="17" t="inlineStr">
        <is>
          <t>Pending Execution</t>
        </is>
      </c>
      <c r="L43" s="16" t="inlineStr">
        <is>
          <t>High</t>
        </is>
      </c>
      <c r="M43" s="16" t="inlineStr">
        <is>
          <t>Moderate</t>
        </is>
      </c>
      <c r="N43" s="18" t="inlineStr">
        <is>
          <t>Not Executed</t>
        </is>
      </c>
      <c r="O43" s="17" t="inlineStr">
        <is>
          <t>evidence/fun-int-042_screenshot.png</t>
        </is>
      </c>
      <c r="P43" s="17" t="inlineStr">
        <is>
          <t>Automated baseline generation</t>
        </is>
      </c>
    </row>
    <row r="44" ht="36" customHeight="1">
      <c r="A44" s="16" t="inlineStr">
        <is>
          <t>FUN-INT-043</t>
        </is>
      </c>
      <c r="B44" s="16" t="inlineStr">
        <is>
          <t>Functional and Integration Testing</t>
        </is>
      </c>
      <c r="C44" s="17" t="inlineStr">
        <is>
          <t>Onboarding</t>
        </is>
      </c>
      <c r="D44" s="17" t="inlineStr">
        <is>
          <t>Integration testing of Onboarding integration point</t>
        </is>
      </c>
      <c r="E44" s="17" t="inlineStr">
        <is>
          <t>Functional Integration - Onboarding - Verify transactional workflow completion (Order / Workout log) (#43)</t>
        </is>
      </c>
      <c r="F44" s="17" t="inlineStr">
        <is>
          <t>Verify cross-module functionality and Supabase integration integrity for Onboarding.</t>
        </is>
      </c>
      <c r="G44" s="17" t="inlineStr">
        <is>
          <t>Test environment active, backend API / Supabase instance reachable.</t>
        </is>
      </c>
      <c r="H44" s="17" t="inlineStr">
        <is>
          <t>1. Prepare test user session.
2. Execute Onboarding integration scenario.
3. Complete multi-step form workflow, submit transaction, verify summary page.
4. Validate end-to-end result.</t>
        </is>
      </c>
      <c r="I44" s="17" t="inlineStr">
        <is>
          <t>Module: Onboarding, API Endpoint: Supabase Rest / Realtime API</t>
        </is>
      </c>
      <c r="J44" s="17" t="inlineStr">
        <is>
          <t>Transaction completes successfully, DB state updated, confirmation displayed. for module Onboarding.</t>
        </is>
      </c>
      <c r="K44" s="17" t="inlineStr">
        <is>
          <t>Pending Execution</t>
        </is>
      </c>
      <c r="L44" s="16" t="inlineStr">
        <is>
          <t>Medium</t>
        </is>
      </c>
      <c r="M44" s="16" t="inlineStr">
        <is>
          <t>Moderate</t>
        </is>
      </c>
      <c r="N44" s="18" t="inlineStr">
        <is>
          <t>Not Executed</t>
        </is>
      </c>
      <c r="O44" s="17" t="inlineStr">
        <is>
          <t>evidence/fun-int-043_screenshot.png</t>
        </is>
      </c>
      <c r="P44" s="17" t="inlineStr">
        <is>
          <t>Automated baseline generation</t>
        </is>
      </c>
    </row>
    <row r="45" ht="36" customHeight="1">
      <c r="A45" s="16" t="inlineStr">
        <is>
          <t>FUN-INT-044</t>
        </is>
      </c>
      <c r="B45" s="16" t="inlineStr">
        <is>
          <t>Functional and Integration Testing</t>
        </is>
      </c>
      <c r="C45" s="17" t="inlineStr">
        <is>
          <t>Dashboard</t>
        </is>
      </c>
      <c r="D45" s="17" t="inlineStr">
        <is>
          <t>Integration testing of Dashboard integration point</t>
        </is>
      </c>
      <c r="E45" s="17" t="inlineStr">
        <is>
          <t>Functional Integration - Dashboard - Verify graceful handling of network disconnect and reconnect sync (#44)</t>
        </is>
      </c>
      <c r="F45" s="17" t="inlineStr">
        <is>
          <t>Verify cross-module functionality and Supabase integration integrity for Dashboard.</t>
        </is>
      </c>
      <c r="G45" s="17" t="inlineStr">
        <is>
          <t>Test environment active, backend API / Supabase instance reachable.</t>
        </is>
      </c>
      <c r="H45" s="17" t="inlineStr">
        <is>
          <t>1. Prepare test user session.
2. Execute Dashboard integration scenario.
3. Simulate offline state during data edit, restore network connection.
4. Validate end-to-end result.</t>
        </is>
      </c>
      <c r="I45" s="17" t="inlineStr">
        <is>
          <t>Module: Dashboard, API Endpoint: Supabase Rest / Realtime API</t>
        </is>
      </c>
      <c r="J45" s="17" t="inlineStr">
        <is>
          <t>App queues unsynced changes locally and syncs with server upon connection. for module Dashboard.</t>
        </is>
      </c>
      <c r="K45" s="17" t="inlineStr">
        <is>
          <t>Pending Execution</t>
        </is>
      </c>
      <c r="L45" s="16" t="inlineStr">
        <is>
          <t>High</t>
        </is>
      </c>
      <c r="M45" s="16" t="inlineStr">
        <is>
          <t>Moderate</t>
        </is>
      </c>
      <c r="N45" s="18" t="inlineStr">
        <is>
          <t>Not Executed</t>
        </is>
      </c>
      <c r="O45" s="17" t="inlineStr">
        <is>
          <t>evidence/fun-int-044_screenshot.png</t>
        </is>
      </c>
      <c r="P45" s="17" t="inlineStr">
        <is>
          <t>Automated baseline generation</t>
        </is>
      </c>
    </row>
    <row r="46" ht="36" customHeight="1">
      <c r="A46" s="16" t="inlineStr">
        <is>
          <t>FUN-INT-045</t>
        </is>
      </c>
      <c r="B46" s="16" t="inlineStr">
        <is>
          <t>Functional and Integration Testing</t>
        </is>
      </c>
      <c r="C46" s="17" t="inlineStr">
        <is>
          <t>Profile</t>
        </is>
      </c>
      <c r="D46" s="17" t="inlineStr">
        <is>
          <t>Integration testing of Profile integration point</t>
        </is>
      </c>
      <c r="E46" s="17" t="inlineStr">
        <is>
          <t>Functional Integration - Profile - Verify role-based access control and RLS query policies (#45)</t>
        </is>
      </c>
      <c r="F46" s="17" t="inlineStr">
        <is>
          <t>Verify cross-module functionality and Supabase integration integrity for Profile.</t>
        </is>
      </c>
      <c r="G46" s="17" t="inlineStr">
        <is>
          <t>Test environment active, backend API / Supabase instance reachable.</t>
        </is>
      </c>
      <c r="H46" s="17" t="inlineStr">
        <is>
          <t>1. Prepare test user session.
2. Execute Profile integration scenario.
3. Attempt database access with unauthorized user token.
4. Validate end-to-end result.</t>
        </is>
      </c>
      <c r="I46" s="17" t="inlineStr">
        <is>
          <t>Module: Profile, API Endpoint: Supabase Rest / Realtime API</t>
        </is>
      </c>
      <c r="J46" s="17" t="inlineStr">
        <is>
          <t>Supabase RLS rejects unauthorized query with HTTP 403 / permission error. for module Profile.</t>
        </is>
      </c>
      <c r="K46" s="17" t="inlineStr">
        <is>
          <t>Pending Execution</t>
        </is>
      </c>
      <c r="L46" s="16" t="inlineStr">
        <is>
          <t>Medium</t>
        </is>
      </c>
      <c r="M46" s="16" t="inlineStr">
        <is>
          <t>Major</t>
        </is>
      </c>
      <c r="N46" s="18" t="inlineStr">
        <is>
          <t>Not Executed</t>
        </is>
      </c>
      <c r="O46" s="17" t="inlineStr">
        <is>
          <t>evidence/fun-int-045_screenshot.png</t>
        </is>
      </c>
      <c r="P46" s="17" t="inlineStr">
        <is>
          <t>Automated baseline generation</t>
        </is>
      </c>
    </row>
    <row r="47" ht="36" customHeight="1">
      <c r="A47" s="16" t="inlineStr">
        <is>
          <t>FUN-INT-046</t>
        </is>
      </c>
      <c r="B47" s="16" t="inlineStr">
        <is>
          <t>Functional and Integration Testing</t>
        </is>
      </c>
      <c r="C47" s="17" t="inlineStr">
        <is>
          <t>Language Settings</t>
        </is>
      </c>
      <c r="D47" s="17" t="inlineStr">
        <is>
          <t>Integration testing of Language Settings integration point</t>
        </is>
      </c>
      <c r="E47" s="17" t="inlineStr">
        <is>
          <t>Functional Integration - Language Settings - Verify end-to-end data flow between client UI and Supabase DB (#46)</t>
        </is>
      </c>
      <c r="F47" s="17" t="inlineStr">
        <is>
          <t>Verify cross-module functionality and Supabase integration integrity for Language Settings.</t>
        </is>
      </c>
      <c r="G47" s="17" t="inlineStr">
        <is>
          <t>Test environment active, backend API / Supabase instance reachable.</t>
        </is>
      </c>
      <c r="H47" s="17" t="inlineStr">
        <is>
          <t>1. Prepare test user session.
2. Execute Language Settings integration scenario.
3. Perform data creation in client UI, inspect network payload, verify DB record.
4. Validate end-to-end result.</t>
        </is>
      </c>
      <c r="I47" s="17" t="inlineStr">
        <is>
          <t>Module: Language Settings, API Endpoint: Supabase Rest / Realtime API</t>
        </is>
      </c>
      <c r="J47" s="17" t="inlineStr">
        <is>
          <t>Record inserted cleanly into Supabase database with matching user_id. for module Language Settings.</t>
        </is>
      </c>
      <c r="K47" s="17" t="inlineStr">
        <is>
          <t>Pending Execution</t>
        </is>
      </c>
      <c r="L47" s="16" t="inlineStr">
        <is>
          <t>High</t>
        </is>
      </c>
      <c r="M47" s="16" t="inlineStr">
        <is>
          <t>Moderate</t>
        </is>
      </c>
      <c r="N47" s="18" t="inlineStr">
        <is>
          <t>Not Executed</t>
        </is>
      </c>
      <c r="O47" s="17" t="inlineStr">
        <is>
          <t>evidence/fun-int-046_screenshot.png</t>
        </is>
      </c>
      <c r="P47" s="17" t="inlineStr">
        <is>
          <t>Automated baseline generation</t>
        </is>
      </c>
    </row>
    <row r="48" ht="36" customHeight="1">
      <c r="A48" s="16" t="inlineStr">
        <is>
          <t>FUN-INT-047</t>
        </is>
      </c>
      <c r="B48" s="16" t="inlineStr">
        <is>
          <t>Functional and Integration Testing</t>
        </is>
      </c>
      <c r="C48" s="17" t="inlineStr">
        <is>
          <t>AI Trainer</t>
        </is>
      </c>
      <c r="D48" s="17" t="inlineStr">
        <is>
          <t>Integration testing of AI Trainer integration point</t>
        </is>
      </c>
      <c r="E48" s="17" t="inlineStr">
        <is>
          <t>Functional Integration - AI Trainer - Verify state synchronization across multi-screen workflow (#47)</t>
        </is>
      </c>
      <c r="F48" s="17" t="inlineStr">
        <is>
          <t>Verify cross-module functionality and Supabase integration integrity for AI Trainer.</t>
        </is>
      </c>
      <c r="G48" s="17" t="inlineStr">
        <is>
          <t>Test environment active, backend API / Supabase instance reachable.</t>
        </is>
      </c>
      <c r="H48" s="17" t="inlineStr">
        <is>
          <t>1. Prepare test user session.
2. Execute AI Trainer integration scenario.
3. Update preference in Settings, navigate to Dashboard, check updated state.
4. Validate end-to-end result.</t>
        </is>
      </c>
      <c r="I48" s="17" t="inlineStr">
        <is>
          <t>Module: AI Trainer, API Endpoint: Supabase Rest / Realtime API</t>
        </is>
      </c>
      <c r="J48" s="17" t="inlineStr">
        <is>
          <t>Dashboard reflects updated setting immediately without manual refresh. for module AI Trainer.</t>
        </is>
      </c>
      <c r="K48" s="17" t="inlineStr">
        <is>
          <t>Pending Execution</t>
        </is>
      </c>
      <c r="L48" s="16" t="inlineStr">
        <is>
          <t>Medium</t>
        </is>
      </c>
      <c r="M48" s="16" t="inlineStr">
        <is>
          <t>Moderate</t>
        </is>
      </c>
      <c r="N48" s="18" t="inlineStr">
        <is>
          <t>Not Executed</t>
        </is>
      </c>
      <c r="O48" s="17" t="inlineStr">
        <is>
          <t>evidence/fun-int-047_screenshot.png</t>
        </is>
      </c>
      <c r="P48" s="17" t="inlineStr">
        <is>
          <t>Automated baseline generation</t>
        </is>
      </c>
    </row>
    <row r="49" ht="36" customHeight="1">
      <c r="A49" s="16" t="inlineStr">
        <is>
          <t>FUN-INT-048</t>
        </is>
      </c>
      <c r="B49" s="16" t="inlineStr">
        <is>
          <t>Functional and Integration Testing</t>
        </is>
      </c>
      <c r="C49" s="17" t="inlineStr">
        <is>
          <t>Workout Plan</t>
        </is>
      </c>
      <c r="D49" s="17" t="inlineStr">
        <is>
          <t>Integration testing of Workout Plan integration point</t>
        </is>
      </c>
      <c r="E49" s="17" t="inlineStr">
        <is>
          <t>Functional Integration - Workout Plan - Verify transactional workflow completion (Order / Workout log) (#48)</t>
        </is>
      </c>
      <c r="F49" s="17" t="inlineStr">
        <is>
          <t>Verify cross-module functionality and Supabase integration integrity for Workout Plan.</t>
        </is>
      </c>
      <c r="G49" s="17" t="inlineStr">
        <is>
          <t>Test environment active, backend API / Supabase instance reachable.</t>
        </is>
      </c>
      <c r="H49" s="17" t="inlineStr">
        <is>
          <t>1. Prepare test user session.
2. Execute Workout Plan integration scenario.
3. Complete multi-step form workflow, submit transaction, verify summary page.
4. Validate end-to-end result.</t>
        </is>
      </c>
      <c r="I49" s="17" t="inlineStr">
        <is>
          <t>Module: Workout Plan, API Endpoint: Supabase Rest / Realtime API</t>
        </is>
      </c>
      <c r="J49" s="17" t="inlineStr">
        <is>
          <t>Transaction completes successfully, DB state updated, confirmation displayed. for module Workout Plan.</t>
        </is>
      </c>
      <c r="K49" s="17" t="inlineStr">
        <is>
          <t>Pending Execution</t>
        </is>
      </c>
      <c r="L49" s="16" t="inlineStr">
        <is>
          <t>High</t>
        </is>
      </c>
      <c r="M49" s="16" t="inlineStr">
        <is>
          <t>Moderate</t>
        </is>
      </c>
      <c r="N49" s="18" t="inlineStr">
        <is>
          <t>Not Executed</t>
        </is>
      </c>
      <c r="O49" s="17" t="inlineStr">
        <is>
          <t>evidence/fun-int-048_screenshot.png</t>
        </is>
      </c>
      <c r="P49" s="17" t="inlineStr">
        <is>
          <t>Automated baseline generation</t>
        </is>
      </c>
    </row>
    <row r="50" ht="36" customHeight="1">
      <c r="A50" s="16" t="inlineStr">
        <is>
          <t>FUN-INT-049</t>
        </is>
      </c>
      <c r="B50" s="16" t="inlineStr">
        <is>
          <t>Functional and Integration Testing</t>
        </is>
      </c>
      <c r="C50" s="17" t="inlineStr">
        <is>
          <t>Diet Plan</t>
        </is>
      </c>
      <c r="D50" s="17" t="inlineStr">
        <is>
          <t>Integration testing of Diet Plan integration point</t>
        </is>
      </c>
      <c r="E50" s="17" t="inlineStr">
        <is>
          <t>Functional Integration - Diet Plan - Verify graceful handling of network disconnect and reconnect sync (#49)</t>
        </is>
      </c>
      <c r="F50" s="17" t="inlineStr">
        <is>
          <t>Verify cross-module functionality and Supabase integration integrity for Diet Plan.</t>
        </is>
      </c>
      <c r="G50" s="17" t="inlineStr">
        <is>
          <t>Test environment active, backend API / Supabase instance reachable.</t>
        </is>
      </c>
      <c r="H50" s="17" t="inlineStr">
        <is>
          <t>1. Prepare test user session.
2. Execute Diet Plan integration scenario.
3. Simulate offline state during data edit, restore network connection.
4. Validate end-to-end result.</t>
        </is>
      </c>
      <c r="I50" s="17" t="inlineStr">
        <is>
          <t>Module: Diet Plan, API Endpoint: Supabase Rest / Realtime API</t>
        </is>
      </c>
      <c r="J50" s="17" t="inlineStr">
        <is>
          <t>App queues unsynced changes locally and syncs with server upon connection. for module Diet Plan.</t>
        </is>
      </c>
      <c r="K50" s="17" t="inlineStr">
        <is>
          <t>Pending Execution</t>
        </is>
      </c>
      <c r="L50" s="16" t="inlineStr">
        <is>
          <t>Medium</t>
        </is>
      </c>
      <c r="M50" s="16" t="inlineStr">
        <is>
          <t>Moderate</t>
        </is>
      </c>
      <c r="N50" s="18" t="inlineStr">
        <is>
          <t>Not Executed</t>
        </is>
      </c>
      <c r="O50" s="17" t="inlineStr">
        <is>
          <t>evidence/fun-int-049_screenshot.png</t>
        </is>
      </c>
      <c r="P50" s="17" t="inlineStr">
        <is>
          <t>Automated baseline generation</t>
        </is>
      </c>
    </row>
    <row r="51" ht="36" customHeight="1">
      <c r="A51" s="16" t="inlineStr">
        <is>
          <t>FUN-INT-050</t>
        </is>
      </c>
      <c r="B51" s="16" t="inlineStr">
        <is>
          <t>Functional and Integration Testing</t>
        </is>
      </c>
      <c r="C51" s="17" t="inlineStr">
        <is>
          <t>Budget Diet Plan</t>
        </is>
      </c>
      <c r="D51" s="17" t="inlineStr">
        <is>
          <t>Integration testing of Budget Diet Plan integration point</t>
        </is>
      </c>
      <c r="E51" s="17" t="inlineStr">
        <is>
          <t>Functional Integration - Budget Diet Plan - Verify role-based access control and RLS query policies (#50)</t>
        </is>
      </c>
      <c r="F51" s="17" t="inlineStr">
        <is>
          <t>Verify cross-module functionality and Supabase integration integrity for Budget Diet Plan.</t>
        </is>
      </c>
      <c r="G51" s="17" t="inlineStr">
        <is>
          <t>Test environment active, backend API / Supabase instance reachable.</t>
        </is>
      </c>
      <c r="H51" s="17" t="inlineStr">
        <is>
          <t>1. Prepare test user session.
2. Execute Budget Diet Plan integration scenario.
3. Attempt database access with unauthorized user token.
4. Validate end-to-end result.</t>
        </is>
      </c>
      <c r="I51" s="17" t="inlineStr">
        <is>
          <t>Module: Budget Diet Plan, API Endpoint: Supabase Rest / Realtime API</t>
        </is>
      </c>
      <c r="J51" s="17" t="inlineStr">
        <is>
          <t>Supabase RLS rejects unauthorized query with HTTP 403 / permission error. for module Budget Diet Plan.</t>
        </is>
      </c>
      <c r="K51" s="17" t="inlineStr">
        <is>
          <t>Pending Execution</t>
        </is>
      </c>
      <c r="L51" s="16" t="inlineStr">
        <is>
          <t>High</t>
        </is>
      </c>
      <c r="M51" s="16" t="inlineStr">
        <is>
          <t>Major</t>
        </is>
      </c>
      <c r="N51" s="18" t="inlineStr">
        <is>
          <t>Not Executed</t>
        </is>
      </c>
      <c r="O51" s="17" t="inlineStr">
        <is>
          <t>evidence/fun-int-050_screenshot.png</t>
        </is>
      </c>
      <c r="P51" s="17" t="inlineStr">
        <is>
          <t>Automated baseline generation</t>
        </is>
      </c>
    </row>
  </sheetData>
  <autoFilter ref="A1:P5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20" customWidth="1" min="3" max="3"/>
    <col width="30" customWidth="1" min="4" max="4"/>
    <col width="35" customWidth="1" min="5" max="5"/>
    <col width="35" customWidth="1" min="6" max="6"/>
    <col width="30" customWidth="1" min="7" max="7"/>
    <col width="45" customWidth="1" min="8" max="8"/>
    <col width="25" customWidth="1" min="9" max="9"/>
    <col width="35" customWidth="1" min="10" max="10"/>
    <col width="20" customWidth="1" min="11" max="11"/>
    <col width="12" customWidth="1" min="12" max="12"/>
    <col width="12" customWidth="1" min="13" max="13"/>
    <col width="15" customWidth="1" min="14" max="14"/>
    <col width="25" customWidth="1" min="15" max="15"/>
    <col width="25" customWidth="1" min="16" max="16"/>
  </cols>
  <sheetData>
    <row r="1" ht="28" customHeight="1">
      <c r="A1" s="15" t="inlineStr">
        <is>
          <t>Test Case ID</t>
        </is>
      </c>
      <c r="B1" s="15" t="inlineStr">
        <is>
          <t>Testing Type</t>
        </is>
      </c>
      <c r="C1" s="15" t="inlineStr">
        <is>
          <t>Module</t>
        </is>
      </c>
      <c r="D1" s="15" t="inlineStr">
        <is>
          <t>Test Scenario</t>
        </is>
      </c>
      <c r="E1" s="15" t="inlineStr">
        <is>
          <t>Test Case Title</t>
        </is>
      </c>
      <c r="F1" s="15" t="inlineStr">
        <is>
          <t>Objective</t>
        </is>
      </c>
      <c r="G1" s="15" t="inlineStr">
        <is>
          <t>Preconditions</t>
        </is>
      </c>
      <c r="H1" s="15" t="inlineStr">
        <is>
          <t>Test Steps</t>
        </is>
      </c>
      <c r="I1" s="15" t="inlineStr">
        <is>
          <t>Test Data</t>
        </is>
      </c>
      <c r="J1" s="15" t="inlineStr">
        <is>
          <t>Expected Result</t>
        </is>
      </c>
      <c r="K1" s="15" t="inlineStr">
        <is>
          <t>Actual Result</t>
        </is>
      </c>
      <c r="L1" s="15" t="inlineStr">
        <is>
          <t>Priority</t>
        </is>
      </c>
      <c r="M1" s="15" t="inlineStr">
        <is>
          <t>Severity</t>
        </is>
      </c>
      <c r="N1" s="15" t="inlineStr">
        <is>
          <t>Status</t>
        </is>
      </c>
      <c r="O1" s="15" t="inlineStr">
        <is>
          <t>Evidence Path</t>
        </is>
      </c>
      <c r="P1" s="15" t="inlineStr">
        <is>
          <t>Remarks</t>
        </is>
      </c>
    </row>
    <row r="2" ht="36" customHeight="1">
      <c r="A2" s="16" t="inlineStr">
        <is>
          <t>PER-LOD-001</t>
        </is>
      </c>
      <c r="B2" s="16" t="inlineStr">
        <is>
          <t>Load and Performance Testing</t>
        </is>
      </c>
      <c r="C2" s="17" t="inlineStr">
        <is>
          <t>Splash</t>
        </is>
      </c>
      <c r="D2" s="17" t="inlineStr">
        <is>
          <t>Load &amp; Performance evaluation of Splash</t>
        </is>
      </c>
      <c r="E2" s="17" t="inlineStr">
        <is>
          <t>Performance - Splash - Verify REST API endpoint throughput under 100 concurrent virtual users (#1)</t>
        </is>
      </c>
      <c r="F2" s="17" t="inlineStr">
        <is>
          <t>Ensure Splash meets strict performance thresholds under load on local test server.</t>
        </is>
      </c>
      <c r="G2" s="17" t="inlineStr">
        <is>
          <t>Local test server active on localhost:8080 / Supabase local Docker stack.</t>
        </is>
      </c>
      <c r="H2" s="17" t="inlineStr">
        <is>
          <t>1. Spin up performance benchmark tools.
2. Target Splash endpoint/component.
3. Locust / JMeter load test script executing against localhost test environment.
4. Collect latency/FPS telemetry.</t>
        </is>
      </c>
      <c r="I2" s="17" t="inlineStr">
        <is>
          <t>Target: http://localhost:8080/api/splash, Load Target: 100 VU, Hatch rate 10/s</t>
        </is>
      </c>
      <c r="J2" s="17" t="inlineStr">
        <is>
          <t>Response time p95 &lt; 300ms, error rate 0.0%. for Splash.</t>
        </is>
      </c>
      <c r="K2" s="17" t="inlineStr">
        <is>
          <t>Pending Execution</t>
        </is>
      </c>
      <c r="L2" s="16" t="inlineStr">
        <is>
          <t>Medium</t>
        </is>
      </c>
      <c r="M2" s="16" t="inlineStr">
        <is>
          <t>Moderate</t>
        </is>
      </c>
      <c r="N2" s="18" t="inlineStr">
        <is>
          <t>Not Executed</t>
        </is>
      </c>
      <c r="O2" s="17" t="inlineStr">
        <is>
          <t>evidence/per-lod-001_screenshot.png</t>
        </is>
      </c>
      <c r="P2" s="17" t="inlineStr">
        <is>
          <t>Automated baseline generation</t>
        </is>
      </c>
    </row>
    <row r="3" ht="36" customHeight="1">
      <c r="A3" s="16" t="inlineStr">
        <is>
          <t>PER-LOD-002</t>
        </is>
      </c>
      <c r="B3" s="16" t="inlineStr">
        <is>
          <t>Load and Performance Testing</t>
        </is>
      </c>
      <c r="C3" s="17" t="inlineStr">
        <is>
          <t>Login</t>
        </is>
      </c>
      <c r="D3" s="17" t="inlineStr">
        <is>
          <t>Load &amp; Performance evaluation of Login</t>
        </is>
      </c>
      <c r="E3" s="17" t="inlineStr">
        <is>
          <t>Performance - Login - Verify UI rendering framerate (60 FPS) during rapid scrolling animation (#2)</t>
        </is>
      </c>
      <c r="F3" s="17" t="inlineStr">
        <is>
          <t>Ensure Login meets strict performance thresholds under load on local test server.</t>
        </is>
      </c>
      <c r="G3" s="17" t="inlineStr">
        <is>
          <t>Local test server active on localhost:8080 / Supabase local Docker stack.</t>
        </is>
      </c>
      <c r="H3" s="17" t="inlineStr">
        <is>
          <t>1. Spin up performance benchmark tools.
2. Target Login endpoint/component.
3. Scroll list view continuously for 60 seconds while monitoring Flutter Performance overlay.
4. Collect latency/FPS telemetry.</t>
        </is>
      </c>
      <c r="I3" s="17" t="inlineStr">
        <is>
          <t>Target: http://localhost:8080/api/login, Load Target: 100 list items with images</t>
        </is>
      </c>
      <c r="J3" s="17" t="inlineStr">
        <is>
          <t>Frame rendering stays steady at 60 FPS without jank or dropped frames. for Login.</t>
        </is>
      </c>
      <c r="K3" s="17" t="inlineStr">
        <is>
          <t>Pending Execution</t>
        </is>
      </c>
      <c r="L3" s="16" t="inlineStr">
        <is>
          <t>Medium</t>
        </is>
      </c>
      <c r="M3" s="16" t="inlineStr">
        <is>
          <t>Moderate</t>
        </is>
      </c>
      <c r="N3" s="18" t="inlineStr">
        <is>
          <t>Not Executed</t>
        </is>
      </c>
      <c r="O3" s="17" t="inlineStr">
        <is>
          <t>evidence/per-lod-002_screenshot.png</t>
        </is>
      </c>
      <c r="P3" s="17" t="inlineStr">
        <is>
          <t>Automated baseline generation</t>
        </is>
      </c>
    </row>
    <row r="4" ht="36" customHeight="1">
      <c r="A4" s="16" t="inlineStr">
        <is>
          <t>PER-LOD-003</t>
        </is>
      </c>
      <c r="B4" s="16" t="inlineStr">
        <is>
          <t>Load and Performance Testing</t>
        </is>
      </c>
      <c r="C4" s="17" t="inlineStr">
        <is>
          <t>Signup</t>
        </is>
      </c>
      <c r="D4" s="17" t="inlineStr">
        <is>
          <t>Load &amp; Performance evaluation of Signup</t>
        </is>
      </c>
      <c r="E4" s="17" t="inlineStr">
        <is>
          <t>Performance - Signup - Verify memory consumption stability during prolonged application usage (#3)</t>
        </is>
      </c>
      <c r="F4" s="17" t="inlineStr">
        <is>
          <t>Ensure Signup meets strict performance thresholds under load on local test server.</t>
        </is>
      </c>
      <c r="G4" s="17" t="inlineStr">
        <is>
          <t>Local test server active on localhost:8080 / Supabase local Docker stack.</t>
        </is>
      </c>
      <c r="H4" s="17" t="inlineStr">
        <is>
          <t>1. Spin up performance benchmark tools.
2. Target Signup endpoint/component.
3. Perform continuous navigation transitions across views for 15 minutes.
4. Collect latency/FPS telemetry.</t>
        </is>
      </c>
      <c r="I4" s="17" t="inlineStr">
        <is>
          <t>Target: http://localhost:8080/api/signup, Load Target: Memory Profiler session</t>
        </is>
      </c>
      <c r="J4" s="17" t="inlineStr">
        <is>
          <t>Heap memory remains stable under 180MB without progressive memory leaks. for Signup.</t>
        </is>
      </c>
      <c r="K4" s="17" t="inlineStr">
        <is>
          <t>Pending Execution</t>
        </is>
      </c>
      <c r="L4" s="16" t="inlineStr">
        <is>
          <t>High</t>
        </is>
      </c>
      <c r="M4" s="16" t="inlineStr">
        <is>
          <t>Moderate</t>
        </is>
      </c>
      <c r="N4" s="18" t="inlineStr">
        <is>
          <t>Not Executed</t>
        </is>
      </c>
      <c r="O4" s="17" t="inlineStr">
        <is>
          <t>evidence/per-lod-003_screenshot.png</t>
        </is>
      </c>
      <c r="P4" s="17" t="inlineStr">
        <is>
          <t>Automated baseline generation</t>
        </is>
      </c>
    </row>
    <row r="5" ht="36" customHeight="1">
      <c r="A5" s="16" t="inlineStr">
        <is>
          <t>PER-LOD-004</t>
        </is>
      </c>
      <c r="B5" s="16" t="inlineStr">
        <is>
          <t>Load and Performance Testing</t>
        </is>
      </c>
      <c r="C5" s="17" t="inlineStr">
        <is>
          <t>Forgot Password</t>
        </is>
      </c>
      <c r="D5" s="17" t="inlineStr">
        <is>
          <t>Load &amp; Performance evaluation of Forgot Password</t>
        </is>
      </c>
      <c r="E5" s="17" t="inlineStr">
        <is>
          <t>Performance - Forgot Password - Verify database query response latency under bulk data insertion (#4)</t>
        </is>
      </c>
      <c r="F5" s="17" t="inlineStr">
        <is>
          <t>Ensure Forgot Password meets strict performance thresholds under load on local test server.</t>
        </is>
      </c>
      <c r="G5" s="17" t="inlineStr">
        <is>
          <t>Local test server active on localhost:8080 / Supabase local Docker stack.</t>
        </is>
      </c>
      <c r="H5" s="17" t="inlineStr">
        <is>
          <t>1. Spin up performance benchmark tools.
2. Target Forgot Password endpoint/component.
3. Insert 500 records concurrently into Supabase table in test sandbox.
4. Collect latency/FPS telemetry.</t>
        </is>
      </c>
      <c r="I5" s="17" t="inlineStr">
        <is>
          <t>Target: http://localhost:8080/api/forgot_password, Load Target: 500 mock records</t>
        </is>
      </c>
      <c r="J5" s="17" t="inlineStr">
        <is>
          <t>Total insertion batch time &lt; 1.5 seconds. for Forgot Password.</t>
        </is>
      </c>
      <c r="K5" s="17" t="inlineStr">
        <is>
          <t>Pending Execution</t>
        </is>
      </c>
      <c r="L5" s="16" t="inlineStr">
        <is>
          <t>Medium</t>
        </is>
      </c>
      <c r="M5" s="16" t="inlineStr">
        <is>
          <t>Major</t>
        </is>
      </c>
      <c r="N5" s="18" t="inlineStr">
        <is>
          <t>Not Executed</t>
        </is>
      </c>
      <c r="O5" s="17" t="inlineStr">
        <is>
          <t>evidence/per-lod-004_screenshot.png</t>
        </is>
      </c>
      <c r="P5" s="17" t="inlineStr">
        <is>
          <t>Automated baseline generation</t>
        </is>
      </c>
    </row>
    <row r="6" ht="36" customHeight="1">
      <c r="A6" s="16" t="inlineStr">
        <is>
          <t>PER-LOD-005</t>
        </is>
      </c>
      <c r="B6" s="16" t="inlineStr">
        <is>
          <t>Load and Performance Testing</t>
        </is>
      </c>
      <c r="C6" s="17" t="inlineStr">
        <is>
          <t>Email Verification</t>
        </is>
      </c>
      <c r="D6" s="17" t="inlineStr">
        <is>
          <t>Load &amp; Performance evaluation of Email Verification</t>
        </is>
      </c>
      <c r="E6" s="17" t="inlineStr">
        <is>
          <t>Performance - Email Verification - Verify asset image loading optimization and caching performance (#5)</t>
        </is>
      </c>
      <c r="F6" s="17" t="inlineStr">
        <is>
          <t>Ensure Email Verification meets strict performance thresholds under load on local test server.</t>
        </is>
      </c>
      <c r="G6" s="17" t="inlineStr">
        <is>
          <t>Local test server active on localhost:8080 / Supabase local Docker stack.</t>
        </is>
      </c>
      <c r="H6" s="17" t="inlineStr">
        <is>
          <t>1. Spin up performance benchmark tools.
2. Target Email Verification endpoint/component.
3. Load media gallery containing 50 compressed webp assets.
4. Collect latency/FPS telemetry.</t>
        </is>
      </c>
      <c r="I6" s="17" t="inlineStr">
        <is>
          <t>Target: http://localhost:8080/api/email_verification, Load Target: WebP asset suite</t>
        </is>
      </c>
      <c r="J6" s="17" t="inlineStr">
        <is>
          <t>First contentful paint &lt; 400ms, cached reload &lt; 50ms. for Email Verification.</t>
        </is>
      </c>
      <c r="K6" s="17" t="inlineStr">
        <is>
          <t>Pending Execution</t>
        </is>
      </c>
      <c r="L6" s="16" t="inlineStr">
        <is>
          <t>Medium</t>
        </is>
      </c>
      <c r="M6" s="16" t="inlineStr">
        <is>
          <t>Moderate</t>
        </is>
      </c>
      <c r="N6" s="18" t="inlineStr">
        <is>
          <t>Not Executed</t>
        </is>
      </c>
      <c r="O6" s="17" t="inlineStr">
        <is>
          <t>evidence/per-lod-005_screenshot.png</t>
        </is>
      </c>
      <c r="P6" s="17" t="inlineStr">
        <is>
          <t>Automated baseline generation</t>
        </is>
      </c>
    </row>
    <row r="7" ht="36" customHeight="1">
      <c r="A7" s="16" t="inlineStr">
        <is>
          <t>PER-LOD-006</t>
        </is>
      </c>
      <c r="B7" s="16" t="inlineStr">
        <is>
          <t>Load and Performance Testing</t>
        </is>
      </c>
      <c r="C7" s="17" t="inlineStr">
        <is>
          <t>Onboarding</t>
        </is>
      </c>
      <c r="D7" s="17" t="inlineStr">
        <is>
          <t>Load &amp; Performance evaluation of Onboarding</t>
        </is>
      </c>
      <c r="E7" s="17" t="inlineStr">
        <is>
          <t>Performance - Onboarding - Verify REST API endpoint throughput under 100 concurrent virtual users (#6)</t>
        </is>
      </c>
      <c r="F7" s="17" t="inlineStr">
        <is>
          <t>Ensure Onboarding meets strict performance thresholds under load on local test server.</t>
        </is>
      </c>
      <c r="G7" s="17" t="inlineStr">
        <is>
          <t>Local test server active on localhost:8080 / Supabase local Docker stack.</t>
        </is>
      </c>
      <c r="H7" s="17" t="inlineStr">
        <is>
          <t>1. Spin up performance benchmark tools.
2. Target Onboarding endpoint/component.
3. Locust / JMeter load test script executing against localhost test environment.
4. Collect latency/FPS telemetry.</t>
        </is>
      </c>
      <c r="I7" s="17" t="inlineStr">
        <is>
          <t>Target: http://localhost:8080/api/onboarding, Load Target: 100 VU, Hatch rate 10/s</t>
        </is>
      </c>
      <c r="J7" s="17" t="inlineStr">
        <is>
          <t>Response time p95 &lt; 300ms, error rate 0.0%. for Onboarding.</t>
        </is>
      </c>
      <c r="K7" s="17" t="inlineStr">
        <is>
          <t>Pending Execution</t>
        </is>
      </c>
      <c r="L7" s="16" t="inlineStr">
        <is>
          <t>High</t>
        </is>
      </c>
      <c r="M7" s="16" t="inlineStr">
        <is>
          <t>Moderate</t>
        </is>
      </c>
      <c r="N7" s="18" t="inlineStr">
        <is>
          <t>Not Executed</t>
        </is>
      </c>
      <c r="O7" s="17" t="inlineStr">
        <is>
          <t>evidence/per-lod-006_screenshot.png</t>
        </is>
      </c>
      <c r="P7" s="17" t="inlineStr">
        <is>
          <t>Automated baseline generation</t>
        </is>
      </c>
    </row>
    <row r="8" ht="36" customHeight="1">
      <c r="A8" s="16" t="inlineStr">
        <is>
          <t>PER-LOD-007</t>
        </is>
      </c>
      <c r="B8" s="16" t="inlineStr">
        <is>
          <t>Load and Performance Testing</t>
        </is>
      </c>
      <c r="C8" s="17" t="inlineStr">
        <is>
          <t>Dashboard</t>
        </is>
      </c>
      <c r="D8" s="17" t="inlineStr">
        <is>
          <t>Load &amp; Performance evaluation of Dashboard</t>
        </is>
      </c>
      <c r="E8" s="17" t="inlineStr">
        <is>
          <t>Performance - Dashboard - Verify UI rendering framerate (60 FPS) during rapid scrolling animation (#7)</t>
        </is>
      </c>
      <c r="F8" s="17" t="inlineStr">
        <is>
          <t>Ensure Dashboard meets strict performance thresholds under load on local test server.</t>
        </is>
      </c>
      <c r="G8" s="17" t="inlineStr">
        <is>
          <t>Local test server active on localhost:8080 / Supabase local Docker stack.</t>
        </is>
      </c>
      <c r="H8" s="17" t="inlineStr">
        <is>
          <t>1. Spin up performance benchmark tools.
2. Target Dashboard endpoint/component.
3. Scroll list view continuously for 60 seconds while monitoring Flutter Performance overlay.
4. Collect latency/FPS telemetry.</t>
        </is>
      </c>
      <c r="I8" s="17" t="inlineStr">
        <is>
          <t>Target: http://localhost:8080/api/dashboard, Load Target: 100 list items with images</t>
        </is>
      </c>
      <c r="J8" s="17" t="inlineStr">
        <is>
          <t>Frame rendering stays steady at 60 FPS without jank or dropped frames. for Dashboard.</t>
        </is>
      </c>
      <c r="K8" s="17" t="inlineStr">
        <is>
          <t>Pending Execution</t>
        </is>
      </c>
      <c r="L8" s="16" t="inlineStr">
        <is>
          <t>Medium</t>
        </is>
      </c>
      <c r="M8" s="16" t="inlineStr">
        <is>
          <t>Moderate</t>
        </is>
      </c>
      <c r="N8" s="18" t="inlineStr">
        <is>
          <t>Not Executed</t>
        </is>
      </c>
      <c r="O8" s="17" t="inlineStr">
        <is>
          <t>evidence/per-lod-007_screenshot.png</t>
        </is>
      </c>
      <c r="P8" s="17" t="inlineStr">
        <is>
          <t>Automated baseline generation</t>
        </is>
      </c>
    </row>
    <row r="9" ht="36" customHeight="1">
      <c r="A9" s="16" t="inlineStr">
        <is>
          <t>PER-LOD-008</t>
        </is>
      </c>
      <c r="B9" s="16" t="inlineStr">
        <is>
          <t>Load and Performance Testing</t>
        </is>
      </c>
      <c r="C9" s="17" t="inlineStr">
        <is>
          <t>Profile</t>
        </is>
      </c>
      <c r="D9" s="17" t="inlineStr">
        <is>
          <t>Load &amp; Performance evaluation of Profile</t>
        </is>
      </c>
      <c r="E9" s="17" t="inlineStr">
        <is>
          <t>Performance - Profile - Verify memory consumption stability during prolonged application usage (#8)</t>
        </is>
      </c>
      <c r="F9" s="17" t="inlineStr">
        <is>
          <t>Ensure Profile meets strict performance thresholds under load on local test server.</t>
        </is>
      </c>
      <c r="G9" s="17" t="inlineStr">
        <is>
          <t>Local test server active on localhost:8080 / Supabase local Docker stack.</t>
        </is>
      </c>
      <c r="H9" s="17" t="inlineStr">
        <is>
          <t>1. Spin up performance benchmark tools.
2. Target Profile endpoint/component.
3. Perform continuous navigation transitions across views for 15 minutes.
4. Collect latency/FPS telemetry.</t>
        </is>
      </c>
      <c r="I9" s="17" t="inlineStr">
        <is>
          <t>Target: http://localhost:8080/api/profile, Load Target: Memory Profiler session</t>
        </is>
      </c>
      <c r="J9" s="17" t="inlineStr">
        <is>
          <t>Heap memory remains stable under 180MB without progressive memory leaks. for Profile.</t>
        </is>
      </c>
      <c r="K9" s="17" t="inlineStr">
        <is>
          <t>Pending Execution</t>
        </is>
      </c>
      <c r="L9" s="16" t="inlineStr">
        <is>
          <t>Medium</t>
        </is>
      </c>
      <c r="M9" s="16" t="inlineStr">
        <is>
          <t>Major</t>
        </is>
      </c>
      <c r="N9" s="18" t="inlineStr">
        <is>
          <t>Not Executed</t>
        </is>
      </c>
      <c r="O9" s="17" t="inlineStr">
        <is>
          <t>evidence/per-lod-008_screenshot.png</t>
        </is>
      </c>
      <c r="P9" s="17" t="inlineStr">
        <is>
          <t>Automated baseline generation</t>
        </is>
      </c>
    </row>
    <row r="10" ht="36" customHeight="1">
      <c r="A10" s="16" t="inlineStr">
        <is>
          <t>PER-LOD-009</t>
        </is>
      </c>
      <c r="B10" s="16" t="inlineStr">
        <is>
          <t>Load and Performance Testing</t>
        </is>
      </c>
      <c r="C10" s="17" t="inlineStr">
        <is>
          <t>Language Settings</t>
        </is>
      </c>
      <c r="D10" s="17" t="inlineStr">
        <is>
          <t>Load &amp; Performance evaluation of Language Settings</t>
        </is>
      </c>
      <c r="E10" s="17" t="inlineStr">
        <is>
          <t>Performance - Language Settings - Verify database query response latency under bulk data insertion (#9)</t>
        </is>
      </c>
      <c r="F10" s="17" t="inlineStr">
        <is>
          <t>Ensure Language Settings meets strict performance thresholds under load on local test server.</t>
        </is>
      </c>
      <c r="G10" s="17" t="inlineStr">
        <is>
          <t>Local test server active on localhost:8080 / Supabase local Docker stack.</t>
        </is>
      </c>
      <c r="H10" s="17" t="inlineStr">
        <is>
          <t>1. Spin up performance benchmark tools.
2. Target Language Settings endpoint/component.
3. Insert 500 records concurrently into Supabase table in test sandbox.
4. Collect latency/FPS telemetry.</t>
        </is>
      </c>
      <c r="I10" s="17" t="inlineStr">
        <is>
          <t>Target: http://localhost:8080/api/language_settings, Load Target: 500 mock records</t>
        </is>
      </c>
      <c r="J10" s="17" t="inlineStr">
        <is>
          <t>Total insertion batch time &lt; 1.5 seconds. for Language Settings.</t>
        </is>
      </c>
      <c r="K10" s="17" t="inlineStr">
        <is>
          <t>Pending Execution</t>
        </is>
      </c>
      <c r="L10" s="16" t="inlineStr">
        <is>
          <t>High</t>
        </is>
      </c>
      <c r="M10" s="16" t="inlineStr">
        <is>
          <t>Moderate</t>
        </is>
      </c>
      <c r="N10" s="18" t="inlineStr">
        <is>
          <t>Not Executed</t>
        </is>
      </c>
      <c r="O10" s="17" t="inlineStr">
        <is>
          <t>evidence/per-lod-009_screenshot.png</t>
        </is>
      </c>
      <c r="P10" s="17" t="inlineStr">
        <is>
          <t>Automated baseline generation</t>
        </is>
      </c>
    </row>
    <row r="11" ht="36" customHeight="1">
      <c r="A11" s="16" t="inlineStr">
        <is>
          <t>PER-LOD-010</t>
        </is>
      </c>
      <c r="B11" s="16" t="inlineStr">
        <is>
          <t>Load and Performance Testing</t>
        </is>
      </c>
      <c r="C11" s="17" t="inlineStr">
        <is>
          <t>AI Trainer</t>
        </is>
      </c>
      <c r="D11" s="17" t="inlineStr">
        <is>
          <t>Load &amp; Performance evaluation of AI Trainer</t>
        </is>
      </c>
      <c r="E11" s="17" t="inlineStr">
        <is>
          <t>Performance - AI Trainer - Verify asset image loading optimization and caching performance (#10)</t>
        </is>
      </c>
      <c r="F11" s="17" t="inlineStr">
        <is>
          <t>Ensure AI Trainer meets strict performance thresholds under load on local test server.</t>
        </is>
      </c>
      <c r="G11" s="17" t="inlineStr">
        <is>
          <t>Local test server active on localhost:8080 / Supabase local Docker stack.</t>
        </is>
      </c>
      <c r="H11" s="17" t="inlineStr">
        <is>
          <t>1. Spin up performance benchmark tools.
2. Target AI Trainer endpoint/component.
3. Load media gallery containing 50 compressed webp assets.
4. Collect latency/FPS telemetry.</t>
        </is>
      </c>
      <c r="I11" s="17" t="inlineStr">
        <is>
          <t>Target: http://localhost:8080/api/ai_trainer, Load Target: WebP asset suite</t>
        </is>
      </c>
      <c r="J11" s="17" t="inlineStr">
        <is>
          <t>First contentful paint &lt; 400ms, cached reload &lt; 50ms. for AI Trainer.</t>
        </is>
      </c>
      <c r="K11" s="17" t="inlineStr">
        <is>
          <t>Pending Execution</t>
        </is>
      </c>
      <c r="L11" s="16" t="inlineStr">
        <is>
          <t>Medium</t>
        </is>
      </c>
      <c r="M11" s="16" t="inlineStr">
        <is>
          <t>Moderate</t>
        </is>
      </c>
      <c r="N11" s="18" t="inlineStr">
        <is>
          <t>Not Executed</t>
        </is>
      </c>
      <c r="O11" s="17" t="inlineStr">
        <is>
          <t>evidence/per-lod-010_screenshot.png</t>
        </is>
      </c>
      <c r="P11" s="17" t="inlineStr">
        <is>
          <t>Automated baseline generation</t>
        </is>
      </c>
    </row>
    <row r="12" ht="36" customHeight="1">
      <c r="A12" s="16" t="inlineStr">
        <is>
          <t>PER-LOD-011</t>
        </is>
      </c>
      <c r="B12" s="16" t="inlineStr">
        <is>
          <t>Load and Performance Testing</t>
        </is>
      </c>
      <c r="C12" s="17" t="inlineStr">
        <is>
          <t>Workout Plan</t>
        </is>
      </c>
      <c r="D12" s="17" t="inlineStr">
        <is>
          <t>Load &amp; Performance evaluation of Workout Plan</t>
        </is>
      </c>
      <c r="E12" s="17" t="inlineStr">
        <is>
          <t>Performance - Workout Plan - Verify REST API endpoint throughput under 100 concurrent virtual users (#11)</t>
        </is>
      </c>
      <c r="F12" s="17" t="inlineStr">
        <is>
          <t>Ensure Workout Plan meets strict performance thresholds under load on local test server.</t>
        </is>
      </c>
      <c r="G12" s="17" t="inlineStr">
        <is>
          <t>Local test server active on localhost:8080 / Supabase local Docker stack.</t>
        </is>
      </c>
      <c r="H12" s="17" t="inlineStr">
        <is>
          <t>1. Spin up performance benchmark tools.
2. Target Workout Plan endpoint/component.
3. Locust / JMeter load test script executing against localhost test environment.
4. Collect latency/FPS telemetry.</t>
        </is>
      </c>
      <c r="I12" s="17" t="inlineStr">
        <is>
          <t>Target: http://localhost:8080/api/workout_plan, Load Target: 100 VU, Hatch rate 10/s</t>
        </is>
      </c>
      <c r="J12" s="17" t="inlineStr">
        <is>
          <t>Response time p95 &lt; 300ms, error rate 0.0%. for Workout Plan.</t>
        </is>
      </c>
      <c r="K12" s="17" t="inlineStr">
        <is>
          <t>Pending Execution</t>
        </is>
      </c>
      <c r="L12" s="16" t="inlineStr">
        <is>
          <t>Medium</t>
        </is>
      </c>
      <c r="M12" s="16" t="inlineStr">
        <is>
          <t>Moderate</t>
        </is>
      </c>
      <c r="N12" s="18" t="inlineStr">
        <is>
          <t>Not Executed</t>
        </is>
      </c>
      <c r="O12" s="17" t="inlineStr">
        <is>
          <t>evidence/per-lod-011_screenshot.png</t>
        </is>
      </c>
      <c r="P12" s="17" t="inlineStr">
        <is>
          <t>Automated baseline generation</t>
        </is>
      </c>
    </row>
    <row r="13" ht="36" customHeight="1">
      <c r="A13" s="16" t="inlineStr">
        <is>
          <t>PER-LOD-012</t>
        </is>
      </c>
      <c r="B13" s="16" t="inlineStr">
        <is>
          <t>Load and Performance Testing</t>
        </is>
      </c>
      <c r="C13" s="17" t="inlineStr">
        <is>
          <t>Diet Plan</t>
        </is>
      </c>
      <c r="D13" s="17" t="inlineStr">
        <is>
          <t>Load &amp; Performance evaluation of Diet Plan</t>
        </is>
      </c>
      <c r="E13" s="17" t="inlineStr">
        <is>
          <t>Performance - Diet Plan - Verify UI rendering framerate (60 FPS) during rapid scrolling animation (#12)</t>
        </is>
      </c>
      <c r="F13" s="17" t="inlineStr">
        <is>
          <t>Ensure Diet Plan meets strict performance thresholds under load on local test server.</t>
        </is>
      </c>
      <c r="G13" s="17" t="inlineStr">
        <is>
          <t>Local test server active on localhost:8080 / Supabase local Docker stack.</t>
        </is>
      </c>
      <c r="H13" s="17" t="inlineStr">
        <is>
          <t>1. Spin up performance benchmark tools.
2. Target Diet Plan endpoint/component.
3. Scroll list view continuously for 60 seconds while monitoring Flutter Performance overlay.
4. Collect latency/FPS telemetry.</t>
        </is>
      </c>
      <c r="I13" s="17" t="inlineStr">
        <is>
          <t>Target: http://localhost:8080/api/diet_plan, Load Target: 100 list items with images</t>
        </is>
      </c>
      <c r="J13" s="17" t="inlineStr">
        <is>
          <t>Frame rendering stays steady at 60 FPS without jank or dropped frames. for Diet Plan.</t>
        </is>
      </c>
      <c r="K13" s="17" t="inlineStr">
        <is>
          <t>Pending Execution</t>
        </is>
      </c>
      <c r="L13" s="16" t="inlineStr">
        <is>
          <t>High</t>
        </is>
      </c>
      <c r="M13" s="16" t="inlineStr">
        <is>
          <t>Major</t>
        </is>
      </c>
      <c r="N13" s="18" t="inlineStr">
        <is>
          <t>Not Executed</t>
        </is>
      </c>
      <c r="O13" s="17" t="inlineStr">
        <is>
          <t>evidence/per-lod-012_screenshot.png</t>
        </is>
      </c>
      <c r="P13" s="17" t="inlineStr">
        <is>
          <t>Automated baseline generation</t>
        </is>
      </c>
    </row>
    <row r="14" ht="36" customHeight="1">
      <c r="A14" s="16" t="inlineStr">
        <is>
          <t>PER-LOD-013</t>
        </is>
      </c>
      <c r="B14" s="16" t="inlineStr">
        <is>
          <t>Load and Performance Testing</t>
        </is>
      </c>
      <c r="C14" s="17" t="inlineStr">
        <is>
          <t>Budget Diet Plan</t>
        </is>
      </c>
      <c r="D14" s="17" t="inlineStr">
        <is>
          <t>Load &amp; Performance evaluation of Budget Diet Plan</t>
        </is>
      </c>
      <c r="E14" s="17" t="inlineStr">
        <is>
          <t>Performance - Budget Diet Plan - Verify memory consumption stability during prolonged application usage (#13)</t>
        </is>
      </c>
      <c r="F14" s="17" t="inlineStr">
        <is>
          <t>Ensure Budget Diet Plan meets strict performance thresholds under load on local test server.</t>
        </is>
      </c>
      <c r="G14" s="17" t="inlineStr">
        <is>
          <t>Local test server active on localhost:8080 / Supabase local Docker stack.</t>
        </is>
      </c>
      <c r="H14" s="17" t="inlineStr">
        <is>
          <t>1. Spin up performance benchmark tools.
2. Target Budget Diet Plan endpoint/component.
3. Perform continuous navigation transitions across views for 15 minutes.
4. Collect latency/FPS telemetry.</t>
        </is>
      </c>
      <c r="I14" s="17" t="inlineStr">
        <is>
          <t>Target: http://localhost:8080/api/budget_diet_plan, Load Target: Memory Profiler session</t>
        </is>
      </c>
      <c r="J14" s="17" t="inlineStr">
        <is>
          <t>Heap memory remains stable under 180MB without progressive memory leaks. for Budget Diet Plan.</t>
        </is>
      </c>
      <c r="K14" s="17" t="inlineStr">
        <is>
          <t>Pending Execution</t>
        </is>
      </c>
      <c r="L14" s="16" t="inlineStr">
        <is>
          <t>Medium</t>
        </is>
      </c>
      <c r="M14" s="16" t="inlineStr">
        <is>
          <t>Moderate</t>
        </is>
      </c>
      <c r="N14" s="18" t="inlineStr">
        <is>
          <t>Not Executed</t>
        </is>
      </c>
      <c r="O14" s="17" t="inlineStr">
        <is>
          <t>evidence/per-lod-013_screenshot.png</t>
        </is>
      </c>
      <c r="P14" s="17" t="inlineStr">
        <is>
          <t>Automated baseline generation</t>
        </is>
      </c>
    </row>
    <row r="15" ht="36" customHeight="1">
      <c r="A15" s="16" t="inlineStr">
        <is>
          <t>PER-LOD-014</t>
        </is>
      </c>
      <c r="B15" s="16" t="inlineStr">
        <is>
          <t>Load and Performance Testing</t>
        </is>
      </c>
      <c r="C15" s="17" t="inlineStr">
        <is>
          <t>Stretching and Warm-up</t>
        </is>
      </c>
      <c r="D15" s="17" t="inlineStr">
        <is>
          <t>Load &amp; Performance evaluation of Stretching and Warm-up</t>
        </is>
      </c>
      <c r="E15" s="17" t="inlineStr">
        <is>
          <t>Performance - Stretching and Warm-up - Verify database query response latency under bulk data insertion (#14)</t>
        </is>
      </c>
      <c r="F15" s="17" t="inlineStr">
        <is>
          <t>Ensure Stretching and Warm-up meets strict performance thresholds under load on local test server.</t>
        </is>
      </c>
      <c r="G15" s="17" t="inlineStr">
        <is>
          <t>Local test server active on localhost:8080 / Supabase local Docker stack.</t>
        </is>
      </c>
      <c r="H15" s="17" t="inlineStr">
        <is>
          <t>1. Spin up performance benchmark tools.
2. Target Stretching and Warm-up endpoint/component.
3. Insert 500 records concurrently into Supabase table in test sandbox.
4. Collect latency/FPS telemetry.</t>
        </is>
      </c>
      <c r="I15" s="17" t="inlineStr">
        <is>
          <t>Target: http://localhost:8080/api/stretching_and_warm-up, Load Target: 500 mock records</t>
        </is>
      </c>
      <c r="J15" s="17" t="inlineStr">
        <is>
          <t>Total insertion batch time &lt; 1.5 seconds. for Stretching and Warm-up.</t>
        </is>
      </c>
      <c r="K15" s="17" t="inlineStr">
        <is>
          <t>Pending Execution</t>
        </is>
      </c>
      <c r="L15" s="16" t="inlineStr">
        <is>
          <t>Medium</t>
        </is>
      </c>
      <c r="M15" s="16" t="inlineStr">
        <is>
          <t>Moderate</t>
        </is>
      </c>
      <c r="N15" s="18" t="inlineStr">
        <is>
          <t>Not Executed</t>
        </is>
      </c>
      <c r="O15" s="17" t="inlineStr">
        <is>
          <t>evidence/per-lod-014_screenshot.png</t>
        </is>
      </c>
      <c r="P15" s="17" t="inlineStr">
        <is>
          <t>Automated baseline generation</t>
        </is>
      </c>
    </row>
    <row r="16" ht="36" customHeight="1">
      <c r="A16" s="16" t="inlineStr">
        <is>
          <t>PER-LOD-015</t>
        </is>
      </c>
      <c r="B16" s="16" t="inlineStr">
        <is>
          <t>Load and Performance Testing</t>
        </is>
      </c>
      <c r="C16" s="17" t="inlineStr">
        <is>
          <t>Water Tracker</t>
        </is>
      </c>
      <c r="D16" s="17" t="inlineStr">
        <is>
          <t>Load &amp; Performance evaluation of Water Tracker</t>
        </is>
      </c>
      <c r="E16" s="17" t="inlineStr">
        <is>
          <t>Performance - Water Tracker - Verify asset image loading optimization and caching performance (#15)</t>
        </is>
      </c>
      <c r="F16" s="17" t="inlineStr">
        <is>
          <t>Ensure Water Tracker meets strict performance thresholds under load on local test server.</t>
        </is>
      </c>
      <c r="G16" s="17" t="inlineStr">
        <is>
          <t>Local test server active on localhost:8080 / Supabase local Docker stack.</t>
        </is>
      </c>
      <c r="H16" s="17" t="inlineStr">
        <is>
          <t>1. Spin up performance benchmark tools.
2. Target Water Tracker endpoint/component.
3. Load media gallery containing 50 compressed webp assets.
4. Collect latency/FPS telemetry.</t>
        </is>
      </c>
      <c r="I16" s="17" t="inlineStr">
        <is>
          <t>Target: http://localhost:8080/api/water_tracker, Load Target: WebP asset suite</t>
        </is>
      </c>
      <c r="J16" s="17" t="inlineStr">
        <is>
          <t>First contentful paint &lt; 400ms, cached reload &lt; 50ms. for Water Tracker.</t>
        </is>
      </c>
      <c r="K16" s="17" t="inlineStr">
        <is>
          <t>Pending Execution</t>
        </is>
      </c>
      <c r="L16" s="16" t="inlineStr">
        <is>
          <t>High</t>
        </is>
      </c>
      <c r="M16" s="16" t="inlineStr">
        <is>
          <t>Moderate</t>
        </is>
      </c>
      <c r="N16" s="18" t="inlineStr">
        <is>
          <t>Not Executed</t>
        </is>
      </c>
      <c r="O16" s="17" t="inlineStr">
        <is>
          <t>evidence/per-lod-015_screenshot.png</t>
        </is>
      </c>
      <c r="P16" s="17" t="inlineStr">
        <is>
          <t>Automated baseline generation</t>
        </is>
      </c>
    </row>
    <row r="17" ht="36" customHeight="1">
      <c r="A17" s="16" t="inlineStr">
        <is>
          <t>PER-LOD-016</t>
        </is>
      </c>
      <c r="B17" s="16" t="inlineStr">
        <is>
          <t>Load and Performance Testing</t>
        </is>
      </c>
      <c r="C17" s="17" t="inlineStr">
        <is>
          <t>Sleep Tracker</t>
        </is>
      </c>
      <c r="D17" s="17" t="inlineStr">
        <is>
          <t>Load &amp; Performance evaluation of Sleep Tracker</t>
        </is>
      </c>
      <c r="E17" s="17" t="inlineStr">
        <is>
          <t>Performance - Sleep Tracker - Verify REST API endpoint throughput under 100 concurrent virtual users (#16)</t>
        </is>
      </c>
      <c r="F17" s="17" t="inlineStr">
        <is>
          <t>Ensure Sleep Tracker meets strict performance thresholds under load on local test server.</t>
        </is>
      </c>
      <c r="G17" s="17" t="inlineStr">
        <is>
          <t>Local test server active on localhost:8080 / Supabase local Docker stack.</t>
        </is>
      </c>
      <c r="H17" s="17" t="inlineStr">
        <is>
          <t>1. Spin up performance benchmark tools.
2. Target Sleep Tracker endpoint/component.
3. Locust / JMeter load test script executing against localhost test environment.
4. Collect latency/FPS telemetry.</t>
        </is>
      </c>
      <c r="I17" s="17" t="inlineStr">
        <is>
          <t>Target: http://localhost:8080/api/sleep_tracker, Load Target: 100 VU, Hatch rate 10/s</t>
        </is>
      </c>
      <c r="J17" s="17" t="inlineStr">
        <is>
          <t>Response time p95 &lt; 300ms, error rate 0.0%. for Sleep Tracker.</t>
        </is>
      </c>
      <c r="K17" s="17" t="inlineStr">
        <is>
          <t>Pending Execution</t>
        </is>
      </c>
      <c r="L17" s="16" t="inlineStr">
        <is>
          <t>Medium</t>
        </is>
      </c>
      <c r="M17" s="16" t="inlineStr">
        <is>
          <t>Major</t>
        </is>
      </c>
      <c r="N17" s="18" t="inlineStr">
        <is>
          <t>Not Executed</t>
        </is>
      </c>
      <c r="O17" s="17" t="inlineStr">
        <is>
          <t>evidence/per-lod-016_screenshot.png</t>
        </is>
      </c>
      <c r="P17" s="17" t="inlineStr">
        <is>
          <t>Automated baseline generation</t>
        </is>
      </c>
    </row>
    <row r="18" ht="36" customHeight="1">
      <c r="A18" s="16" t="inlineStr">
        <is>
          <t>PER-LOD-017</t>
        </is>
      </c>
      <c r="B18" s="16" t="inlineStr">
        <is>
          <t>Load and Performance Testing</t>
        </is>
      </c>
      <c r="C18" s="17" t="inlineStr">
        <is>
          <t>Step Tracker</t>
        </is>
      </c>
      <c r="D18" s="17" t="inlineStr">
        <is>
          <t>Load &amp; Performance evaluation of Step Tracker</t>
        </is>
      </c>
      <c r="E18" s="17" t="inlineStr">
        <is>
          <t>Performance - Step Tracker - Verify UI rendering framerate (60 FPS) during rapid scrolling animation (#17)</t>
        </is>
      </c>
      <c r="F18" s="17" t="inlineStr">
        <is>
          <t>Ensure Step Tracker meets strict performance thresholds under load on local test server.</t>
        </is>
      </c>
      <c r="G18" s="17" t="inlineStr">
        <is>
          <t>Local test server active on localhost:8080 / Supabase local Docker stack.</t>
        </is>
      </c>
      <c r="H18" s="17" t="inlineStr">
        <is>
          <t>1. Spin up performance benchmark tools.
2. Target Step Tracker endpoint/component.
3. Scroll list view continuously for 60 seconds while monitoring Flutter Performance overlay.
4. Collect latency/FPS telemetry.</t>
        </is>
      </c>
      <c r="I18" s="17" t="inlineStr">
        <is>
          <t>Target: http://localhost:8080/api/step_tracker, Load Target: 100 list items with images</t>
        </is>
      </c>
      <c r="J18" s="17" t="inlineStr">
        <is>
          <t>Frame rendering stays steady at 60 FPS without jank or dropped frames. for Step Tracker.</t>
        </is>
      </c>
      <c r="K18" s="17" t="inlineStr">
        <is>
          <t>Pending Execution</t>
        </is>
      </c>
      <c r="L18" s="16" t="inlineStr">
        <is>
          <t>Medium</t>
        </is>
      </c>
      <c r="M18" s="16" t="inlineStr">
        <is>
          <t>Moderate</t>
        </is>
      </c>
      <c r="N18" s="18" t="inlineStr">
        <is>
          <t>Not Executed</t>
        </is>
      </c>
      <c r="O18" s="17" t="inlineStr">
        <is>
          <t>evidence/per-lod-017_screenshot.png</t>
        </is>
      </c>
      <c r="P18" s="17" t="inlineStr">
        <is>
          <t>Automated baseline generation</t>
        </is>
      </c>
    </row>
    <row r="19" ht="36" customHeight="1">
      <c r="A19" s="16" t="inlineStr">
        <is>
          <t>PER-LOD-018</t>
        </is>
      </c>
      <c r="B19" s="16" t="inlineStr">
        <is>
          <t>Load and Performance Testing</t>
        </is>
      </c>
      <c r="C19" s="17" t="inlineStr">
        <is>
          <t>Calorie Calculator</t>
        </is>
      </c>
      <c r="D19" s="17" t="inlineStr">
        <is>
          <t>Load &amp; Performance evaluation of Calorie Calculator</t>
        </is>
      </c>
      <c r="E19" s="17" t="inlineStr">
        <is>
          <t>Performance - Calorie Calculator - Verify memory consumption stability during prolonged application usage (#18)</t>
        </is>
      </c>
      <c r="F19" s="17" t="inlineStr">
        <is>
          <t>Ensure Calorie Calculator meets strict performance thresholds under load on local test server.</t>
        </is>
      </c>
      <c r="G19" s="17" t="inlineStr">
        <is>
          <t>Local test server active on localhost:8080 / Supabase local Docker stack.</t>
        </is>
      </c>
      <c r="H19" s="17" t="inlineStr">
        <is>
          <t>1. Spin up performance benchmark tools.
2. Target Calorie Calculator endpoint/component.
3. Perform continuous navigation transitions across views for 15 minutes.
4. Collect latency/FPS telemetry.</t>
        </is>
      </c>
      <c r="I19" s="17" t="inlineStr">
        <is>
          <t>Target: http://localhost:8080/api/calorie_calculator, Load Target: Memory Profiler session</t>
        </is>
      </c>
      <c r="J19" s="17" t="inlineStr">
        <is>
          <t>Heap memory remains stable under 180MB without progressive memory leaks. for Calorie Calculator.</t>
        </is>
      </c>
      <c r="K19" s="17" t="inlineStr">
        <is>
          <t>Pending Execution</t>
        </is>
      </c>
      <c r="L19" s="16" t="inlineStr">
        <is>
          <t>High</t>
        </is>
      </c>
      <c r="M19" s="16" t="inlineStr">
        <is>
          <t>Moderate</t>
        </is>
      </c>
      <c r="N19" s="18" t="inlineStr">
        <is>
          <t>Not Executed</t>
        </is>
      </c>
      <c r="O19" s="17" t="inlineStr">
        <is>
          <t>evidence/per-lod-018_screenshot.png</t>
        </is>
      </c>
      <c r="P19" s="17" t="inlineStr">
        <is>
          <t>Automated baseline generation</t>
        </is>
      </c>
    </row>
    <row r="20" ht="36" customHeight="1">
      <c r="A20" s="16" t="inlineStr">
        <is>
          <t>PER-LOD-019</t>
        </is>
      </c>
      <c r="B20" s="16" t="inlineStr">
        <is>
          <t>Load and Performance Testing</t>
        </is>
      </c>
      <c r="C20" s="17" t="inlineStr">
        <is>
          <t>Meal Reminder</t>
        </is>
      </c>
      <c r="D20" s="17" t="inlineStr">
        <is>
          <t>Load &amp; Performance evaluation of Meal Reminder</t>
        </is>
      </c>
      <c r="E20" s="17" t="inlineStr">
        <is>
          <t>Performance - Meal Reminder - Verify database query response latency under bulk data insertion (#19)</t>
        </is>
      </c>
      <c r="F20" s="17" t="inlineStr">
        <is>
          <t>Ensure Meal Reminder meets strict performance thresholds under load on local test server.</t>
        </is>
      </c>
      <c r="G20" s="17" t="inlineStr">
        <is>
          <t>Local test server active on localhost:8080 / Supabase local Docker stack.</t>
        </is>
      </c>
      <c r="H20" s="17" t="inlineStr">
        <is>
          <t>1. Spin up performance benchmark tools.
2. Target Meal Reminder endpoint/component.
3. Insert 500 records concurrently into Supabase table in test sandbox.
4. Collect latency/FPS telemetry.</t>
        </is>
      </c>
      <c r="I20" s="17" t="inlineStr">
        <is>
          <t>Target: http://localhost:8080/api/meal_reminder, Load Target: 500 mock records</t>
        </is>
      </c>
      <c r="J20" s="17" t="inlineStr">
        <is>
          <t>Total insertion batch time &lt; 1.5 seconds. for Meal Reminder.</t>
        </is>
      </c>
      <c r="K20" s="17" t="inlineStr">
        <is>
          <t>Pending Execution</t>
        </is>
      </c>
      <c r="L20" s="16" t="inlineStr">
        <is>
          <t>Medium</t>
        </is>
      </c>
      <c r="M20" s="16" t="inlineStr">
        <is>
          <t>Moderate</t>
        </is>
      </c>
      <c r="N20" s="18" t="inlineStr">
        <is>
          <t>Not Executed</t>
        </is>
      </c>
      <c r="O20" s="17" t="inlineStr">
        <is>
          <t>evidence/per-lod-019_screenshot.png</t>
        </is>
      </c>
      <c r="P20" s="17" t="inlineStr">
        <is>
          <t>Automated baseline generation</t>
        </is>
      </c>
    </row>
    <row r="21" ht="36" customHeight="1">
      <c r="A21" s="16" t="inlineStr">
        <is>
          <t>PER-LOD-020</t>
        </is>
      </c>
      <c r="B21" s="16" t="inlineStr">
        <is>
          <t>Load and Performance Testing</t>
        </is>
      </c>
      <c r="C21" s="17" t="inlineStr">
        <is>
          <t>Notifications</t>
        </is>
      </c>
      <c r="D21" s="17" t="inlineStr">
        <is>
          <t>Load &amp; Performance evaluation of Notifications</t>
        </is>
      </c>
      <c r="E21" s="17" t="inlineStr">
        <is>
          <t>Performance - Notifications - Verify asset image loading optimization and caching performance (#20)</t>
        </is>
      </c>
      <c r="F21" s="17" t="inlineStr">
        <is>
          <t>Ensure Notifications meets strict performance thresholds under load on local test server.</t>
        </is>
      </c>
      <c r="G21" s="17" t="inlineStr">
        <is>
          <t>Local test server active on localhost:8080 / Supabase local Docker stack.</t>
        </is>
      </c>
      <c r="H21" s="17" t="inlineStr">
        <is>
          <t>1. Spin up performance benchmark tools.
2. Target Notifications endpoint/component.
3. Load media gallery containing 50 compressed webp assets.
4. Collect latency/FPS telemetry.</t>
        </is>
      </c>
      <c r="I21" s="17" t="inlineStr">
        <is>
          <t>Target: http://localhost:8080/api/notifications, Load Target: WebP asset suite</t>
        </is>
      </c>
      <c r="J21" s="17" t="inlineStr">
        <is>
          <t>First contentful paint &lt; 400ms, cached reload &lt; 50ms. for Notifications.</t>
        </is>
      </c>
      <c r="K21" s="17" t="inlineStr">
        <is>
          <t>Pending Execution</t>
        </is>
      </c>
      <c r="L21" s="16" t="inlineStr">
        <is>
          <t>Medium</t>
        </is>
      </c>
      <c r="M21" s="16" t="inlineStr">
        <is>
          <t>Major</t>
        </is>
      </c>
      <c r="N21" s="18" t="inlineStr">
        <is>
          <t>Not Executed</t>
        </is>
      </c>
      <c r="O21" s="17" t="inlineStr">
        <is>
          <t>evidence/per-lod-020_screenshot.png</t>
        </is>
      </c>
      <c r="P21" s="17" t="inlineStr">
        <is>
          <t>Automated baseline generation</t>
        </is>
      </c>
    </row>
    <row r="22" ht="36" customHeight="1">
      <c r="A22" s="16" t="inlineStr">
        <is>
          <t>PER-LOD-021</t>
        </is>
      </c>
      <c r="B22" s="16" t="inlineStr">
        <is>
          <t>Load and Performance Testing</t>
        </is>
      </c>
      <c r="C22" s="17" t="inlineStr">
        <is>
          <t>Shop</t>
        </is>
      </c>
      <c r="D22" s="17" t="inlineStr">
        <is>
          <t>Load &amp; Performance evaluation of Shop</t>
        </is>
      </c>
      <c r="E22" s="17" t="inlineStr">
        <is>
          <t>Performance - Shop - Verify REST API endpoint throughput under 100 concurrent virtual users (#21)</t>
        </is>
      </c>
      <c r="F22" s="17" t="inlineStr">
        <is>
          <t>Ensure Shop meets strict performance thresholds under load on local test server.</t>
        </is>
      </c>
      <c r="G22" s="17" t="inlineStr">
        <is>
          <t>Local test server active on localhost:8080 / Supabase local Docker stack.</t>
        </is>
      </c>
      <c r="H22" s="17" t="inlineStr">
        <is>
          <t>1. Spin up performance benchmark tools.
2. Target Shop endpoint/component.
3. Locust / JMeter load test script executing against localhost test environment.
4. Collect latency/FPS telemetry.</t>
        </is>
      </c>
      <c r="I22" s="17" t="inlineStr">
        <is>
          <t>Target: http://localhost:8080/api/shop, Load Target: 100 VU, Hatch rate 10/s</t>
        </is>
      </c>
      <c r="J22" s="17" t="inlineStr">
        <is>
          <t>Response time p95 &lt; 300ms, error rate 0.0%. for Shop.</t>
        </is>
      </c>
      <c r="K22" s="17" t="inlineStr">
        <is>
          <t>Pending Execution</t>
        </is>
      </c>
      <c r="L22" s="16" t="inlineStr">
        <is>
          <t>High</t>
        </is>
      </c>
      <c r="M22" s="16" t="inlineStr">
        <is>
          <t>Moderate</t>
        </is>
      </c>
      <c r="N22" s="18" t="inlineStr">
        <is>
          <t>Not Executed</t>
        </is>
      </c>
      <c r="O22" s="17" t="inlineStr">
        <is>
          <t>evidence/per-lod-021_screenshot.png</t>
        </is>
      </c>
      <c r="P22" s="17" t="inlineStr">
        <is>
          <t>Automated baseline generation</t>
        </is>
      </c>
    </row>
    <row r="23" ht="36" customHeight="1">
      <c r="A23" s="16" t="inlineStr">
        <is>
          <t>PER-LOD-022</t>
        </is>
      </c>
      <c r="B23" s="16" t="inlineStr">
        <is>
          <t>Load and Performance Testing</t>
        </is>
      </c>
      <c r="C23" s="17" t="inlineStr">
        <is>
          <t>Product Search and Filters</t>
        </is>
      </c>
      <c r="D23" s="17" t="inlineStr">
        <is>
          <t>Load &amp; Performance evaluation of Product Search and Filters</t>
        </is>
      </c>
      <c r="E23" s="17" t="inlineStr">
        <is>
          <t>Performance - Product Search and Filters - Verify UI rendering framerate (60 FPS) during rapid scrolling animation (#22)</t>
        </is>
      </c>
      <c r="F23" s="17" t="inlineStr">
        <is>
          <t>Ensure Product Search and Filters meets strict performance thresholds under load on local test server.</t>
        </is>
      </c>
      <c r="G23" s="17" t="inlineStr">
        <is>
          <t>Local test server active on localhost:8080 / Supabase local Docker stack.</t>
        </is>
      </c>
      <c r="H23" s="17" t="inlineStr">
        <is>
          <t>1. Spin up performance benchmark tools.
2. Target Product Search and Filters endpoint/component.
3. Scroll list view continuously for 60 seconds while monitoring Flutter Performance overlay.
4. Collect latency/FPS telemetry.</t>
        </is>
      </c>
      <c r="I23" s="17" t="inlineStr">
        <is>
          <t>Target: http://localhost:8080/api/product_search_and_filters, Load Target: 100 list items with images</t>
        </is>
      </c>
      <c r="J23" s="17" t="inlineStr">
        <is>
          <t>Frame rendering stays steady at 60 FPS without jank or dropped frames. for Product Search and Filters.</t>
        </is>
      </c>
      <c r="K23" s="17" t="inlineStr">
        <is>
          <t>Pending Execution</t>
        </is>
      </c>
      <c r="L23" s="16" t="inlineStr">
        <is>
          <t>Medium</t>
        </is>
      </c>
      <c r="M23" s="16" t="inlineStr">
        <is>
          <t>Moderate</t>
        </is>
      </c>
      <c r="N23" s="18" t="inlineStr">
        <is>
          <t>Not Executed</t>
        </is>
      </c>
      <c r="O23" s="17" t="inlineStr">
        <is>
          <t>evidence/per-lod-022_screenshot.png</t>
        </is>
      </c>
      <c r="P23" s="17" t="inlineStr">
        <is>
          <t>Automated baseline generation</t>
        </is>
      </c>
    </row>
    <row r="24" ht="36" customHeight="1">
      <c r="A24" s="16" t="inlineStr">
        <is>
          <t>PER-LOD-023</t>
        </is>
      </c>
      <c r="B24" s="16" t="inlineStr">
        <is>
          <t>Load and Performance Testing</t>
        </is>
      </c>
      <c r="C24" s="17" t="inlineStr">
        <is>
          <t>Product Details</t>
        </is>
      </c>
      <c r="D24" s="17" t="inlineStr">
        <is>
          <t>Load &amp; Performance evaluation of Product Details</t>
        </is>
      </c>
      <c r="E24" s="17" t="inlineStr">
        <is>
          <t>Performance - Product Details - Verify memory consumption stability during prolonged application usage (#23)</t>
        </is>
      </c>
      <c r="F24" s="17" t="inlineStr">
        <is>
          <t>Ensure Product Details meets strict performance thresholds under load on local test server.</t>
        </is>
      </c>
      <c r="G24" s="17" t="inlineStr">
        <is>
          <t>Local test server active on localhost:8080 / Supabase local Docker stack.</t>
        </is>
      </c>
      <c r="H24" s="17" t="inlineStr">
        <is>
          <t>1. Spin up performance benchmark tools.
2. Target Product Details endpoint/component.
3. Perform continuous navigation transitions across views for 15 minutes.
4. Collect latency/FPS telemetry.</t>
        </is>
      </c>
      <c r="I24" s="17" t="inlineStr">
        <is>
          <t>Target: http://localhost:8080/api/product_details, Load Target: Memory Profiler session</t>
        </is>
      </c>
      <c r="J24" s="17" t="inlineStr">
        <is>
          <t>Heap memory remains stable under 180MB without progressive memory leaks. for Product Details.</t>
        </is>
      </c>
      <c r="K24" s="17" t="inlineStr">
        <is>
          <t>Pending Execution</t>
        </is>
      </c>
      <c r="L24" s="16" t="inlineStr">
        <is>
          <t>Medium</t>
        </is>
      </c>
      <c r="M24" s="16" t="inlineStr">
        <is>
          <t>Moderate</t>
        </is>
      </c>
      <c r="N24" s="18" t="inlineStr">
        <is>
          <t>Not Executed</t>
        </is>
      </c>
      <c r="O24" s="17" t="inlineStr">
        <is>
          <t>evidence/per-lod-023_screenshot.png</t>
        </is>
      </c>
      <c r="P24" s="17" t="inlineStr">
        <is>
          <t>Automated baseline generation</t>
        </is>
      </c>
    </row>
    <row r="25" ht="36" customHeight="1">
      <c r="A25" s="16" t="inlineStr">
        <is>
          <t>PER-LOD-024</t>
        </is>
      </c>
      <c r="B25" s="16" t="inlineStr">
        <is>
          <t>Load and Performance Testing</t>
        </is>
      </c>
      <c r="C25" s="17" t="inlineStr">
        <is>
          <t>Wishlist</t>
        </is>
      </c>
      <c r="D25" s="17" t="inlineStr">
        <is>
          <t>Load &amp; Performance evaluation of Wishlist</t>
        </is>
      </c>
      <c r="E25" s="17" t="inlineStr">
        <is>
          <t>Performance - Wishlist - Verify database query response latency under bulk data insertion (#24)</t>
        </is>
      </c>
      <c r="F25" s="17" t="inlineStr">
        <is>
          <t>Ensure Wishlist meets strict performance thresholds under load on local test server.</t>
        </is>
      </c>
      <c r="G25" s="17" t="inlineStr">
        <is>
          <t>Local test server active on localhost:8080 / Supabase local Docker stack.</t>
        </is>
      </c>
      <c r="H25" s="17" t="inlineStr">
        <is>
          <t>1. Spin up performance benchmark tools.
2. Target Wishlist endpoint/component.
3. Insert 500 records concurrently into Supabase table in test sandbox.
4. Collect latency/FPS telemetry.</t>
        </is>
      </c>
      <c r="I25" s="17" t="inlineStr">
        <is>
          <t>Target: http://localhost:8080/api/wishlist, Load Target: 500 mock records</t>
        </is>
      </c>
      <c r="J25" s="17" t="inlineStr">
        <is>
          <t>Total insertion batch time &lt; 1.5 seconds. for Wishlist.</t>
        </is>
      </c>
      <c r="K25" s="17" t="inlineStr">
        <is>
          <t>Pending Execution</t>
        </is>
      </c>
      <c r="L25" s="16" t="inlineStr">
        <is>
          <t>High</t>
        </is>
      </c>
      <c r="M25" s="16" t="inlineStr">
        <is>
          <t>Major</t>
        </is>
      </c>
      <c r="N25" s="18" t="inlineStr">
        <is>
          <t>Not Executed</t>
        </is>
      </c>
      <c r="O25" s="17" t="inlineStr">
        <is>
          <t>evidence/per-lod-024_screenshot.png</t>
        </is>
      </c>
      <c r="P25" s="17" t="inlineStr">
        <is>
          <t>Automated baseline generation</t>
        </is>
      </c>
    </row>
    <row r="26" ht="36" customHeight="1">
      <c r="A26" s="16" t="inlineStr">
        <is>
          <t>PER-LOD-025</t>
        </is>
      </c>
      <c r="B26" s="16" t="inlineStr">
        <is>
          <t>Load and Performance Testing</t>
        </is>
      </c>
      <c r="C26" s="17" t="inlineStr">
        <is>
          <t>Cart</t>
        </is>
      </c>
      <c r="D26" s="17" t="inlineStr">
        <is>
          <t>Load &amp; Performance evaluation of Cart</t>
        </is>
      </c>
      <c r="E26" s="17" t="inlineStr">
        <is>
          <t>Performance - Cart - Verify asset image loading optimization and caching performance (#25)</t>
        </is>
      </c>
      <c r="F26" s="17" t="inlineStr">
        <is>
          <t>Ensure Cart meets strict performance thresholds under load on local test server.</t>
        </is>
      </c>
      <c r="G26" s="17" t="inlineStr">
        <is>
          <t>Local test server active on localhost:8080 / Supabase local Docker stack.</t>
        </is>
      </c>
      <c r="H26" s="17" t="inlineStr">
        <is>
          <t>1. Spin up performance benchmark tools.
2. Target Cart endpoint/component.
3. Load media gallery containing 50 compressed webp assets.
4. Collect latency/FPS telemetry.</t>
        </is>
      </c>
      <c r="I26" s="17" t="inlineStr">
        <is>
          <t>Target: http://localhost:8080/api/cart, Load Target: WebP asset suite</t>
        </is>
      </c>
      <c r="J26" s="17" t="inlineStr">
        <is>
          <t>First contentful paint &lt; 400ms, cached reload &lt; 50ms. for Cart.</t>
        </is>
      </c>
      <c r="K26" s="17" t="inlineStr">
        <is>
          <t>Pending Execution</t>
        </is>
      </c>
      <c r="L26" s="16" t="inlineStr">
        <is>
          <t>Medium</t>
        </is>
      </c>
      <c r="M26" s="16" t="inlineStr">
        <is>
          <t>Moderate</t>
        </is>
      </c>
      <c r="N26" s="18" t="inlineStr">
        <is>
          <t>Not Executed</t>
        </is>
      </c>
      <c r="O26" s="17" t="inlineStr">
        <is>
          <t>evidence/per-lod-025_screenshot.png</t>
        </is>
      </c>
      <c r="P26" s="17" t="inlineStr">
        <is>
          <t>Automated baseline generation</t>
        </is>
      </c>
    </row>
    <row r="27" ht="36" customHeight="1">
      <c r="A27" s="16" t="inlineStr">
        <is>
          <t>PER-LOD-026</t>
        </is>
      </c>
      <c r="B27" s="16" t="inlineStr">
        <is>
          <t>Load and Performance Testing</t>
        </is>
      </c>
      <c r="C27" s="17" t="inlineStr">
        <is>
          <t>Checkout</t>
        </is>
      </c>
      <c r="D27" s="17" t="inlineStr">
        <is>
          <t>Load &amp; Performance evaluation of Checkout</t>
        </is>
      </c>
      <c r="E27" s="17" t="inlineStr">
        <is>
          <t>Performance - Checkout - Verify REST API endpoint throughput under 100 concurrent virtual users (#26)</t>
        </is>
      </c>
      <c r="F27" s="17" t="inlineStr">
        <is>
          <t>Ensure Checkout meets strict performance thresholds under load on local test server.</t>
        </is>
      </c>
      <c r="G27" s="17" t="inlineStr">
        <is>
          <t>Local test server active on localhost:8080 / Supabase local Docker stack.</t>
        </is>
      </c>
      <c r="H27" s="17" t="inlineStr">
        <is>
          <t>1. Spin up performance benchmark tools.
2. Target Checkout endpoint/component.
3. Locust / JMeter load test script executing against localhost test environment.
4. Collect latency/FPS telemetry.</t>
        </is>
      </c>
      <c r="I27" s="17" t="inlineStr">
        <is>
          <t>Target: http://localhost:8080/api/checkout, Load Target: 100 VU, Hatch rate 10/s</t>
        </is>
      </c>
      <c r="J27" s="17" t="inlineStr">
        <is>
          <t>Response time p95 &lt; 300ms, error rate 0.0%. for Checkout.</t>
        </is>
      </c>
      <c r="K27" s="17" t="inlineStr">
        <is>
          <t>Pending Execution</t>
        </is>
      </c>
      <c r="L27" s="16" t="inlineStr">
        <is>
          <t>Medium</t>
        </is>
      </c>
      <c r="M27" s="16" t="inlineStr">
        <is>
          <t>Moderate</t>
        </is>
      </c>
      <c r="N27" s="18" t="inlineStr">
        <is>
          <t>Not Executed</t>
        </is>
      </c>
      <c r="O27" s="17" t="inlineStr">
        <is>
          <t>evidence/per-lod-026_screenshot.png</t>
        </is>
      </c>
      <c r="P27" s="17" t="inlineStr">
        <is>
          <t>Automated baseline generation</t>
        </is>
      </c>
    </row>
    <row r="28" ht="36" customHeight="1">
      <c r="A28" s="16" t="inlineStr">
        <is>
          <t>PER-LOD-027</t>
        </is>
      </c>
      <c r="B28" s="16" t="inlineStr">
        <is>
          <t>Load and Performance Testing</t>
        </is>
      </c>
      <c r="C28" s="17" t="inlineStr">
        <is>
          <t>Address Management</t>
        </is>
      </c>
      <c r="D28" s="17" t="inlineStr">
        <is>
          <t>Load &amp; Performance evaluation of Address Management</t>
        </is>
      </c>
      <c r="E28" s="17" t="inlineStr">
        <is>
          <t>Performance - Address Management - Verify UI rendering framerate (60 FPS) during rapid scrolling animation (#27)</t>
        </is>
      </c>
      <c r="F28" s="17" t="inlineStr">
        <is>
          <t>Ensure Address Management meets strict performance thresholds under load on local test server.</t>
        </is>
      </c>
      <c r="G28" s="17" t="inlineStr">
        <is>
          <t>Local test server active on localhost:8080 / Supabase local Docker stack.</t>
        </is>
      </c>
      <c r="H28" s="17" t="inlineStr">
        <is>
          <t>1. Spin up performance benchmark tools.
2. Target Address Management endpoint/component.
3. Scroll list view continuously for 60 seconds while monitoring Flutter Performance overlay.
4. Collect latency/FPS telemetry.</t>
        </is>
      </c>
      <c r="I28" s="17" t="inlineStr">
        <is>
          <t>Target: http://localhost:8080/api/address_management, Load Target: 100 list items with images</t>
        </is>
      </c>
      <c r="J28" s="17" t="inlineStr">
        <is>
          <t>Frame rendering stays steady at 60 FPS without jank or dropped frames. for Address Management.</t>
        </is>
      </c>
      <c r="K28" s="17" t="inlineStr">
        <is>
          <t>Pending Execution</t>
        </is>
      </c>
      <c r="L28" s="16" t="inlineStr">
        <is>
          <t>High</t>
        </is>
      </c>
      <c r="M28" s="16" t="inlineStr">
        <is>
          <t>Moderate</t>
        </is>
      </c>
      <c r="N28" s="18" t="inlineStr">
        <is>
          <t>Not Executed</t>
        </is>
      </c>
      <c r="O28" s="17" t="inlineStr">
        <is>
          <t>evidence/per-lod-027_screenshot.png</t>
        </is>
      </c>
      <c r="P28" s="17" t="inlineStr">
        <is>
          <t>Automated baseline generation</t>
        </is>
      </c>
    </row>
    <row r="29" ht="36" customHeight="1">
      <c r="A29" s="16" t="inlineStr">
        <is>
          <t>PER-LOD-028</t>
        </is>
      </c>
      <c r="B29" s="16" t="inlineStr">
        <is>
          <t>Load and Performance Testing</t>
        </is>
      </c>
      <c r="C29" s="17" t="inlineStr">
        <is>
          <t>Payment Method</t>
        </is>
      </c>
      <c r="D29" s="17" t="inlineStr">
        <is>
          <t>Load &amp; Performance evaluation of Payment Method</t>
        </is>
      </c>
      <c r="E29" s="17" t="inlineStr">
        <is>
          <t>Performance - Payment Method - Verify memory consumption stability during prolonged application usage (#28)</t>
        </is>
      </c>
      <c r="F29" s="17" t="inlineStr">
        <is>
          <t>Ensure Payment Method meets strict performance thresholds under load on local test server.</t>
        </is>
      </c>
      <c r="G29" s="17" t="inlineStr">
        <is>
          <t>Local test server active on localhost:8080 / Supabase local Docker stack.</t>
        </is>
      </c>
      <c r="H29" s="17" t="inlineStr">
        <is>
          <t>1. Spin up performance benchmark tools.
2. Target Payment Method endpoint/component.
3. Perform continuous navigation transitions across views for 15 minutes.
4. Collect latency/FPS telemetry.</t>
        </is>
      </c>
      <c r="I29" s="17" t="inlineStr">
        <is>
          <t>Target: http://localhost:8080/api/payment_method, Load Target: Memory Profiler session</t>
        </is>
      </c>
      <c r="J29" s="17" t="inlineStr">
        <is>
          <t>Heap memory remains stable under 180MB without progressive memory leaks. for Payment Method.</t>
        </is>
      </c>
      <c r="K29" s="17" t="inlineStr">
        <is>
          <t>Pending Execution</t>
        </is>
      </c>
      <c r="L29" s="16" t="inlineStr">
        <is>
          <t>Medium</t>
        </is>
      </c>
      <c r="M29" s="16" t="inlineStr">
        <is>
          <t>Major</t>
        </is>
      </c>
      <c r="N29" s="18" t="inlineStr">
        <is>
          <t>Not Executed</t>
        </is>
      </c>
      <c r="O29" s="17" t="inlineStr">
        <is>
          <t>evidence/per-lod-028_screenshot.png</t>
        </is>
      </c>
      <c r="P29" s="17" t="inlineStr">
        <is>
          <t>Automated baseline generation</t>
        </is>
      </c>
    </row>
    <row r="30" ht="36" customHeight="1">
      <c r="A30" s="16" t="inlineStr">
        <is>
          <t>PER-LOD-029</t>
        </is>
      </c>
      <c r="B30" s="16" t="inlineStr">
        <is>
          <t>Load and Performance Testing</t>
        </is>
      </c>
      <c r="C30" s="17" t="inlineStr">
        <is>
          <t>Place Order</t>
        </is>
      </c>
      <c r="D30" s="17" t="inlineStr">
        <is>
          <t>Load &amp; Performance evaluation of Place Order</t>
        </is>
      </c>
      <c r="E30" s="17" t="inlineStr">
        <is>
          <t>Performance - Place Order - Verify database query response latency under bulk data insertion (#29)</t>
        </is>
      </c>
      <c r="F30" s="17" t="inlineStr">
        <is>
          <t>Ensure Place Order meets strict performance thresholds under load on local test server.</t>
        </is>
      </c>
      <c r="G30" s="17" t="inlineStr">
        <is>
          <t>Local test server active on localhost:8080 / Supabase local Docker stack.</t>
        </is>
      </c>
      <c r="H30" s="17" t="inlineStr">
        <is>
          <t>1. Spin up performance benchmark tools.
2. Target Place Order endpoint/component.
3. Insert 500 records concurrently into Supabase table in test sandbox.
4. Collect latency/FPS telemetry.</t>
        </is>
      </c>
      <c r="I30" s="17" t="inlineStr">
        <is>
          <t>Target: http://localhost:8080/api/place_order, Load Target: 500 mock records</t>
        </is>
      </c>
      <c r="J30" s="17" t="inlineStr">
        <is>
          <t>Total insertion batch time &lt; 1.5 seconds. for Place Order.</t>
        </is>
      </c>
      <c r="K30" s="17" t="inlineStr">
        <is>
          <t>Pending Execution</t>
        </is>
      </c>
      <c r="L30" s="16" t="inlineStr">
        <is>
          <t>Medium</t>
        </is>
      </c>
      <c r="M30" s="16" t="inlineStr">
        <is>
          <t>Moderate</t>
        </is>
      </c>
      <c r="N30" s="18" t="inlineStr">
        <is>
          <t>Not Executed</t>
        </is>
      </c>
      <c r="O30" s="17" t="inlineStr">
        <is>
          <t>evidence/per-lod-029_screenshot.png</t>
        </is>
      </c>
      <c r="P30" s="17" t="inlineStr">
        <is>
          <t>Automated baseline generation</t>
        </is>
      </c>
    </row>
    <row r="31" ht="36" customHeight="1">
      <c r="A31" s="16" t="inlineStr">
        <is>
          <t>PER-LOD-030</t>
        </is>
      </c>
      <c r="B31" s="16" t="inlineStr">
        <is>
          <t>Load and Performance Testing</t>
        </is>
      </c>
      <c r="C31" s="17" t="inlineStr">
        <is>
          <t>My Orders</t>
        </is>
      </c>
      <c r="D31" s="17" t="inlineStr">
        <is>
          <t>Load &amp; Performance evaluation of My Orders</t>
        </is>
      </c>
      <c r="E31" s="17" t="inlineStr">
        <is>
          <t>Performance - My Orders - Verify asset image loading optimization and caching performance (#30)</t>
        </is>
      </c>
      <c r="F31" s="17" t="inlineStr">
        <is>
          <t>Ensure My Orders meets strict performance thresholds under load on local test server.</t>
        </is>
      </c>
      <c r="G31" s="17" t="inlineStr">
        <is>
          <t>Local test server active on localhost:8080 / Supabase local Docker stack.</t>
        </is>
      </c>
      <c r="H31" s="17" t="inlineStr">
        <is>
          <t>1. Spin up performance benchmark tools.
2. Target My Orders endpoint/component.
3. Load media gallery containing 50 compressed webp assets.
4. Collect latency/FPS telemetry.</t>
        </is>
      </c>
      <c r="I31" s="17" t="inlineStr">
        <is>
          <t>Target: http://localhost:8080/api/my_orders, Load Target: WebP asset suite</t>
        </is>
      </c>
      <c r="J31" s="17" t="inlineStr">
        <is>
          <t>First contentful paint &lt; 400ms, cached reload &lt; 50ms. for My Orders.</t>
        </is>
      </c>
      <c r="K31" s="17" t="inlineStr">
        <is>
          <t>Pending Execution</t>
        </is>
      </c>
      <c r="L31" s="16" t="inlineStr">
        <is>
          <t>High</t>
        </is>
      </c>
      <c r="M31" s="16" t="inlineStr">
        <is>
          <t>Moderate</t>
        </is>
      </c>
      <c r="N31" s="18" t="inlineStr">
        <is>
          <t>Not Executed</t>
        </is>
      </c>
      <c r="O31" s="17" t="inlineStr">
        <is>
          <t>evidence/per-lod-030_screenshot.png</t>
        </is>
      </c>
      <c r="P31" s="17" t="inlineStr">
        <is>
          <t>Automated baseline generation</t>
        </is>
      </c>
    </row>
  </sheetData>
  <autoFilter ref="A1:P3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20" customWidth="1" min="3" max="3"/>
    <col width="30" customWidth="1" min="4" max="4"/>
    <col width="35" customWidth="1" min="5" max="5"/>
    <col width="35" customWidth="1" min="6" max="6"/>
    <col width="30" customWidth="1" min="7" max="7"/>
    <col width="45" customWidth="1" min="8" max="8"/>
    <col width="25" customWidth="1" min="9" max="9"/>
    <col width="35" customWidth="1" min="10" max="10"/>
    <col width="20" customWidth="1" min="11" max="11"/>
    <col width="12" customWidth="1" min="12" max="12"/>
    <col width="12" customWidth="1" min="13" max="13"/>
    <col width="15" customWidth="1" min="14" max="14"/>
    <col width="25" customWidth="1" min="15" max="15"/>
    <col width="25" customWidth="1" min="16" max="16"/>
  </cols>
  <sheetData>
    <row r="1" ht="28" customHeight="1">
      <c r="A1" s="15" t="inlineStr">
        <is>
          <t>Test Case ID</t>
        </is>
      </c>
      <c r="B1" s="15" t="inlineStr">
        <is>
          <t>Testing Type</t>
        </is>
      </c>
      <c r="C1" s="15" t="inlineStr">
        <is>
          <t>Module</t>
        </is>
      </c>
      <c r="D1" s="15" t="inlineStr">
        <is>
          <t>Test Scenario</t>
        </is>
      </c>
      <c r="E1" s="15" t="inlineStr">
        <is>
          <t>Test Case Title</t>
        </is>
      </c>
      <c r="F1" s="15" t="inlineStr">
        <is>
          <t>Objective</t>
        </is>
      </c>
      <c r="G1" s="15" t="inlineStr">
        <is>
          <t>Preconditions</t>
        </is>
      </c>
      <c r="H1" s="15" t="inlineStr">
        <is>
          <t>Test Steps</t>
        </is>
      </c>
      <c r="I1" s="15" t="inlineStr">
        <is>
          <t>Test Data</t>
        </is>
      </c>
      <c r="J1" s="15" t="inlineStr">
        <is>
          <t>Expected Result</t>
        </is>
      </c>
      <c r="K1" s="15" t="inlineStr">
        <is>
          <t>Actual Result</t>
        </is>
      </c>
      <c r="L1" s="15" t="inlineStr">
        <is>
          <t>Priority</t>
        </is>
      </c>
      <c r="M1" s="15" t="inlineStr">
        <is>
          <t>Severity</t>
        </is>
      </c>
      <c r="N1" s="15" t="inlineStr">
        <is>
          <t>Status</t>
        </is>
      </c>
      <c r="O1" s="15" t="inlineStr">
        <is>
          <t>Evidence Path</t>
        </is>
      </c>
      <c r="P1" s="15" t="inlineStr">
        <is>
          <t>Remarks</t>
        </is>
      </c>
    </row>
    <row r="2" ht="36" customHeight="1">
      <c r="A2" s="16" t="inlineStr">
        <is>
          <t>SEC-VUL-001</t>
        </is>
      </c>
      <c r="B2" s="16" t="inlineStr">
        <is>
          <t>Safe Vulnerability and Configuration Checks</t>
        </is>
      </c>
      <c r="C2" s="17" t="inlineStr">
        <is>
          <t>Splash</t>
        </is>
      </c>
      <c r="D2" s="17" t="inlineStr">
        <is>
          <t>Safe configuration &amp; security audit for Splash</t>
        </is>
      </c>
      <c r="E2" s="17" t="inlineStr">
        <is>
          <t>Security Check - Splash - Verify environment variable isolation and absence of hardcoded secrets (#1)</t>
        </is>
      </c>
      <c r="F2" s="17" t="inlineStr">
        <is>
          <t>Verify OWASP compliance and safe configuration posture for Splash without external scanning.</t>
        </is>
      </c>
      <c r="G2" s="17" t="inlineStr">
        <is>
          <t>Static analysis tool ready, test environment sandbox active locally.</t>
        </is>
      </c>
      <c r="H2" s="17" t="inlineStr">
        <is>
          <t>1. Audit Splash implementation configuration.
2. Scan repository codebase and build artifacts for plain-text API keys, DB passwords, or credentials.
3. Validate zero security vulnerabilities.</t>
        </is>
      </c>
      <c r="I2" s="17" t="inlineStr">
        <is>
          <t>Audit Scope: Splash, Method: Safe passive check / Static analysis</t>
        </is>
      </c>
      <c r="J2" s="17" t="inlineStr">
        <is>
          <t>Zero sensitive credentials found hardcoded in source files or client assets. for Splash.</t>
        </is>
      </c>
      <c r="K2" s="17" t="inlineStr">
        <is>
          <t>Pending Execution</t>
        </is>
      </c>
      <c r="L2" s="16" t="inlineStr">
        <is>
          <t>High</t>
        </is>
      </c>
      <c r="M2" s="16" t="inlineStr">
        <is>
          <t>Major</t>
        </is>
      </c>
      <c r="N2" s="18" t="inlineStr">
        <is>
          <t>Not Executed</t>
        </is>
      </c>
      <c r="O2" s="17" t="inlineStr">
        <is>
          <t>evidence/sec-vul-001_screenshot.png</t>
        </is>
      </c>
      <c r="P2" s="17" t="inlineStr">
        <is>
          <t>Automated baseline generation</t>
        </is>
      </c>
    </row>
    <row r="3" ht="36" customHeight="1">
      <c r="A3" s="16" t="inlineStr">
        <is>
          <t>SEC-VUL-002</t>
        </is>
      </c>
      <c r="B3" s="16" t="inlineStr">
        <is>
          <t>Safe Vulnerability and Configuration Checks</t>
        </is>
      </c>
      <c r="C3" s="17" t="inlineStr">
        <is>
          <t>Login</t>
        </is>
      </c>
      <c r="D3" s="17" t="inlineStr">
        <is>
          <t>Safe configuration &amp; security audit for Login</t>
        </is>
      </c>
      <c r="E3" s="17" t="inlineStr">
        <is>
          <t>Security Check - Login - Verify Row Level Security (RLS) enforcement on Supabase tables (#2)</t>
        </is>
      </c>
      <c r="F3" s="17" t="inlineStr">
        <is>
          <t>Verify OWASP compliance and safe configuration posture for Login without external scanning.</t>
        </is>
      </c>
      <c r="G3" s="17" t="inlineStr">
        <is>
          <t>Static analysis tool ready, test environment sandbox active locally.</t>
        </is>
      </c>
      <c r="H3" s="17" t="inlineStr">
        <is>
          <t>1. Audit Login implementation configuration.
2. Attempt SELECT/UPDATE query on private user records using secondary user JWT auth token.
3. Validate zero security vulnerabilities.</t>
        </is>
      </c>
      <c r="I3" s="17" t="inlineStr">
        <is>
          <t>Audit Scope: Login, Method: Safe passive check / Static analysis</t>
        </is>
      </c>
      <c r="J3" s="17" t="inlineStr">
        <is>
          <t>Query returns 0 records or permission error; access strictly isolated by user_id. for Login.</t>
        </is>
      </c>
      <c r="K3" s="17" t="inlineStr">
        <is>
          <t>Pending Execution</t>
        </is>
      </c>
      <c r="L3" s="16" t="inlineStr">
        <is>
          <t>High</t>
        </is>
      </c>
      <c r="M3" s="16" t="inlineStr">
        <is>
          <t>Critical</t>
        </is>
      </c>
      <c r="N3" s="18" t="inlineStr">
        <is>
          <t>Not Executed</t>
        </is>
      </c>
      <c r="O3" s="17" t="inlineStr">
        <is>
          <t>evidence/sec-vul-002_screenshot.png</t>
        </is>
      </c>
      <c r="P3" s="17" t="inlineStr">
        <is>
          <t>Automated baseline generation</t>
        </is>
      </c>
    </row>
    <row r="4" ht="36" customHeight="1">
      <c r="A4" s="16" t="inlineStr">
        <is>
          <t>SEC-VUL-003</t>
        </is>
      </c>
      <c r="B4" s="16" t="inlineStr">
        <is>
          <t>Safe Vulnerability and Configuration Checks</t>
        </is>
      </c>
      <c r="C4" s="17" t="inlineStr">
        <is>
          <t>Signup</t>
        </is>
      </c>
      <c r="D4" s="17" t="inlineStr">
        <is>
          <t>Safe configuration &amp; security audit for Signup</t>
        </is>
      </c>
      <c r="E4" s="17" t="inlineStr">
        <is>
          <t>Security Check - Signup - Verify HTTPS/TLS communication enforcement for all remote API calls (#3)</t>
        </is>
      </c>
      <c r="F4" s="17" t="inlineStr">
        <is>
          <t>Verify OWASP compliance and safe configuration posture for Signup without external scanning.</t>
        </is>
      </c>
      <c r="G4" s="17" t="inlineStr">
        <is>
          <t>Static analysis tool ready, test environment sandbox active locally.</t>
        </is>
      </c>
      <c r="H4" s="17" t="inlineStr">
        <is>
          <t>1. Audit Signup implementation configuration.
2. Audit network requests originating from client application.
3. Validate zero security vulnerabilities.</t>
        </is>
      </c>
      <c r="I4" s="17" t="inlineStr">
        <is>
          <t>Audit Scope: Signup, Method: Safe passive check / Static analysis</t>
        </is>
      </c>
      <c r="J4" s="17" t="inlineStr">
        <is>
          <t>All outbound connections enforce TLS 1.3/1.2; insecure HTTP rejected. for Signup.</t>
        </is>
      </c>
      <c r="K4" s="17" t="inlineStr">
        <is>
          <t>Pending Execution</t>
        </is>
      </c>
      <c r="L4" s="16" t="inlineStr">
        <is>
          <t>High</t>
        </is>
      </c>
      <c r="M4" s="16" t="inlineStr">
        <is>
          <t>Major</t>
        </is>
      </c>
      <c r="N4" s="18" t="inlineStr">
        <is>
          <t>Not Executed</t>
        </is>
      </c>
      <c r="O4" s="17" t="inlineStr">
        <is>
          <t>evidence/sec-vul-003_screenshot.png</t>
        </is>
      </c>
      <c r="P4" s="17" t="inlineStr">
        <is>
          <t>Automated baseline generation</t>
        </is>
      </c>
    </row>
    <row r="5" ht="36" customHeight="1">
      <c r="A5" s="16" t="inlineStr">
        <is>
          <t>SEC-VUL-004</t>
        </is>
      </c>
      <c r="B5" s="16" t="inlineStr">
        <is>
          <t>Safe Vulnerability and Configuration Checks</t>
        </is>
      </c>
      <c r="C5" s="17" t="inlineStr">
        <is>
          <t>Forgot Password</t>
        </is>
      </c>
      <c r="D5" s="17" t="inlineStr">
        <is>
          <t>Safe configuration &amp; security audit for Forgot Password</t>
        </is>
      </c>
      <c r="E5" s="17" t="inlineStr">
        <is>
          <t>Security Check - Forgot Password - Verify SQL Injection sanitization in search filter input fields (#4)</t>
        </is>
      </c>
      <c r="F5" s="17" t="inlineStr">
        <is>
          <t>Verify OWASP compliance and safe configuration posture for Forgot Password without external scanning.</t>
        </is>
      </c>
      <c r="G5" s="17" t="inlineStr">
        <is>
          <t>Static analysis tool ready, test environment sandbox active locally.</t>
        </is>
      </c>
      <c r="H5" s="17" t="inlineStr">
        <is>
          <t>1. Audit Forgot Password implementation configuration.
2. Submit payload `' OR '1'='1` in search inputs across screens.
3. Validate zero security vulnerabilities.</t>
        </is>
      </c>
      <c r="I5" s="17" t="inlineStr">
        <is>
          <t>Audit Scope: Forgot Password, Method: Safe passive check / Static analysis</t>
        </is>
      </c>
      <c r="J5" s="17" t="inlineStr">
        <is>
          <t>Input sanitized properly; no SQL syntax error or unauthorized data disclosure. for Forgot Password.</t>
        </is>
      </c>
      <c r="K5" s="17" t="inlineStr">
        <is>
          <t>Pending Execution</t>
        </is>
      </c>
      <c r="L5" s="16" t="inlineStr">
        <is>
          <t>High</t>
        </is>
      </c>
      <c r="M5" s="16" t="inlineStr">
        <is>
          <t>Critical</t>
        </is>
      </c>
      <c r="N5" s="18" t="inlineStr">
        <is>
          <t>Not Executed</t>
        </is>
      </c>
      <c r="O5" s="17" t="inlineStr">
        <is>
          <t>evidence/sec-vul-004_screenshot.png</t>
        </is>
      </c>
      <c r="P5" s="17" t="inlineStr">
        <is>
          <t>Automated baseline generation</t>
        </is>
      </c>
    </row>
    <row r="6" ht="36" customHeight="1">
      <c r="A6" s="16" t="inlineStr">
        <is>
          <t>SEC-VUL-005</t>
        </is>
      </c>
      <c r="B6" s="16" t="inlineStr">
        <is>
          <t>Safe Vulnerability and Configuration Checks</t>
        </is>
      </c>
      <c r="C6" s="17" t="inlineStr">
        <is>
          <t>Email Verification</t>
        </is>
      </c>
      <c r="D6" s="17" t="inlineStr">
        <is>
          <t>Safe configuration &amp; security audit for Email Verification</t>
        </is>
      </c>
      <c r="E6" s="17" t="inlineStr">
        <is>
          <t>Security Check - Email Verification - Verify XSS (Cross-Site Scripting) prevention in user input fields (#5)</t>
        </is>
      </c>
      <c r="F6" s="17" t="inlineStr">
        <is>
          <t>Verify OWASP compliance and safe configuration posture for Email Verification without external scanning.</t>
        </is>
      </c>
      <c r="G6" s="17" t="inlineStr">
        <is>
          <t>Static analysis tool ready, test environment sandbox active locally.</t>
        </is>
      </c>
      <c r="H6" s="17" t="inlineStr">
        <is>
          <t>1. Audit Email Verification implementation configuration.
2. Submit payload `&lt;script&gt;alert('xss')&lt;/script&gt;` in user text input fields.
3. Validate zero security vulnerabilities.</t>
        </is>
      </c>
      <c r="I6" s="17" t="inlineStr">
        <is>
          <t>Audit Scope: Email Verification, Method: Safe passive check / Static analysis</t>
        </is>
      </c>
      <c r="J6" s="17" t="inlineStr">
        <is>
          <t>Input escaped safely as literal string; script tag not executed in DOM context. for Email Verification.</t>
        </is>
      </c>
      <c r="K6" s="17" t="inlineStr">
        <is>
          <t>Pending Execution</t>
        </is>
      </c>
      <c r="L6" s="16" t="inlineStr">
        <is>
          <t>High</t>
        </is>
      </c>
      <c r="M6" s="16" t="inlineStr">
        <is>
          <t>Major</t>
        </is>
      </c>
      <c r="N6" s="18" t="inlineStr">
        <is>
          <t>Not Executed</t>
        </is>
      </c>
      <c r="O6" s="17" t="inlineStr">
        <is>
          <t>evidence/sec-vul-005_screenshot.png</t>
        </is>
      </c>
      <c r="P6" s="17" t="inlineStr">
        <is>
          <t>Automated baseline generation</t>
        </is>
      </c>
    </row>
    <row r="7" ht="36" customHeight="1">
      <c r="A7" s="16" t="inlineStr">
        <is>
          <t>SEC-VUL-006</t>
        </is>
      </c>
      <c r="B7" s="16" t="inlineStr">
        <is>
          <t>Safe Vulnerability and Configuration Checks</t>
        </is>
      </c>
      <c r="C7" s="17" t="inlineStr">
        <is>
          <t>Onboarding</t>
        </is>
      </c>
      <c r="D7" s="17" t="inlineStr">
        <is>
          <t>Safe configuration &amp; security audit for Onboarding</t>
        </is>
      </c>
      <c r="E7" s="17" t="inlineStr">
        <is>
          <t>Security Check - Onboarding - Verify environment variable isolation and absence of hardcoded secrets (#6)</t>
        </is>
      </c>
      <c r="F7" s="17" t="inlineStr">
        <is>
          <t>Verify OWASP compliance and safe configuration posture for Onboarding without external scanning.</t>
        </is>
      </c>
      <c r="G7" s="17" t="inlineStr">
        <is>
          <t>Static analysis tool ready, test environment sandbox active locally.</t>
        </is>
      </c>
      <c r="H7" s="17" t="inlineStr">
        <is>
          <t>1. Audit Onboarding implementation configuration.
2. Scan repository codebase and build artifacts for plain-text API keys, DB passwords, or credentials.
3. Validate zero security vulnerabilities.</t>
        </is>
      </c>
      <c r="I7" s="17" t="inlineStr">
        <is>
          <t>Audit Scope: Onboarding, Method: Safe passive check / Static analysis</t>
        </is>
      </c>
      <c r="J7" s="17" t="inlineStr">
        <is>
          <t>Zero sensitive credentials found hardcoded in source files or client assets. for Onboarding.</t>
        </is>
      </c>
      <c r="K7" s="17" t="inlineStr">
        <is>
          <t>Pending Execution</t>
        </is>
      </c>
      <c r="L7" s="16" t="inlineStr">
        <is>
          <t>High</t>
        </is>
      </c>
      <c r="M7" s="16" t="inlineStr">
        <is>
          <t>Critical</t>
        </is>
      </c>
      <c r="N7" s="18" t="inlineStr">
        <is>
          <t>Not Executed</t>
        </is>
      </c>
      <c r="O7" s="17" t="inlineStr">
        <is>
          <t>evidence/sec-vul-006_screenshot.png</t>
        </is>
      </c>
      <c r="P7" s="17" t="inlineStr">
        <is>
          <t>Automated baseline generation</t>
        </is>
      </c>
    </row>
    <row r="8" ht="36" customHeight="1">
      <c r="A8" s="16" t="inlineStr">
        <is>
          <t>SEC-VUL-007</t>
        </is>
      </c>
      <c r="B8" s="16" t="inlineStr">
        <is>
          <t>Safe Vulnerability and Configuration Checks</t>
        </is>
      </c>
      <c r="C8" s="17" t="inlineStr">
        <is>
          <t>Dashboard</t>
        </is>
      </c>
      <c r="D8" s="17" t="inlineStr">
        <is>
          <t>Safe configuration &amp; security audit for Dashboard</t>
        </is>
      </c>
      <c r="E8" s="17" t="inlineStr">
        <is>
          <t>Security Check - Dashboard - Verify Row Level Security (RLS) enforcement on Supabase tables (#7)</t>
        </is>
      </c>
      <c r="F8" s="17" t="inlineStr">
        <is>
          <t>Verify OWASP compliance and safe configuration posture for Dashboard without external scanning.</t>
        </is>
      </c>
      <c r="G8" s="17" t="inlineStr">
        <is>
          <t>Static analysis tool ready, test environment sandbox active locally.</t>
        </is>
      </c>
      <c r="H8" s="17" t="inlineStr">
        <is>
          <t>1. Audit Dashboard implementation configuration.
2. Attempt SELECT/UPDATE query on private user records using secondary user JWT auth token.
3. Validate zero security vulnerabilities.</t>
        </is>
      </c>
      <c r="I8" s="17" t="inlineStr">
        <is>
          <t>Audit Scope: Dashboard, Method: Safe passive check / Static analysis</t>
        </is>
      </c>
      <c r="J8" s="17" t="inlineStr">
        <is>
          <t>Query returns 0 records or permission error; access strictly isolated by user_id. for Dashboard.</t>
        </is>
      </c>
      <c r="K8" s="17" t="inlineStr">
        <is>
          <t>Pending Execution</t>
        </is>
      </c>
      <c r="L8" s="16" t="inlineStr">
        <is>
          <t>High</t>
        </is>
      </c>
      <c r="M8" s="16" t="inlineStr">
        <is>
          <t>Major</t>
        </is>
      </c>
      <c r="N8" s="18" t="inlineStr">
        <is>
          <t>Not Executed</t>
        </is>
      </c>
      <c r="O8" s="17" t="inlineStr">
        <is>
          <t>evidence/sec-vul-007_screenshot.png</t>
        </is>
      </c>
      <c r="P8" s="17" t="inlineStr">
        <is>
          <t>Automated baseline generation</t>
        </is>
      </c>
    </row>
    <row r="9" ht="36" customHeight="1">
      <c r="A9" s="16" t="inlineStr">
        <is>
          <t>SEC-VUL-008</t>
        </is>
      </c>
      <c r="B9" s="16" t="inlineStr">
        <is>
          <t>Safe Vulnerability and Configuration Checks</t>
        </is>
      </c>
      <c r="C9" s="17" t="inlineStr">
        <is>
          <t>Profile</t>
        </is>
      </c>
      <c r="D9" s="17" t="inlineStr">
        <is>
          <t>Safe configuration &amp; security audit for Profile</t>
        </is>
      </c>
      <c r="E9" s="17" t="inlineStr">
        <is>
          <t>Security Check - Profile - Verify HTTPS/TLS communication enforcement for all remote API calls (#8)</t>
        </is>
      </c>
      <c r="F9" s="17" t="inlineStr">
        <is>
          <t>Verify OWASP compliance and safe configuration posture for Profile without external scanning.</t>
        </is>
      </c>
      <c r="G9" s="17" t="inlineStr">
        <is>
          <t>Static analysis tool ready, test environment sandbox active locally.</t>
        </is>
      </c>
      <c r="H9" s="17" t="inlineStr">
        <is>
          <t>1. Audit Profile implementation configuration.
2. Audit network requests originating from client application.
3. Validate zero security vulnerabilities.</t>
        </is>
      </c>
      <c r="I9" s="17" t="inlineStr">
        <is>
          <t>Audit Scope: Profile, Method: Safe passive check / Static analysis</t>
        </is>
      </c>
      <c r="J9" s="17" t="inlineStr">
        <is>
          <t>All outbound connections enforce TLS 1.3/1.2; insecure HTTP rejected. for Profile.</t>
        </is>
      </c>
      <c r="K9" s="17" t="inlineStr">
        <is>
          <t>Pending Execution</t>
        </is>
      </c>
      <c r="L9" s="16" t="inlineStr">
        <is>
          <t>High</t>
        </is>
      </c>
      <c r="M9" s="16" t="inlineStr">
        <is>
          <t>Critical</t>
        </is>
      </c>
      <c r="N9" s="18" t="inlineStr">
        <is>
          <t>Not Executed</t>
        </is>
      </c>
      <c r="O9" s="17" t="inlineStr">
        <is>
          <t>evidence/sec-vul-008_screenshot.png</t>
        </is>
      </c>
      <c r="P9" s="17" t="inlineStr">
        <is>
          <t>Automated baseline generation</t>
        </is>
      </c>
    </row>
    <row r="10" ht="36" customHeight="1">
      <c r="A10" s="16" t="inlineStr">
        <is>
          <t>SEC-VUL-009</t>
        </is>
      </c>
      <c r="B10" s="16" t="inlineStr">
        <is>
          <t>Safe Vulnerability and Configuration Checks</t>
        </is>
      </c>
      <c r="C10" s="17" t="inlineStr">
        <is>
          <t>Language Settings</t>
        </is>
      </c>
      <c r="D10" s="17" t="inlineStr">
        <is>
          <t>Safe configuration &amp; security audit for Language Settings</t>
        </is>
      </c>
      <c r="E10" s="17" t="inlineStr">
        <is>
          <t>Security Check - Language Settings - Verify SQL Injection sanitization in search filter input fields (#9)</t>
        </is>
      </c>
      <c r="F10" s="17" t="inlineStr">
        <is>
          <t>Verify OWASP compliance and safe configuration posture for Language Settings without external scanning.</t>
        </is>
      </c>
      <c r="G10" s="17" t="inlineStr">
        <is>
          <t>Static analysis tool ready, test environment sandbox active locally.</t>
        </is>
      </c>
      <c r="H10" s="17" t="inlineStr">
        <is>
          <t>1. Audit Language Settings implementation configuration.
2. Submit payload `' OR '1'='1` in search inputs across screens.
3. Validate zero security vulnerabilities.</t>
        </is>
      </c>
      <c r="I10" s="17" t="inlineStr">
        <is>
          <t>Audit Scope: Language Settings, Method: Safe passive check / Static analysis</t>
        </is>
      </c>
      <c r="J10" s="17" t="inlineStr">
        <is>
          <t>Input sanitized properly; no SQL syntax error or unauthorized data disclosure. for Language Settings.</t>
        </is>
      </c>
      <c r="K10" s="17" t="inlineStr">
        <is>
          <t>Pending Execution</t>
        </is>
      </c>
      <c r="L10" s="16" t="inlineStr">
        <is>
          <t>High</t>
        </is>
      </c>
      <c r="M10" s="16" t="inlineStr">
        <is>
          <t>Major</t>
        </is>
      </c>
      <c r="N10" s="18" t="inlineStr">
        <is>
          <t>Not Executed</t>
        </is>
      </c>
      <c r="O10" s="17" t="inlineStr">
        <is>
          <t>evidence/sec-vul-009_screenshot.png</t>
        </is>
      </c>
      <c r="P10" s="17" t="inlineStr">
        <is>
          <t>Automated baseline generation</t>
        </is>
      </c>
    </row>
    <row r="11" ht="36" customHeight="1">
      <c r="A11" s="16" t="inlineStr">
        <is>
          <t>SEC-VUL-010</t>
        </is>
      </c>
      <c r="B11" s="16" t="inlineStr">
        <is>
          <t>Safe Vulnerability and Configuration Checks</t>
        </is>
      </c>
      <c r="C11" s="17" t="inlineStr">
        <is>
          <t>AI Trainer</t>
        </is>
      </c>
      <c r="D11" s="17" t="inlineStr">
        <is>
          <t>Safe configuration &amp; security audit for AI Trainer</t>
        </is>
      </c>
      <c r="E11" s="17" t="inlineStr">
        <is>
          <t>Security Check - AI Trainer - Verify XSS (Cross-Site Scripting) prevention in user input fields (#10)</t>
        </is>
      </c>
      <c r="F11" s="17" t="inlineStr">
        <is>
          <t>Verify OWASP compliance and safe configuration posture for AI Trainer without external scanning.</t>
        </is>
      </c>
      <c r="G11" s="17" t="inlineStr">
        <is>
          <t>Static analysis tool ready, test environment sandbox active locally.</t>
        </is>
      </c>
      <c r="H11" s="17" t="inlineStr">
        <is>
          <t>1. Audit AI Trainer implementation configuration.
2. Submit payload `&lt;script&gt;alert('xss')&lt;/script&gt;` in user text input fields.
3. Validate zero security vulnerabilities.</t>
        </is>
      </c>
      <c r="I11" s="17" t="inlineStr">
        <is>
          <t>Audit Scope: AI Trainer, Method: Safe passive check / Static analysis</t>
        </is>
      </c>
      <c r="J11" s="17" t="inlineStr">
        <is>
          <t>Input escaped safely as literal string; script tag not executed in DOM context. for AI Trainer.</t>
        </is>
      </c>
      <c r="K11" s="17" t="inlineStr">
        <is>
          <t>Pending Execution</t>
        </is>
      </c>
      <c r="L11" s="16" t="inlineStr">
        <is>
          <t>High</t>
        </is>
      </c>
      <c r="M11" s="16" t="inlineStr">
        <is>
          <t>Critical</t>
        </is>
      </c>
      <c r="N11" s="18" t="inlineStr">
        <is>
          <t>Not Executed</t>
        </is>
      </c>
      <c r="O11" s="17" t="inlineStr">
        <is>
          <t>evidence/sec-vul-010_screenshot.png</t>
        </is>
      </c>
      <c r="P11" s="17" t="inlineStr">
        <is>
          <t>Automated baseline generation</t>
        </is>
      </c>
    </row>
    <row r="12" ht="36" customHeight="1">
      <c r="A12" s="16" t="inlineStr">
        <is>
          <t>SEC-VUL-011</t>
        </is>
      </c>
      <c r="B12" s="16" t="inlineStr">
        <is>
          <t>Safe Vulnerability and Configuration Checks</t>
        </is>
      </c>
      <c r="C12" s="17" t="inlineStr">
        <is>
          <t>Workout Plan</t>
        </is>
      </c>
      <c r="D12" s="17" t="inlineStr">
        <is>
          <t>Safe configuration &amp; security audit for Workout Plan</t>
        </is>
      </c>
      <c r="E12" s="17" t="inlineStr">
        <is>
          <t>Security Check - Workout Plan - Verify environment variable isolation and absence of hardcoded secrets (#11)</t>
        </is>
      </c>
      <c r="F12" s="17" t="inlineStr">
        <is>
          <t>Verify OWASP compliance and safe configuration posture for Workout Plan without external scanning.</t>
        </is>
      </c>
      <c r="G12" s="17" t="inlineStr">
        <is>
          <t>Static analysis tool ready, test environment sandbox active locally.</t>
        </is>
      </c>
      <c r="H12" s="17" t="inlineStr">
        <is>
          <t>1. Audit Workout Plan implementation configuration.
2. Scan repository codebase and build artifacts for plain-text API keys, DB passwords, or credentials.
3. Validate zero security vulnerabilities.</t>
        </is>
      </c>
      <c r="I12" s="17" t="inlineStr">
        <is>
          <t>Audit Scope: Workout Plan, Method: Safe passive check / Static analysis</t>
        </is>
      </c>
      <c r="J12" s="17" t="inlineStr">
        <is>
          <t>Zero sensitive credentials found hardcoded in source files or client assets. for Workout Plan.</t>
        </is>
      </c>
      <c r="K12" s="17" t="inlineStr">
        <is>
          <t>Pending Execution</t>
        </is>
      </c>
      <c r="L12" s="16" t="inlineStr">
        <is>
          <t>High</t>
        </is>
      </c>
      <c r="M12" s="16" t="inlineStr">
        <is>
          <t>Major</t>
        </is>
      </c>
      <c r="N12" s="18" t="inlineStr">
        <is>
          <t>Not Executed</t>
        </is>
      </c>
      <c r="O12" s="17" t="inlineStr">
        <is>
          <t>evidence/sec-vul-011_screenshot.png</t>
        </is>
      </c>
      <c r="P12" s="17" t="inlineStr">
        <is>
          <t>Automated baseline generation</t>
        </is>
      </c>
    </row>
    <row r="13" ht="36" customHeight="1">
      <c r="A13" s="16" t="inlineStr">
        <is>
          <t>SEC-VUL-012</t>
        </is>
      </c>
      <c r="B13" s="16" t="inlineStr">
        <is>
          <t>Safe Vulnerability and Configuration Checks</t>
        </is>
      </c>
      <c r="C13" s="17" t="inlineStr">
        <is>
          <t>Diet Plan</t>
        </is>
      </c>
      <c r="D13" s="17" t="inlineStr">
        <is>
          <t>Safe configuration &amp; security audit for Diet Plan</t>
        </is>
      </c>
      <c r="E13" s="17" t="inlineStr">
        <is>
          <t>Security Check - Diet Plan - Verify Row Level Security (RLS) enforcement on Supabase tables (#12)</t>
        </is>
      </c>
      <c r="F13" s="17" t="inlineStr">
        <is>
          <t>Verify OWASP compliance and safe configuration posture for Diet Plan without external scanning.</t>
        </is>
      </c>
      <c r="G13" s="17" t="inlineStr">
        <is>
          <t>Static analysis tool ready, test environment sandbox active locally.</t>
        </is>
      </c>
      <c r="H13" s="17" t="inlineStr">
        <is>
          <t>1. Audit Diet Plan implementation configuration.
2. Attempt SELECT/UPDATE query on private user records using secondary user JWT auth token.
3. Validate zero security vulnerabilities.</t>
        </is>
      </c>
      <c r="I13" s="17" t="inlineStr">
        <is>
          <t>Audit Scope: Diet Plan, Method: Safe passive check / Static analysis</t>
        </is>
      </c>
      <c r="J13" s="17" t="inlineStr">
        <is>
          <t>Query returns 0 records or permission error; access strictly isolated by user_id. for Diet Plan.</t>
        </is>
      </c>
      <c r="K13" s="17" t="inlineStr">
        <is>
          <t>Pending Execution</t>
        </is>
      </c>
      <c r="L13" s="16" t="inlineStr">
        <is>
          <t>High</t>
        </is>
      </c>
      <c r="M13" s="16" t="inlineStr">
        <is>
          <t>Critical</t>
        </is>
      </c>
      <c r="N13" s="18" t="inlineStr">
        <is>
          <t>Not Executed</t>
        </is>
      </c>
      <c r="O13" s="17" t="inlineStr">
        <is>
          <t>evidence/sec-vul-012_screenshot.png</t>
        </is>
      </c>
      <c r="P13" s="17" t="inlineStr">
        <is>
          <t>Automated baseline generation</t>
        </is>
      </c>
    </row>
    <row r="14" ht="36" customHeight="1">
      <c r="A14" s="16" t="inlineStr">
        <is>
          <t>SEC-VUL-013</t>
        </is>
      </c>
      <c r="B14" s="16" t="inlineStr">
        <is>
          <t>Safe Vulnerability and Configuration Checks</t>
        </is>
      </c>
      <c r="C14" s="17" t="inlineStr">
        <is>
          <t>Budget Diet Plan</t>
        </is>
      </c>
      <c r="D14" s="17" t="inlineStr">
        <is>
          <t>Safe configuration &amp; security audit for Budget Diet Plan</t>
        </is>
      </c>
      <c r="E14" s="17" t="inlineStr">
        <is>
          <t>Security Check - Budget Diet Plan - Verify HTTPS/TLS communication enforcement for all remote API calls (#13)</t>
        </is>
      </c>
      <c r="F14" s="17" t="inlineStr">
        <is>
          <t>Verify OWASP compliance and safe configuration posture for Budget Diet Plan without external scanning.</t>
        </is>
      </c>
      <c r="G14" s="17" t="inlineStr">
        <is>
          <t>Static analysis tool ready, test environment sandbox active locally.</t>
        </is>
      </c>
      <c r="H14" s="17" t="inlineStr">
        <is>
          <t>1. Audit Budget Diet Plan implementation configuration.
2. Audit network requests originating from client application.
3. Validate zero security vulnerabilities.</t>
        </is>
      </c>
      <c r="I14" s="17" t="inlineStr">
        <is>
          <t>Audit Scope: Budget Diet Plan, Method: Safe passive check / Static analysis</t>
        </is>
      </c>
      <c r="J14" s="17" t="inlineStr">
        <is>
          <t>All outbound connections enforce TLS 1.3/1.2; insecure HTTP rejected. for Budget Diet Plan.</t>
        </is>
      </c>
      <c r="K14" s="17" t="inlineStr">
        <is>
          <t>Pending Execution</t>
        </is>
      </c>
      <c r="L14" s="16" t="inlineStr">
        <is>
          <t>High</t>
        </is>
      </c>
      <c r="M14" s="16" t="inlineStr">
        <is>
          <t>Major</t>
        </is>
      </c>
      <c r="N14" s="18" t="inlineStr">
        <is>
          <t>Not Executed</t>
        </is>
      </c>
      <c r="O14" s="17" t="inlineStr">
        <is>
          <t>evidence/sec-vul-013_screenshot.png</t>
        </is>
      </c>
      <c r="P14" s="17" t="inlineStr">
        <is>
          <t>Automated baseline generation</t>
        </is>
      </c>
    </row>
    <row r="15" ht="36" customHeight="1">
      <c r="A15" s="16" t="inlineStr">
        <is>
          <t>SEC-VUL-014</t>
        </is>
      </c>
      <c r="B15" s="16" t="inlineStr">
        <is>
          <t>Safe Vulnerability and Configuration Checks</t>
        </is>
      </c>
      <c r="C15" s="17" t="inlineStr">
        <is>
          <t>Stretching and Warm-up</t>
        </is>
      </c>
      <c r="D15" s="17" t="inlineStr">
        <is>
          <t>Safe configuration &amp; security audit for Stretching and Warm-up</t>
        </is>
      </c>
      <c r="E15" s="17" t="inlineStr">
        <is>
          <t>Security Check - Stretching and Warm-up - Verify SQL Injection sanitization in search filter input fields (#14)</t>
        </is>
      </c>
      <c r="F15" s="17" t="inlineStr">
        <is>
          <t>Verify OWASP compliance and safe configuration posture for Stretching and Warm-up without external scanning.</t>
        </is>
      </c>
      <c r="G15" s="17" t="inlineStr">
        <is>
          <t>Static analysis tool ready, test environment sandbox active locally.</t>
        </is>
      </c>
      <c r="H15" s="17" t="inlineStr">
        <is>
          <t>1. Audit Stretching and Warm-up implementation configuration.
2. Submit payload `' OR '1'='1` in search inputs across screens.
3. Validate zero security vulnerabilities.</t>
        </is>
      </c>
      <c r="I15" s="17" t="inlineStr">
        <is>
          <t>Audit Scope: Stretching and Warm-up, Method: Safe passive check / Static analysis</t>
        </is>
      </c>
      <c r="J15" s="17" t="inlineStr">
        <is>
          <t>Input sanitized properly; no SQL syntax error or unauthorized data disclosure. for Stretching and Warm-up.</t>
        </is>
      </c>
      <c r="K15" s="17" t="inlineStr">
        <is>
          <t>Pending Execution</t>
        </is>
      </c>
      <c r="L15" s="16" t="inlineStr">
        <is>
          <t>High</t>
        </is>
      </c>
      <c r="M15" s="16" t="inlineStr">
        <is>
          <t>Critical</t>
        </is>
      </c>
      <c r="N15" s="18" t="inlineStr">
        <is>
          <t>Not Executed</t>
        </is>
      </c>
      <c r="O15" s="17" t="inlineStr">
        <is>
          <t>evidence/sec-vul-014_screenshot.png</t>
        </is>
      </c>
      <c r="P15" s="17" t="inlineStr">
        <is>
          <t>Automated baseline generation</t>
        </is>
      </c>
    </row>
    <row r="16" ht="36" customHeight="1">
      <c r="A16" s="16" t="inlineStr">
        <is>
          <t>SEC-VUL-015</t>
        </is>
      </c>
      <c r="B16" s="16" t="inlineStr">
        <is>
          <t>Safe Vulnerability and Configuration Checks</t>
        </is>
      </c>
      <c r="C16" s="17" t="inlineStr">
        <is>
          <t>Water Tracker</t>
        </is>
      </c>
      <c r="D16" s="17" t="inlineStr">
        <is>
          <t>Safe configuration &amp; security audit for Water Tracker</t>
        </is>
      </c>
      <c r="E16" s="17" t="inlineStr">
        <is>
          <t>Security Check - Water Tracker - Verify XSS (Cross-Site Scripting) prevention in user input fields (#15)</t>
        </is>
      </c>
      <c r="F16" s="17" t="inlineStr">
        <is>
          <t>Verify OWASP compliance and safe configuration posture for Water Tracker without external scanning.</t>
        </is>
      </c>
      <c r="G16" s="17" t="inlineStr">
        <is>
          <t>Static analysis tool ready, test environment sandbox active locally.</t>
        </is>
      </c>
      <c r="H16" s="17" t="inlineStr">
        <is>
          <t>1. Audit Water Tracker implementation configuration.
2. Submit payload `&lt;script&gt;alert('xss')&lt;/script&gt;` in user text input fields.
3. Validate zero security vulnerabilities.</t>
        </is>
      </c>
      <c r="I16" s="17" t="inlineStr">
        <is>
          <t>Audit Scope: Water Tracker, Method: Safe passive check / Static analysis</t>
        </is>
      </c>
      <c r="J16" s="17" t="inlineStr">
        <is>
          <t>Input escaped safely as literal string; script tag not executed in DOM context. for Water Tracker.</t>
        </is>
      </c>
      <c r="K16" s="17" t="inlineStr">
        <is>
          <t>Pending Execution</t>
        </is>
      </c>
      <c r="L16" s="16" t="inlineStr">
        <is>
          <t>High</t>
        </is>
      </c>
      <c r="M16" s="16" t="inlineStr">
        <is>
          <t>Major</t>
        </is>
      </c>
      <c r="N16" s="18" t="inlineStr">
        <is>
          <t>Not Executed</t>
        </is>
      </c>
      <c r="O16" s="17" t="inlineStr">
        <is>
          <t>evidence/sec-vul-015_screenshot.png</t>
        </is>
      </c>
      <c r="P16" s="17" t="inlineStr">
        <is>
          <t>Automated baseline generation</t>
        </is>
      </c>
    </row>
    <row r="17" ht="36" customHeight="1">
      <c r="A17" s="16" t="inlineStr">
        <is>
          <t>SEC-VUL-016</t>
        </is>
      </c>
      <c r="B17" s="16" t="inlineStr">
        <is>
          <t>Safe Vulnerability and Configuration Checks</t>
        </is>
      </c>
      <c r="C17" s="17" t="inlineStr">
        <is>
          <t>Sleep Tracker</t>
        </is>
      </c>
      <c r="D17" s="17" t="inlineStr">
        <is>
          <t>Safe configuration &amp; security audit for Sleep Tracker</t>
        </is>
      </c>
      <c r="E17" s="17" t="inlineStr">
        <is>
          <t>Security Check - Sleep Tracker - Verify environment variable isolation and absence of hardcoded secrets (#16)</t>
        </is>
      </c>
      <c r="F17" s="17" t="inlineStr">
        <is>
          <t>Verify OWASP compliance and safe configuration posture for Sleep Tracker without external scanning.</t>
        </is>
      </c>
      <c r="G17" s="17" t="inlineStr">
        <is>
          <t>Static analysis tool ready, test environment sandbox active locally.</t>
        </is>
      </c>
      <c r="H17" s="17" t="inlineStr">
        <is>
          <t>1. Audit Sleep Tracker implementation configuration.
2. Scan repository codebase and build artifacts for plain-text API keys, DB passwords, or credentials.
3. Validate zero security vulnerabilities.</t>
        </is>
      </c>
      <c r="I17" s="17" t="inlineStr">
        <is>
          <t>Audit Scope: Sleep Tracker, Method: Safe passive check / Static analysis</t>
        </is>
      </c>
      <c r="J17" s="17" t="inlineStr">
        <is>
          <t>Zero sensitive credentials found hardcoded in source files or client assets. for Sleep Tracker.</t>
        </is>
      </c>
      <c r="K17" s="17" t="inlineStr">
        <is>
          <t>Pending Execution</t>
        </is>
      </c>
      <c r="L17" s="16" t="inlineStr">
        <is>
          <t>High</t>
        </is>
      </c>
      <c r="M17" s="16" t="inlineStr">
        <is>
          <t>Critical</t>
        </is>
      </c>
      <c r="N17" s="18" t="inlineStr">
        <is>
          <t>Not Executed</t>
        </is>
      </c>
      <c r="O17" s="17" t="inlineStr">
        <is>
          <t>evidence/sec-vul-016_screenshot.png</t>
        </is>
      </c>
      <c r="P17" s="17" t="inlineStr">
        <is>
          <t>Automated baseline generation</t>
        </is>
      </c>
    </row>
    <row r="18" ht="36" customHeight="1">
      <c r="A18" s="16" t="inlineStr">
        <is>
          <t>SEC-VUL-017</t>
        </is>
      </c>
      <c r="B18" s="16" t="inlineStr">
        <is>
          <t>Safe Vulnerability and Configuration Checks</t>
        </is>
      </c>
      <c r="C18" s="17" t="inlineStr">
        <is>
          <t>Step Tracker</t>
        </is>
      </c>
      <c r="D18" s="17" t="inlineStr">
        <is>
          <t>Safe configuration &amp; security audit for Step Tracker</t>
        </is>
      </c>
      <c r="E18" s="17" t="inlineStr">
        <is>
          <t>Security Check - Step Tracker - Verify Row Level Security (RLS) enforcement on Supabase tables (#17)</t>
        </is>
      </c>
      <c r="F18" s="17" t="inlineStr">
        <is>
          <t>Verify OWASP compliance and safe configuration posture for Step Tracker without external scanning.</t>
        </is>
      </c>
      <c r="G18" s="17" t="inlineStr">
        <is>
          <t>Static analysis tool ready, test environment sandbox active locally.</t>
        </is>
      </c>
      <c r="H18" s="17" t="inlineStr">
        <is>
          <t>1. Audit Step Tracker implementation configuration.
2. Attempt SELECT/UPDATE query on private user records using secondary user JWT auth token.
3. Validate zero security vulnerabilities.</t>
        </is>
      </c>
      <c r="I18" s="17" t="inlineStr">
        <is>
          <t>Audit Scope: Step Tracker, Method: Safe passive check / Static analysis</t>
        </is>
      </c>
      <c r="J18" s="17" t="inlineStr">
        <is>
          <t>Query returns 0 records or permission error; access strictly isolated by user_id. for Step Tracker.</t>
        </is>
      </c>
      <c r="K18" s="17" t="inlineStr">
        <is>
          <t>Pending Execution</t>
        </is>
      </c>
      <c r="L18" s="16" t="inlineStr">
        <is>
          <t>High</t>
        </is>
      </c>
      <c r="M18" s="16" t="inlineStr">
        <is>
          <t>Major</t>
        </is>
      </c>
      <c r="N18" s="18" t="inlineStr">
        <is>
          <t>Not Executed</t>
        </is>
      </c>
      <c r="O18" s="17" t="inlineStr">
        <is>
          <t>evidence/sec-vul-017_screenshot.png</t>
        </is>
      </c>
      <c r="P18" s="17" t="inlineStr">
        <is>
          <t>Automated baseline generation</t>
        </is>
      </c>
    </row>
    <row r="19" ht="36" customHeight="1">
      <c r="A19" s="16" t="inlineStr">
        <is>
          <t>SEC-VUL-018</t>
        </is>
      </c>
      <c r="B19" s="16" t="inlineStr">
        <is>
          <t>Safe Vulnerability and Configuration Checks</t>
        </is>
      </c>
      <c r="C19" s="17" t="inlineStr">
        <is>
          <t>Calorie Calculator</t>
        </is>
      </c>
      <c r="D19" s="17" t="inlineStr">
        <is>
          <t>Safe configuration &amp; security audit for Calorie Calculator</t>
        </is>
      </c>
      <c r="E19" s="17" t="inlineStr">
        <is>
          <t>Security Check - Calorie Calculator - Verify HTTPS/TLS communication enforcement for all remote API calls (#18)</t>
        </is>
      </c>
      <c r="F19" s="17" t="inlineStr">
        <is>
          <t>Verify OWASP compliance and safe configuration posture for Calorie Calculator without external scanning.</t>
        </is>
      </c>
      <c r="G19" s="17" t="inlineStr">
        <is>
          <t>Static analysis tool ready, test environment sandbox active locally.</t>
        </is>
      </c>
      <c r="H19" s="17" t="inlineStr">
        <is>
          <t>1. Audit Calorie Calculator implementation configuration.
2. Audit network requests originating from client application.
3. Validate zero security vulnerabilities.</t>
        </is>
      </c>
      <c r="I19" s="17" t="inlineStr">
        <is>
          <t>Audit Scope: Calorie Calculator, Method: Safe passive check / Static analysis</t>
        </is>
      </c>
      <c r="J19" s="17" t="inlineStr">
        <is>
          <t>All outbound connections enforce TLS 1.3/1.2; insecure HTTP rejected. for Calorie Calculator.</t>
        </is>
      </c>
      <c r="K19" s="17" t="inlineStr">
        <is>
          <t>Pending Execution</t>
        </is>
      </c>
      <c r="L19" s="16" t="inlineStr">
        <is>
          <t>High</t>
        </is>
      </c>
      <c r="M19" s="16" t="inlineStr">
        <is>
          <t>Critical</t>
        </is>
      </c>
      <c r="N19" s="18" t="inlineStr">
        <is>
          <t>Not Executed</t>
        </is>
      </c>
      <c r="O19" s="17" t="inlineStr">
        <is>
          <t>evidence/sec-vul-018_screenshot.png</t>
        </is>
      </c>
      <c r="P19" s="17" t="inlineStr">
        <is>
          <t>Automated baseline generation</t>
        </is>
      </c>
    </row>
    <row r="20" ht="36" customHeight="1">
      <c r="A20" s="16" t="inlineStr">
        <is>
          <t>SEC-VUL-019</t>
        </is>
      </c>
      <c r="B20" s="16" t="inlineStr">
        <is>
          <t>Safe Vulnerability and Configuration Checks</t>
        </is>
      </c>
      <c r="C20" s="17" t="inlineStr">
        <is>
          <t>Meal Reminder</t>
        </is>
      </c>
      <c r="D20" s="17" t="inlineStr">
        <is>
          <t>Safe configuration &amp; security audit for Meal Reminder</t>
        </is>
      </c>
      <c r="E20" s="17" t="inlineStr">
        <is>
          <t>Security Check - Meal Reminder - Verify SQL Injection sanitization in search filter input fields (#19)</t>
        </is>
      </c>
      <c r="F20" s="17" t="inlineStr">
        <is>
          <t>Verify OWASP compliance and safe configuration posture for Meal Reminder without external scanning.</t>
        </is>
      </c>
      <c r="G20" s="17" t="inlineStr">
        <is>
          <t>Static analysis tool ready, test environment sandbox active locally.</t>
        </is>
      </c>
      <c r="H20" s="17" t="inlineStr">
        <is>
          <t>1. Audit Meal Reminder implementation configuration.
2. Submit payload `' OR '1'='1` in search inputs across screens.
3. Validate zero security vulnerabilities.</t>
        </is>
      </c>
      <c r="I20" s="17" t="inlineStr">
        <is>
          <t>Audit Scope: Meal Reminder, Method: Safe passive check / Static analysis</t>
        </is>
      </c>
      <c r="J20" s="17" t="inlineStr">
        <is>
          <t>Input sanitized properly; no SQL syntax error or unauthorized data disclosure. for Meal Reminder.</t>
        </is>
      </c>
      <c r="K20" s="17" t="inlineStr">
        <is>
          <t>Pending Execution</t>
        </is>
      </c>
      <c r="L20" s="16" t="inlineStr">
        <is>
          <t>High</t>
        </is>
      </c>
      <c r="M20" s="16" t="inlineStr">
        <is>
          <t>Major</t>
        </is>
      </c>
      <c r="N20" s="18" t="inlineStr">
        <is>
          <t>Not Executed</t>
        </is>
      </c>
      <c r="O20" s="17" t="inlineStr">
        <is>
          <t>evidence/sec-vul-019_screenshot.png</t>
        </is>
      </c>
      <c r="P20" s="17" t="inlineStr">
        <is>
          <t>Automated baseline generation</t>
        </is>
      </c>
    </row>
    <row r="21" ht="36" customHeight="1">
      <c r="A21" s="16" t="inlineStr">
        <is>
          <t>SEC-VUL-020</t>
        </is>
      </c>
      <c r="B21" s="16" t="inlineStr">
        <is>
          <t>Safe Vulnerability and Configuration Checks</t>
        </is>
      </c>
      <c r="C21" s="17" t="inlineStr">
        <is>
          <t>Notifications</t>
        </is>
      </c>
      <c r="D21" s="17" t="inlineStr">
        <is>
          <t>Safe configuration &amp; security audit for Notifications</t>
        </is>
      </c>
      <c r="E21" s="17" t="inlineStr">
        <is>
          <t>Security Check - Notifications - Verify XSS (Cross-Site Scripting) prevention in user input fields (#20)</t>
        </is>
      </c>
      <c r="F21" s="17" t="inlineStr">
        <is>
          <t>Verify OWASP compliance and safe configuration posture for Notifications without external scanning.</t>
        </is>
      </c>
      <c r="G21" s="17" t="inlineStr">
        <is>
          <t>Static analysis tool ready, test environment sandbox active locally.</t>
        </is>
      </c>
      <c r="H21" s="17" t="inlineStr">
        <is>
          <t>1. Audit Notifications implementation configuration.
2. Submit payload `&lt;script&gt;alert('xss')&lt;/script&gt;` in user text input fields.
3. Validate zero security vulnerabilities.</t>
        </is>
      </c>
      <c r="I21" s="17" t="inlineStr">
        <is>
          <t>Audit Scope: Notifications, Method: Safe passive check / Static analysis</t>
        </is>
      </c>
      <c r="J21" s="17" t="inlineStr">
        <is>
          <t>Input escaped safely as literal string; script tag not executed in DOM context. for Notifications.</t>
        </is>
      </c>
      <c r="K21" s="17" t="inlineStr">
        <is>
          <t>Pending Execution</t>
        </is>
      </c>
      <c r="L21" s="16" t="inlineStr">
        <is>
          <t>High</t>
        </is>
      </c>
      <c r="M21" s="16" t="inlineStr">
        <is>
          <t>Critical</t>
        </is>
      </c>
      <c r="N21" s="18" t="inlineStr">
        <is>
          <t>Not Executed</t>
        </is>
      </c>
      <c r="O21" s="17" t="inlineStr">
        <is>
          <t>evidence/sec-vul-020_screenshot.png</t>
        </is>
      </c>
      <c r="P21" s="17" t="inlineStr">
        <is>
          <t>Automated baseline generation</t>
        </is>
      </c>
    </row>
    <row r="22" ht="36" customHeight="1">
      <c r="A22" s="16" t="inlineStr">
        <is>
          <t>SEC-VUL-021</t>
        </is>
      </c>
      <c r="B22" s="16" t="inlineStr">
        <is>
          <t>Safe Vulnerability and Configuration Checks</t>
        </is>
      </c>
      <c r="C22" s="17" t="inlineStr">
        <is>
          <t>Shop</t>
        </is>
      </c>
      <c r="D22" s="17" t="inlineStr">
        <is>
          <t>Safe configuration &amp; security audit for Shop</t>
        </is>
      </c>
      <c r="E22" s="17" t="inlineStr">
        <is>
          <t>Security Check - Shop - Verify environment variable isolation and absence of hardcoded secrets (#21)</t>
        </is>
      </c>
      <c r="F22" s="17" t="inlineStr">
        <is>
          <t>Verify OWASP compliance and safe configuration posture for Shop without external scanning.</t>
        </is>
      </c>
      <c r="G22" s="17" t="inlineStr">
        <is>
          <t>Static analysis tool ready, test environment sandbox active locally.</t>
        </is>
      </c>
      <c r="H22" s="17" t="inlineStr">
        <is>
          <t>1. Audit Shop implementation configuration.
2. Scan repository codebase and build artifacts for plain-text API keys, DB passwords, or credentials.
3. Validate zero security vulnerabilities.</t>
        </is>
      </c>
      <c r="I22" s="17" t="inlineStr">
        <is>
          <t>Audit Scope: Shop, Method: Safe passive check / Static analysis</t>
        </is>
      </c>
      <c r="J22" s="17" t="inlineStr">
        <is>
          <t>Zero sensitive credentials found hardcoded in source files or client assets. for Shop.</t>
        </is>
      </c>
      <c r="K22" s="17" t="inlineStr">
        <is>
          <t>Pending Execution</t>
        </is>
      </c>
      <c r="L22" s="16" t="inlineStr">
        <is>
          <t>High</t>
        </is>
      </c>
      <c r="M22" s="16" t="inlineStr">
        <is>
          <t>Major</t>
        </is>
      </c>
      <c r="N22" s="18" t="inlineStr">
        <is>
          <t>Not Executed</t>
        </is>
      </c>
      <c r="O22" s="17" t="inlineStr">
        <is>
          <t>evidence/sec-vul-021_screenshot.png</t>
        </is>
      </c>
      <c r="P22" s="17" t="inlineStr">
        <is>
          <t>Automated baseline generation</t>
        </is>
      </c>
    </row>
    <row r="23" ht="36" customHeight="1">
      <c r="A23" s="16" t="inlineStr">
        <is>
          <t>SEC-VUL-022</t>
        </is>
      </c>
      <c r="B23" s="16" t="inlineStr">
        <is>
          <t>Safe Vulnerability and Configuration Checks</t>
        </is>
      </c>
      <c r="C23" s="17" t="inlineStr">
        <is>
          <t>Product Search and Filters</t>
        </is>
      </c>
      <c r="D23" s="17" t="inlineStr">
        <is>
          <t>Safe configuration &amp; security audit for Product Search and Filters</t>
        </is>
      </c>
      <c r="E23" s="17" t="inlineStr">
        <is>
          <t>Security Check - Product Search and Filters - Verify Row Level Security (RLS) enforcement on Supabase tables (#22)</t>
        </is>
      </c>
      <c r="F23" s="17" t="inlineStr">
        <is>
          <t>Verify OWASP compliance and safe configuration posture for Product Search and Filters without external scanning.</t>
        </is>
      </c>
      <c r="G23" s="17" t="inlineStr">
        <is>
          <t>Static analysis tool ready, test environment sandbox active locally.</t>
        </is>
      </c>
      <c r="H23" s="17" t="inlineStr">
        <is>
          <t>1. Audit Product Search and Filters implementation configuration.
2. Attempt SELECT/UPDATE query on private user records using secondary user JWT auth token.
3. Validate zero security vulnerabilities.</t>
        </is>
      </c>
      <c r="I23" s="17" t="inlineStr">
        <is>
          <t>Audit Scope: Product Search and Filters, Method: Safe passive check / Static analysis</t>
        </is>
      </c>
      <c r="J23" s="17" t="inlineStr">
        <is>
          <t>Query returns 0 records or permission error; access strictly isolated by user_id. for Product Search and Filters.</t>
        </is>
      </c>
      <c r="K23" s="17" t="inlineStr">
        <is>
          <t>Pending Execution</t>
        </is>
      </c>
      <c r="L23" s="16" t="inlineStr">
        <is>
          <t>High</t>
        </is>
      </c>
      <c r="M23" s="16" t="inlineStr">
        <is>
          <t>Critical</t>
        </is>
      </c>
      <c r="N23" s="18" t="inlineStr">
        <is>
          <t>Not Executed</t>
        </is>
      </c>
      <c r="O23" s="17" t="inlineStr">
        <is>
          <t>evidence/sec-vul-022_screenshot.png</t>
        </is>
      </c>
      <c r="P23" s="17" t="inlineStr">
        <is>
          <t>Automated baseline generation</t>
        </is>
      </c>
    </row>
    <row r="24" ht="36" customHeight="1">
      <c r="A24" s="16" t="inlineStr">
        <is>
          <t>SEC-VUL-023</t>
        </is>
      </c>
      <c r="B24" s="16" t="inlineStr">
        <is>
          <t>Safe Vulnerability and Configuration Checks</t>
        </is>
      </c>
      <c r="C24" s="17" t="inlineStr">
        <is>
          <t>Product Details</t>
        </is>
      </c>
      <c r="D24" s="17" t="inlineStr">
        <is>
          <t>Safe configuration &amp; security audit for Product Details</t>
        </is>
      </c>
      <c r="E24" s="17" t="inlineStr">
        <is>
          <t>Security Check - Product Details - Verify HTTPS/TLS communication enforcement for all remote API calls (#23)</t>
        </is>
      </c>
      <c r="F24" s="17" t="inlineStr">
        <is>
          <t>Verify OWASP compliance and safe configuration posture for Product Details without external scanning.</t>
        </is>
      </c>
      <c r="G24" s="17" t="inlineStr">
        <is>
          <t>Static analysis tool ready, test environment sandbox active locally.</t>
        </is>
      </c>
      <c r="H24" s="17" t="inlineStr">
        <is>
          <t>1. Audit Product Details implementation configuration.
2. Audit network requests originating from client application.
3. Validate zero security vulnerabilities.</t>
        </is>
      </c>
      <c r="I24" s="17" t="inlineStr">
        <is>
          <t>Audit Scope: Product Details, Method: Safe passive check / Static analysis</t>
        </is>
      </c>
      <c r="J24" s="17" t="inlineStr">
        <is>
          <t>All outbound connections enforce TLS 1.3/1.2; insecure HTTP rejected. for Product Details.</t>
        </is>
      </c>
      <c r="K24" s="17" t="inlineStr">
        <is>
          <t>Pending Execution</t>
        </is>
      </c>
      <c r="L24" s="16" t="inlineStr">
        <is>
          <t>High</t>
        </is>
      </c>
      <c r="M24" s="16" t="inlineStr">
        <is>
          <t>Major</t>
        </is>
      </c>
      <c r="N24" s="18" t="inlineStr">
        <is>
          <t>Not Executed</t>
        </is>
      </c>
      <c r="O24" s="17" t="inlineStr">
        <is>
          <t>evidence/sec-vul-023_screenshot.png</t>
        </is>
      </c>
      <c r="P24" s="17" t="inlineStr">
        <is>
          <t>Automated baseline generation</t>
        </is>
      </c>
    </row>
    <row r="25" ht="36" customHeight="1">
      <c r="A25" s="16" t="inlineStr">
        <is>
          <t>SEC-VUL-024</t>
        </is>
      </c>
      <c r="B25" s="16" t="inlineStr">
        <is>
          <t>Safe Vulnerability and Configuration Checks</t>
        </is>
      </c>
      <c r="C25" s="17" t="inlineStr">
        <is>
          <t>Wishlist</t>
        </is>
      </c>
      <c r="D25" s="17" t="inlineStr">
        <is>
          <t>Safe configuration &amp; security audit for Wishlist</t>
        </is>
      </c>
      <c r="E25" s="17" t="inlineStr">
        <is>
          <t>Security Check - Wishlist - Verify SQL Injection sanitization in search filter input fields (#24)</t>
        </is>
      </c>
      <c r="F25" s="17" t="inlineStr">
        <is>
          <t>Verify OWASP compliance and safe configuration posture for Wishlist without external scanning.</t>
        </is>
      </c>
      <c r="G25" s="17" t="inlineStr">
        <is>
          <t>Static analysis tool ready, test environment sandbox active locally.</t>
        </is>
      </c>
      <c r="H25" s="17" t="inlineStr">
        <is>
          <t>1. Audit Wishlist implementation configuration.
2. Submit payload `' OR '1'='1` in search inputs across screens.
3. Validate zero security vulnerabilities.</t>
        </is>
      </c>
      <c r="I25" s="17" t="inlineStr">
        <is>
          <t>Audit Scope: Wishlist, Method: Safe passive check / Static analysis</t>
        </is>
      </c>
      <c r="J25" s="17" t="inlineStr">
        <is>
          <t>Input sanitized properly; no SQL syntax error or unauthorized data disclosure. for Wishlist.</t>
        </is>
      </c>
      <c r="K25" s="17" t="inlineStr">
        <is>
          <t>Pending Execution</t>
        </is>
      </c>
      <c r="L25" s="16" t="inlineStr">
        <is>
          <t>High</t>
        </is>
      </c>
      <c r="M25" s="16" t="inlineStr">
        <is>
          <t>Critical</t>
        </is>
      </c>
      <c r="N25" s="18" t="inlineStr">
        <is>
          <t>Not Executed</t>
        </is>
      </c>
      <c r="O25" s="17" t="inlineStr">
        <is>
          <t>evidence/sec-vul-024_screenshot.png</t>
        </is>
      </c>
      <c r="P25" s="17" t="inlineStr">
        <is>
          <t>Automated baseline generation</t>
        </is>
      </c>
    </row>
    <row r="26" ht="36" customHeight="1">
      <c r="A26" s="16" t="inlineStr">
        <is>
          <t>SEC-VUL-025</t>
        </is>
      </c>
      <c r="B26" s="16" t="inlineStr">
        <is>
          <t>Safe Vulnerability and Configuration Checks</t>
        </is>
      </c>
      <c r="C26" s="17" t="inlineStr">
        <is>
          <t>Cart</t>
        </is>
      </c>
      <c r="D26" s="17" t="inlineStr">
        <is>
          <t>Safe configuration &amp; security audit for Cart</t>
        </is>
      </c>
      <c r="E26" s="17" t="inlineStr">
        <is>
          <t>Security Check - Cart - Verify XSS (Cross-Site Scripting) prevention in user input fields (#25)</t>
        </is>
      </c>
      <c r="F26" s="17" t="inlineStr">
        <is>
          <t>Verify OWASP compliance and safe configuration posture for Cart without external scanning.</t>
        </is>
      </c>
      <c r="G26" s="17" t="inlineStr">
        <is>
          <t>Static analysis tool ready, test environment sandbox active locally.</t>
        </is>
      </c>
      <c r="H26" s="17" t="inlineStr">
        <is>
          <t>1. Audit Cart implementation configuration.
2. Submit payload `&lt;script&gt;alert('xss')&lt;/script&gt;` in user text input fields.
3. Validate zero security vulnerabilities.</t>
        </is>
      </c>
      <c r="I26" s="17" t="inlineStr">
        <is>
          <t>Audit Scope: Cart, Method: Safe passive check / Static analysis</t>
        </is>
      </c>
      <c r="J26" s="17" t="inlineStr">
        <is>
          <t>Input escaped safely as literal string; script tag not executed in DOM context. for Cart.</t>
        </is>
      </c>
      <c r="K26" s="17" t="inlineStr">
        <is>
          <t>Pending Execution</t>
        </is>
      </c>
      <c r="L26" s="16" t="inlineStr">
        <is>
          <t>High</t>
        </is>
      </c>
      <c r="M26" s="16" t="inlineStr">
        <is>
          <t>Major</t>
        </is>
      </c>
      <c r="N26" s="18" t="inlineStr">
        <is>
          <t>Not Executed</t>
        </is>
      </c>
      <c r="O26" s="17" t="inlineStr">
        <is>
          <t>evidence/sec-vul-025_screenshot.png</t>
        </is>
      </c>
      <c r="P26" s="17" t="inlineStr">
        <is>
          <t>Automated baseline generation</t>
        </is>
      </c>
    </row>
    <row r="27" ht="36" customHeight="1">
      <c r="A27" s="16" t="inlineStr">
        <is>
          <t>SEC-VUL-026</t>
        </is>
      </c>
      <c r="B27" s="16" t="inlineStr">
        <is>
          <t>Safe Vulnerability and Configuration Checks</t>
        </is>
      </c>
      <c r="C27" s="17" t="inlineStr">
        <is>
          <t>Checkout</t>
        </is>
      </c>
      <c r="D27" s="17" t="inlineStr">
        <is>
          <t>Safe configuration &amp; security audit for Checkout</t>
        </is>
      </c>
      <c r="E27" s="17" t="inlineStr">
        <is>
          <t>Security Check - Checkout - Verify environment variable isolation and absence of hardcoded secrets (#26)</t>
        </is>
      </c>
      <c r="F27" s="17" t="inlineStr">
        <is>
          <t>Verify OWASP compliance and safe configuration posture for Checkout without external scanning.</t>
        </is>
      </c>
      <c r="G27" s="17" t="inlineStr">
        <is>
          <t>Static analysis tool ready, test environment sandbox active locally.</t>
        </is>
      </c>
      <c r="H27" s="17" t="inlineStr">
        <is>
          <t>1. Audit Checkout implementation configuration.
2. Scan repository codebase and build artifacts for plain-text API keys, DB passwords, or credentials.
3. Validate zero security vulnerabilities.</t>
        </is>
      </c>
      <c r="I27" s="17" t="inlineStr">
        <is>
          <t>Audit Scope: Checkout, Method: Safe passive check / Static analysis</t>
        </is>
      </c>
      <c r="J27" s="17" t="inlineStr">
        <is>
          <t>Zero sensitive credentials found hardcoded in source files or client assets. for Checkout.</t>
        </is>
      </c>
      <c r="K27" s="17" t="inlineStr">
        <is>
          <t>Pending Execution</t>
        </is>
      </c>
      <c r="L27" s="16" t="inlineStr">
        <is>
          <t>High</t>
        </is>
      </c>
      <c r="M27" s="16" t="inlineStr">
        <is>
          <t>Critical</t>
        </is>
      </c>
      <c r="N27" s="18" t="inlineStr">
        <is>
          <t>Not Executed</t>
        </is>
      </c>
      <c r="O27" s="17" t="inlineStr">
        <is>
          <t>evidence/sec-vul-026_screenshot.png</t>
        </is>
      </c>
      <c r="P27" s="17" t="inlineStr">
        <is>
          <t>Automated baseline generation</t>
        </is>
      </c>
    </row>
    <row r="28" ht="36" customHeight="1">
      <c r="A28" s="16" t="inlineStr">
        <is>
          <t>SEC-VUL-027</t>
        </is>
      </c>
      <c r="B28" s="16" t="inlineStr">
        <is>
          <t>Safe Vulnerability and Configuration Checks</t>
        </is>
      </c>
      <c r="C28" s="17" t="inlineStr">
        <is>
          <t>Address Management</t>
        </is>
      </c>
      <c r="D28" s="17" t="inlineStr">
        <is>
          <t>Safe configuration &amp; security audit for Address Management</t>
        </is>
      </c>
      <c r="E28" s="17" t="inlineStr">
        <is>
          <t>Security Check - Address Management - Verify Row Level Security (RLS) enforcement on Supabase tables (#27)</t>
        </is>
      </c>
      <c r="F28" s="17" t="inlineStr">
        <is>
          <t>Verify OWASP compliance and safe configuration posture for Address Management without external scanning.</t>
        </is>
      </c>
      <c r="G28" s="17" t="inlineStr">
        <is>
          <t>Static analysis tool ready, test environment sandbox active locally.</t>
        </is>
      </c>
      <c r="H28" s="17" t="inlineStr">
        <is>
          <t>1. Audit Address Management implementation configuration.
2. Attempt SELECT/UPDATE query on private user records using secondary user JWT auth token.
3. Validate zero security vulnerabilities.</t>
        </is>
      </c>
      <c r="I28" s="17" t="inlineStr">
        <is>
          <t>Audit Scope: Address Management, Method: Safe passive check / Static analysis</t>
        </is>
      </c>
      <c r="J28" s="17" t="inlineStr">
        <is>
          <t>Query returns 0 records or permission error; access strictly isolated by user_id. for Address Management.</t>
        </is>
      </c>
      <c r="K28" s="17" t="inlineStr">
        <is>
          <t>Pending Execution</t>
        </is>
      </c>
      <c r="L28" s="16" t="inlineStr">
        <is>
          <t>High</t>
        </is>
      </c>
      <c r="M28" s="16" t="inlineStr">
        <is>
          <t>Major</t>
        </is>
      </c>
      <c r="N28" s="18" t="inlineStr">
        <is>
          <t>Not Executed</t>
        </is>
      </c>
      <c r="O28" s="17" t="inlineStr">
        <is>
          <t>evidence/sec-vul-027_screenshot.png</t>
        </is>
      </c>
      <c r="P28" s="17" t="inlineStr">
        <is>
          <t>Automated baseline generation</t>
        </is>
      </c>
    </row>
    <row r="29" ht="36" customHeight="1">
      <c r="A29" s="16" t="inlineStr">
        <is>
          <t>SEC-VUL-028</t>
        </is>
      </c>
      <c r="B29" s="16" t="inlineStr">
        <is>
          <t>Safe Vulnerability and Configuration Checks</t>
        </is>
      </c>
      <c r="C29" s="17" t="inlineStr">
        <is>
          <t>Payment Method</t>
        </is>
      </c>
      <c r="D29" s="17" t="inlineStr">
        <is>
          <t>Safe configuration &amp; security audit for Payment Method</t>
        </is>
      </c>
      <c r="E29" s="17" t="inlineStr">
        <is>
          <t>Security Check - Payment Method - Verify HTTPS/TLS communication enforcement for all remote API calls (#28)</t>
        </is>
      </c>
      <c r="F29" s="17" t="inlineStr">
        <is>
          <t>Verify OWASP compliance and safe configuration posture for Payment Method without external scanning.</t>
        </is>
      </c>
      <c r="G29" s="17" t="inlineStr">
        <is>
          <t>Static analysis tool ready, test environment sandbox active locally.</t>
        </is>
      </c>
      <c r="H29" s="17" t="inlineStr">
        <is>
          <t>1. Audit Payment Method implementation configuration.
2. Audit network requests originating from client application.
3. Validate zero security vulnerabilities.</t>
        </is>
      </c>
      <c r="I29" s="17" t="inlineStr">
        <is>
          <t>Audit Scope: Payment Method, Method: Safe passive check / Static analysis</t>
        </is>
      </c>
      <c r="J29" s="17" t="inlineStr">
        <is>
          <t>All outbound connections enforce TLS 1.3/1.2; insecure HTTP rejected. for Payment Method.</t>
        </is>
      </c>
      <c r="K29" s="17" t="inlineStr">
        <is>
          <t>Pending Execution</t>
        </is>
      </c>
      <c r="L29" s="16" t="inlineStr">
        <is>
          <t>High</t>
        </is>
      </c>
      <c r="M29" s="16" t="inlineStr">
        <is>
          <t>Critical</t>
        </is>
      </c>
      <c r="N29" s="18" t="inlineStr">
        <is>
          <t>Not Executed</t>
        </is>
      </c>
      <c r="O29" s="17" t="inlineStr">
        <is>
          <t>evidence/sec-vul-028_screenshot.png</t>
        </is>
      </c>
      <c r="P29" s="17" t="inlineStr">
        <is>
          <t>Automated baseline generation</t>
        </is>
      </c>
    </row>
    <row r="30" ht="36" customHeight="1">
      <c r="A30" s="16" t="inlineStr">
        <is>
          <t>SEC-VUL-029</t>
        </is>
      </c>
      <c r="B30" s="16" t="inlineStr">
        <is>
          <t>Safe Vulnerability and Configuration Checks</t>
        </is>
      </c>
      <c r="C30" s="17" t="inlineStr">
        <is>
          <t>Place Order</t>
        </is>
      </c>
      <c r="D30" s="17" t="inlineStr">
        <is>
          <t>Safe configuration &amp; security audit for Place Order</t>
        </is>
      </c>
      <c r="E30" s="17" t="inlineStr">
        <is>
          <t>Security Check - Place Order - Verify SQL Injection sanitization in search filter input fields (#29)</t>
        </is>
      </c>
      <c r="F30" s="17" t="inlineStr">
        <is>
          <t>Verify OWASP compliance and safe configuration posture for Place Order without external scanning.</t>
        </is>
      </c>
      <c r="G30" s="17" t="inlineStr">
        <is>
          <t>Static analysis tool ready, test environment sandbox active locally.</t>
        </is>
      </c>
      <c r="H30" s="17" t="inlineStr">
        <is>
          <t>1. Audit Place Order implementation configuration.
2. Submit payload `' OR '1'='1` in search inputs across screens.
3. Validate zero security vulnerabilities.</t>
        </is>
      </c>
      <c r="I30" s="17" t="inlineStr">
        <is>
          <t>Audit Scope: Place Order, Method: Safe passive check / Static analysis</t>
        </is>
      </c>
      <c r="J30" s="17" t="inlineStr">
        <is>
          <t>Input sanitized properly; no SQL syntax error or unauthorized data disclosure. for Place Order.</t>
        </is>
      </c>
      <c r="K30" s="17" t="inlineStr">
        <is>
          <t>Pending Execution</t>
        </is>
      </c>
      <c r="L30" s="16" t="inlineStr">
        <is>
          <t>High</t>
        </is>
      </c>
      <c r="M30" s="16" t="inlineStr">
        <is>
          <t>Major</t>
        </is>
      </c>
      <c r="N30" s="18" t="inlineStr">
        <is>
          <t>Not Executed</t>
        </is>
      </c>
      <c r="O30" s="17" t="inlineStr">
        <is>
          <t>evidence/sec-vul-029_screenshot.png</t>
        </is>
      </c>
      <c r="P30" s="17" t="inlineStr">
        <is>
          <t>Automated baseline generation</t>
        </is>
      </c>
    </row>
    <row r="31" ht="36" customHeight="1">
      <c r="A31" s="16" t="inlineStr">
        <is>
          <t>SEC-VUL-030</t>
        </is>
      </c>
      <c r="B31" s="16" t="inlineStr">
        <is>
          <t>Safe Vulnerability and Configuration Checks</t>
        </is>
      </c>
      <c r="C31" s="17" t="inlineStr">
        <is>
          <t>My Orders</t>
        </is>
      </c>
      <c r="D31" s="17" t="inlineStr">
        <is>
          <t>Safe configuration &amp; security audit for My Orders</t>
        </is>
      </c>
      <c r="E31" s="17" t="inlineStr">
        <is>
          <t>Security Check - My Orders - Verify XSS (Cross-Site Scripting) prevention in user input fields (#30)</t>
        </is>
      </c>
      <c r="F31" s="17" t="inlineStr">
        <is>
          <t>Verify OWASP compliance and safe configuration posture for My Orders without external scanning.</t>
        </is>
      </c>
      <c r="G31" s="17" t="inlineStr">
        <is>
          <t>Static analysis tool ready, test environment sandbox active locally.</t>
        </is>
      </c>
      <c r="H31" s="17" t="inlineStr">
        <is>
          <t>1. Audit My Orders implementation configuration.
2. Submit payload `&lt;script&gt;alert('xss')&lt;/script&gt;` in user text input fields.
3. Validate zero security vulnerabilities.</t>
        </is>
      </c>
      <c r="I31" s="17" t="inlineStr">
        <is>
          <t>Audit Scope: My Orders, Method: Safe passive check / Static analysis</t>
        </is>
      </c>
      <c r="J31" s="17" t="inlineStr">
        <is>
          <t>Input escaped safely as literal string; script tag not executed in DOM context. for My Orders.</t>
        </is>
      </c>
      <c r="K31" s="17" t="inlineStr">
        <is>
          <t>Pending Execution</t>
        </is>
      </c>
      <c r="L31" s="16" t="inlineStr">
        <is>
          <t>High</t>
        </is>
      </c>
      <c r="M31" s="16" t="inlineStr">
        <is>
          <t>Critical</t>
        </is>
      </c>
      <c r="N31" s="18" t="inlineStr">
        <is>
          <t>Not Executed</t>
        </is>
      </c>
      <c r="O31" s="17" t="inlineStr">
        <is>
          <t>evidence/sec-vul-030_screenshot.png</t>
        </is>
      </c>
      <c r="P31" s="17" t="inlineStr">
        <is>
          <t>Automated baseline generation</t>
        </is>
      </c>
    </row>
  </sheetData>
  <autoFilter ref="A1:P3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</cols>
  <sheetData>
    <row r="1" ht="28" customHeight="1">
      <c r="A1" s="19" t="inlineStr">
        <is>
          <t>Test Case ID</t>
        </is>
      </c>
      <c r="B1" s="19" t="inlineStr">
        <is>
          <t>Testing Type</t>
        </is>
      </c>
      <c r="C1" s="19" t="inlineStr">
        <is>
          <t>Module</t>
        </is>
      </c>
      <c r="D1" s="19" t="inlineStr">
        <is>
          <t>Test Scenario</t>
        </is>
      </c>
      <c r="E1" s="19" t="inlineStr">
        <is>
          <t>Test Case Title</t>
        </is>
      </c>
      <c r="F1" s="19" t="inlineStr">
        <is>
          <t>Objective</t>
        </is>
      </c>
      <c r="G1" s="19" t="inlineStr">
        <is>
          <t>Preconditions</t>
        </is>
      </c>
      <c r="H1" s="19" t="inlineStr">
        <is>
          <t>Test Steps</t>
        </is>
      </c>
      <c r="I1" s="19" t="inlineStr">
        <is>
          <t>Test Data</t>
        </is>
      </c>
      <c r="J1" s="19" t="inlineStr">
        <is>
          <t>Expected Result</t>
        </is>
      </c>
      <c r="K1" s="19" t="inlineStr">
        <is>
          <t>Actual Result</t>
        </is>
      </c>
      <c r="L1" s="19" t="inlineStr">
        <is>
          <t>Priority</t>
        </is>
      </c>
      <c r="M1" s="19" t="inlineStr">
        <is>
          <t>Severity</t>
        </is>
      </c>
      <c r="N1" s="19" t="inlineStr">
        <is>
          <t>Status</t>
        </is>
      </c>
      <c r="O1" s="19" t="inlineStr">
        <is>
          <t>Evidence Path</t>
        </is>
      </c>
      <c r="P1" s="19" t="inlineStr">
        <is>
          <t>Remarks</t>
        </is>
      </c>
    </row>
    <row r="2">
      <c r="A2" s="17" t="inlineStr">
        <is>
          <t>N/A</t>
        </is>
      </c>
      <c r="B2" s="17" t="inlineStr">
        <is>
          <t>System Filter</t>
        </is>
      </c>
      <c r="C2" s="17" t="inlineStr">
        <is>
          <t>All Modules</t>
        </is>
      </c>
      <c r="D2" s="17" t="inlineStr">
        <is>
          <t>Failed Test Tracking View</t>
        </is>
      </c>
      <c r="E2" s="17" t="inlineStr">
        <is>
          <t>No Failed Test Cases Recorded</t>
        </is>
      </c>
      <c r="F2" s="17" t="inlineStr">
        <is>
          <t>Track test execution failures dynamically</t>
        </is>
      </c>
      <c r="G2" s="17" t="inlineStr">
        <is>
          <t>Initial status baseline: All test cases set to 'Not Executed'</t>
        </is>
      </c>
      <c r="H2" s="17" t="inlineStr">
        <is>
          <t>1. Execute automated CI test suite.
2. Filter test cases with Status == 'Failed'.
3. Populate failure log here.</t>
        </is>
      </c>
      <c r="I2" s="17" t="inlineStr">
        <is>
          <t>Status: Not Executed</t>
        </is>
      </c>
      <c r="J2" s="17" t="inlineStr">
        <is>
          <t>0 Failures detected in initial baseline run</t>
        </is>
      </c>
      <c r="K2" s="17" t="inlineStr">
        <is>
          <t>All test cases currently Not Executed</t>
        </is>
      </c>
      <c r="L2" s="17" t="inlineStr">
        <is>
          <t>High</t>
        </is>
      </c>
      <c r="M2" s="17" t="inlineStr">
        <is>
          <t>Critical</t>
        </is>
      </c>
      <c r="N2" s="17" t="inlineStr">
        <is>
          <t>Not Executed</t>
        </is>
      </c>
      <c r="O2" s="17" t="inlineStr">
        <is>
          <t>N/A</t>
        </is>
      </c>
      <c r="P2" s="17" t="inlineStr">
        <is>
          <t>This sheet serves as the dedicated failure review log during test execution cycles.</t>
        </is>
      </c>
    </row>
  </sheetData>
  <autoFilter ref="A1:P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 ht="28" customHeight="1">
      <c r="A1" s="6" t="inlineStr">
        <is>
          <t>Test Case ID</t>
        </is>
      </c>
      <c r="B1" s="6" t="inlineStr">
        <is>
          <t>Testing Type</t>
        </is>
      </c>
      <c r="C1" s="6" t="inlineStr">
        <is>
          <t>Module</t>
        </is>
      </c>
      <c r="D1" s="6" t="inlineStr">
        <is>
          <t>Test Scenario</t>
        </is>
      </c>
      <c r="E1" s="6" t="inlineStr">
        <is>
          <t>Status</t>
        </is>
      </c>
      <c r="F1" s="6" t="inlineStr">
        <is>
          <t>Evidence File Path</t>
        </is>
      </c>
      <c r="G1" s="6" t="inlineStr">
        <is>
          <t>Timestamp</t>
        </is>
      </c>
      <c r="H1" s="6" t="inlineStr">
        <is>
          <t>Artifact Name</t>
        </is>
      </c>
      <c r="I1" s="6" t="inlineStr">
        <is>
          <t>Verification Notes</t>
        </is>
      </c>
    </row>
    <row r="2">
      <c r="A2" s="17" t="inlineStr">
        <is>
          <t>SEL-WEB-001</t>
        </is>
      </c>
      <c r="B2" s="17" t="inlineStr">
        <is>
          <t>Selenium Web UI Testing</t>
        </is>
      </c>
      <c r="C2" s="17" t="inlineStr">
        <is>
          <t>Splash</t>
        </is>
      </c>
      <c r="D2" s="17" t="inlineStr">
        <is>
          <t>Verify page load responsiveness across desktop break points in Splash module</t>
        </is>
      </c>
      <c r="E2" s="17" t="inlineStr">
        <is>
          <t>Not Executed</t>
        </is>
      </c>
      <c r="F2" s="17" t="inlineStr">
        <is>
          <t>testing-reports/evidence/sel-web-001_log.png</t>
        </is>
      </c>
      <c r="G2" s="17" t="inlineStr">
        <is>
          <t>2026-07-21 23:30:00 UTC</t>
        </is>
      </c>
      <c r="H2" s="17" t="inlineStr">
        <is>
          <t>nutrifit-sel-web-001-artifact.zip</t>
        </is>
      </c>
      <c r="I2" s="17" t="inlineStr">
        <is>
          <t>Baseline screenshot &amp; DOM trace artifact allocated</t>
        </is>
      </c>
    </row>
    <row r="3">
      <c r="A3" s="17" t="inlineStr">
        <is>
          <t>SEL-WEB-002</t>
        </is>
      </c>
      <c r="B3" s="17" t="inlineStr">
        <is>
          <t>Selenium Web UI Testing</t>
        </is>
      </c>
      <c r="C3" s="17" t="inlineStr">
        <is>
          <t>Login</t>
        </is>
      </c>
      <c r="D3" s="17" t="inlineStr">
        <is>
          <t>Verify form input validations and error hints in Login module</t>
        </is>
      </c>
      <c r="E3" s="17" t="inlineStr">
        <is>
          <t>Not Executed</t>
        </is>
      </c>
      <c r="F3" s="17" t="inlineStr">
        <is>
          <t>testing-reports/evidence/sel-web-002_log.png</t>
        </is>
      </c>
      <c r="G3" s="17" t="inlineStr">
        <is>
          <t>2026-07-21 23:30:00 UTC</t>
        </is>
      </c>
      <c r="H3" s="17" t="inlineStr">
        <is>
          <t>nutrifit-sel-web-002-artifact.zip</t>
        </is>
      </c>
      <c r="I3" s="17" t="inlineStr">
        <is>
          <t>Baseline screenshot &amp; DOM trace artifact allocated</t>
        </is>
      </c>
    </row>
    <row r="4">
      <c r="A4" s="17" t="inlineStr">
        <is>
          <t>SEL-WEB-003</t>
        </is>
      </c>
      <c r="B4" s="17" t="inlineStr">
        <is>
          <t>Selenium Web UI Testing</t>
        </is>
      </c>
      <c r="C4" s="17" t="inlineStr">
        <is>
          <t>Signup</t>
        </is>
      </c>
      <c r="D4" s="17" t="inlineStr">
        <is>
          <t>Verify interactive button states and hover effects in Signup module</t>
        </is>
      </c>
      <c r="E4" s="17" t="inlineStr">
        <is>
          <t>Not Executed</t>
        </is>
      </c>
      <c r="F4" s="17" t="inlineStr">
        <is>
          <t>testing-reports/evidence/sel-web-003_log.png</t>
        </is>
      </c>
      <c r="G4" s="17" t="inlineStr">
        <is>
          <t>2026-07-21 23:30:00 UTC</t>
        </is>
      </c>
      <c r="H4" s="17" t="inlineStr">
        <is>
          <t>nutrifit-sel-web-003-artifact.zip</t>
        </is>
      </c>
      <c r="I4" s="17" t="inlineStr">
        <is>
          <t>Baseline screenshot &amp; DOM trace artifact allocated</t>
        </is>
      </c>
    </row>
    <row r="5">
      <c r="A5" s="17" t="inlineStr">
        <is>
          <t>SEL-WEB-004</t>
        </is>
      </c>
      <c r="B5" s="17" t="inlineStr">
        <is>
          <t>Selenium Web UI Testing</t>
        </is>
      </c>
      <c r="C5" s="17" t="inlineStr">
        <is>
          <t>Forgot Password</t>
        </is>
      </c>
      <c r="D5" s="17" t="inlineStr">
        <is>
          <t>Verify modal dialog overlay behavior in Forgot Password module</t>
        </is>
      </c>
      <c r="E5" s="17" t="inlineStr">
        <is>
          <t>Not Executed</t>
        </is>
      </c>
      <c r="F5" s="17" t="inlineStr">
        <is>
          <t>testing-reports/evidence/sel-web-004_log.png</t>
        </is>
      </c>
      <c r="G5" s="17" t="inlineStr">
        <is>
          <t>2026-07-21 23:30:00 UTC</t>
        </is>
      </c>
      <c r="H5" s="17" t="inlineStr">
        <is>
          <t>nutrifit-sel-web-004-artifact.zip</t>
        </is>
      </c>
      <c r="I5" s="17" t="inlineStr">
        <is>
          <t>Baseline screenshot &amp; DOM trace artifact allocated</t>
        </is>
      </c>
    </row>
    <row r="6">
      <c r="A6" s="17" t="inlineStr">
        <is>
          <t>SEL-WEB-005</t>
        </is>
      </c>
      <c r="B6" s="17" t="inlineStr">
        <is>
          <t>Selenium Web UI Testing</t>
        </is>
      </c>
      <c r="C6" s="17" t="inlineStr">
        <is>
          <t>Email Verification</t>
        </is>
      </c>
      <c r="D6" s="17" t="inlineStr">
        <is>
          <t>Verify table sorting and pagination controls in Email Verification module</t>
        </is>
      </c>
      <c r="E6" s="17" t="inlineStr">
        <is>
          <t>Not Executed</t>
        </is>
      </c>
      <c r="F6" s="17" t="inlineStr">
        <is>
          <t>testing-reports/evidence/sel-web-005_log.png</t>
        </is>
      </c>
      <c r="G6" s="17" t="inlineStr">
        <is>
          <t>2026-07-21 23:30:00 UTC</t>
        </is>
      </c>
      <c r="H6" s="17" t="inlineStr">
        <is>
          <t>nutrifit-sel-web-005-artifact.zip</t>
        </is>
      </c>
      <c r="I6" s="17" t="inlineStr">
        <is>
          <t>Baseline screenshot &amp; DOM trace artifact allocated</t>
        </is>
      </c>
    </row>
    <row r="7">
      <c r="A7" s="17" t="inlineStr">
        <is>
          <t>SEL-WEB-006</t>
        </is>
      </c>
      <c r="B7" s="17" t="inlineStr">
        <is>
          <t>Selenium Web UI Testing</t>
        </is>
      </c>
      <c r="C7" s="17" t="inlineStr">
        <is>
          <t>Onboarding</t>
        </is>
      </c>
      <c r="D7" s="17" t="inlineStr">
        <is>
          <t>Verify theme switching (Dark/Light mode) on Web in Onboarding module</t>
        </is>
      </c>
      <c r="E7" s="17" t="inlineStr">
        <is>
          <t>Not Executed</t>
        </is>
      </c>
      <c r="F7" s="17" t="inlineStr">
        <is>
          <t>testing-reports/evidence/sel-web-006_log.png</t>
        </is>
      </c>
      <c r="G7" s="17" t="inlineStr">
        <is>
          <t>2026-07-21 23:30:00 UTC</t>
        </is>
      </c>
      <c r="H7" s="17" t="inlineStr">
        <is>
          <t>nutrifit-sel-web-006-artifact.zip</t>
        </is>
      </c>
      <c r="I7" s="17" t="inlineStr">
        <is>
          <t>Baseline screenshot &amp; DOM trace artifact allocated</t>
        </is>
      </c>
    </row>
    <row r="8">
      <c r="A8" s="17" t="inlineStr">
        <is>
          <t>SEL-WEB-007</t>
        </is>
      </c>
      <c r="B8" s="17" t="inlineStr">
        <is>
          <t>Selenium Web UI Testing</t>
        </is>
      </c>
      <c r="C8" s="17" t="inlineStr">
        <is>
          <t>Dashboard</t>
        </is>
      </c>
      <c r="D8" s="17" t="inlineStr">
        <is>
          <t>Verify navigation drawer opening and item selection in Dashboard module</t>
        </is>
      </c>
      <c r="E8" s="17" t="inlineStr">
        <is>
          <t>Not Executed</t>
        </is>
      </c>
      <c r="F8" s="17" t="inlineStr">
        <is>
          <t>testing-reports/evidence/sel-web-007_log.png</t>
        </is>
      </c>
      <c r="G8" s="17" t="inlineStr">
        <is>
          <t>2026-07-21 23:30:00 UTC</t>
        </is>
      </c>
      <c r="H8" s="17" t="inlineStr">
        <is>
          <t>nutrifit-sel-web-007-artifact.zip</t>
        </is>
      </c>
      <c r="I8" s="17" t="inlineStr">
        <is>
          <t>Baseline screenshot &amp; DOM trace artifact allocated</t>
        </is>
      </c>
    </row>
    <row r="9">
      <c r="A9" s="17" t="inlineStr">
        <is>
          <t>SEL-WEB-008</t>
        </is>
      </c>
      <c r="B9" s="17" t="inlineStr">
        <is>
          <t>Selenium Web UI Testing</t>
        </is>
      </c>
      <c r="C9" s="17" t="inlineStr">
        <is>
          <t>Profile</t>
        </is>
      </c>
      <c r="D9" s="17" t="inlineStr">
        <is>
          <t>Verify image lazy loading and fallback rendering in Profile module</t>
        </is>
      </c>
      <c r="E9" s="17" t="inlineStr">
        <is>
          <t>Not Executed</t>
        </is>
      </c>
      <c r="F9" s="17" t="inlineStr">
        <is>
          <t>testing-reports/evidence/sel-web-008_log.png</t>
        </is>
      </c>
      <c r="G9" s="17" t="inlineStr">
        <is>
          <t>2026-07-21 23:30:00 UTC</t>
        </is>
      </c>
      <c r="H9" s="17" t="inlineStr">
        <is>
          <t>nutrifit-sel-web-008-artifact.zip</t>
        </is>
      </c>
      <c r="I9" s="17" t="inlineStr">
        <is>
          <t>Baseline screenshot &amp; DOM trace artifact allocated</t>
        </is>
      </c>
    </row>
    <row r="10">
      <c r="A10" s="17" t="inlineStr">
        <is>
          <t>SEL-WEB-009</t>
        </is>
      </c>
      <c r="B10" s="17" t="inlineStr">
        <is>
          <t>Selenium Web UI Testing</t>
        </is>
      </c>
      <c r="C10" s="17" t="inlineStr">
        <is>
          <t>Language Settings</t>
        </is>
      </c>
      <c r="D10" s="17" t="inlineStr">
        <is>
          <t>Verify browser back and forward navigation history in Language Settings module</t>
        </is>
      </c>
      <c r="E10" s="17" t="inlineStr">
        <is>
          <t>Not Executed</t>
        </is>
      </c>
      <c r="F10" s="17" t="inlineStr">
        <is>
          <t>testing-reports/evidence/sel-web-009_log.png</t>
        </is>
      </c>
      <c r="G10" s="17" t="inlineStr">
        <is>
          <t>2026-07-21 23:30:00 UTC</t>
        </is>
      </c>
      <c r="H10" s="17" t="inlineStr">
        <is>
          <t>nutrifit-sel-web-009-artifact.zip</t>
        </is>
      </c>
      <c r="I10" s="17" t="inlineStr">
        <is>
          <t>Baseline screenshot &amp; DOM trace artifact allocated</t>
        </is>
      </c>
    </row>
    <row r="11">
      <c r="A11" s="17" t="inlineStr">
        <is>
          <t>SEL-WEB-010</t>
        </is>
      </c>
      <c r="B11" s="17" t="inlineStr">
        <is>
          <t>Selenium Web UI Testing</t>
        </is>
      </c>
      <c r="C11" s="17" t="inlineStr">
        <is>
          <t>AI Trainer</t>
        </is>
      </c>
      <c r="D11" s="17" t="inlineStr">
        <is>
          <t>Verify accessibility aria-labels and keyboard tab traversal in AI Trainer module</t>
        </is>
      </c>
      <c r="E11" s="17" t="inlineStr">
        <is>
          <t>Not Executed</t>
        </is>
      </c>
      <c r="F11" s="17" t="inlineStr">
        <is>
          <t>testing-reports/evidence/sel-web-010_log.png</t>
        </is>
      </c>
      <c r="G11" s="17" t="inlineStr">
        <is>
          <t>2026-07-21 23:30:00 UTC</t>
        </is>
      </c>
      <c r="H11" s="17" t="inlineStr">
        <is>
          <t>nutrifit-sel-web-010-artifact.zip</t>
        </is>
      </c>
      <c r="I11" s="17" t="inlineStr">
        <is>
          <t>Baseline screenshot &amp; DOM trace artifact allocated</t>
        </is>
      </c>
    </row>
    <row r="12">
      <c r="A12" s="17" t="inlineStr">
        <is>
          <t>SEL-WEB-011</t>
        </is>
      </c>
      <c r="B12" s="17" t="inlineStr">
        <is>
          <t>Selenium Web UI Testing</t>
        </is>
      </c>
      <c r="C12" s="17" t="inlineStr">
        <is>
          <t>Workout Plan</t>
        </is>
      </c>
      <c r="D12" s="17" t="inlineStr">
        <is>
          <t>Verify page load responsiveness across desktop break points in Workout Plan module</t>
        </is>
      </c>
      <c r="E12" s="17" t="inlineStr">
        <is>
          <t>Not Executed</t>
        </is>
      </c>
      <c r="F12" s="17" t="inlineStr">
        <is>
          <t>testing-reports/evidence/sel-web-011_log.png</t>
        </is>
      </c>
      <c r="G12" s="17" t="inlineStr">
        <is>
          <t>2026-07-21 23:30:00 UTC</t>
        </is>
      </c>
      <c r="H12" s="17" t="inlineStr">
        <is>
          <t>nutrifit-sel-web-011-artifact.zip</t>
        </is>
      </c>
      <c r="I12" s="17" t="inlineStr">
        <is>
          <t>Baseline screenshot &amp; DOM trace artifact allocated</t>
        </is>
      </c>
    </row>
    <row r="13">
      <c r="A13" s="17" t="inlineStr">
        <is>
          <t>SEL-WEB-012</t>
        </is>
      </c>
      <c r="B13" s="17" t="inlineStr">
        <is>
          <t>Selenium Web UI Testing</t>
        </is>
      </c>
      <c r="C13" s="17" t="inlineStr">
        <is>
          <t>Diet Plan</t>
        </is>
      </c>
      <c r="D13" s="17" t="inlineStr">
        <is>
          <t>Verify form input validations and error hints in Diet Plan module</t>
        </is>
      </c>
      <c r="E13" s="17" t="inlineStr">
        <is>
          <t>Not Executed</t>
        </is>
      </c>
      <c r="F13" s="17" t="inlineStr">
        <is>
          <t>testing-reports/evidence/sel-web-012_log.png</t>
        </is>
      </c>
      <c r="G13" s="17" t="inlineStr">
        <is>
          <t>2026-07-21 23:30:00 UTC</t>
        </is>
      </c>
      <c r="H13" s="17" t="inlineStr">
        <is>
          <t>nutrifit-sel-web-012-artifact.zip</t>
        </is>
      </c>
      <c r="I13" s="17" t="inlineStr">
        <is>
          <t>Baseline screenshot &amp; DOM trace artifact allocated</t>
        </is>
      </c>
    </row>
    <row r="14">
      <c r="A14" s="17" t="inlineStr">
        <is>
          <t>SEL-WEB-013</t>
        </is>
      </c>
      <c r="B14" s="17" t="inlineStr">
        <is>
          <t>Selenium Web UI Testing</t>
        </is>
      </c>
      <c r="C14" s="17" t="inlineStr">
        <is>
          <t>Budget Diet Plan</t>
        </is>
      </c>
      <c r="D14" s="17" t="inlineStr">
        <is>
          <t>Verify interactive button states and hover effects in Budget Diet Plan module</t>
        </is>
      </c>
      <c r="E14" s="17" t="inlineStr">
        <is>
          <t>Not Executed</t>
        </is>
      </c>
      <c r="F14" s="17" t="inlineStr">
        <is>
          <t>testing-reports/evidence/sel-web-013_log.png</t>
        </is>
      </c>
      <c r="G14" s="17" t="inlineStr">
        <is>
          <t>2026-07-21 23:30:00 UTC</t>
        </is>
      </c>
      <c r="H14" s="17" t="inlineStr">
        <is>
          <t>nutrifit-sel-web-013-artifact.zip</t>
        </is>
      </c>
      <c r="I14" s="17" t="inlineStr">
        <is>
          <t>Baseline screenshot &amp; DOM trace artifact allocated</t>
        </is>
      </c>
    </row>
    <row r="15">
      <c r="A15" s="17" t="inlineStr">
        <is>
          <t>SEL-WEB-014</t>
        </is>
      </c>
      <c r="B15" s="17" t="inlineStr">
        <is>
          <t>Selenium Web UI Testing</t>
        </is>
      </c>
      <c r="C15" s="17" t="inlineStr">
        <is>
          <t>Stretching and Warm-up</t>
        </is>
      </c>
      <c r="D15" s="17" t="inlineStr">
        <is>
          <t>Verify modal dialog overlay behavior in Stretching and Warm-up module</t>
        </is>
      </c>
      <c r="E15" s="17" t="inlineStr">
        <is>
          <t>Not Executed</t>
        </is>
      </c>
      <c r="F15" s="17" t="inlineStr">
        <is>
          <t>testing-reports/evidence/sel-web-014_log.png</t>
        </is>
      </c>
      <c r="G15" s="17" t="inlineStr">
        <is>
          <t>2026-07-21 23:30:00 UTC</t>
        </is>
      </c>
      <c r="H15" s="17" t="inlineStr">
        <is>
          <t>nutrifit-sel-web-014-artifact.zip</t>
        </is>
      </c>
      <c r="I15" s="17" t="inlineStr">
        <is>
          <t>Baseline screenshot &amp; DOM trace artifact allocated</t>
        </is>
      </c>
    </row>
    <row r="16">
      <c r="A16" s="17" t="inlineStr">
        <is>
          <t>SEL-WEB-015</t>
        </is>
      </c>
      <c r="B16" s="17" t="inlineStr">
        <is>
          <t>Selenium Web UI Testing</t>
        </is>
      </c>
      <c r="C16" s="17" t="inlineStr">
        <is>
          <t>Water Tracker</t>
        </is>
      </c>
      <c r="D16" s="17" t="inlineStr">
        <is>
          <t>Verify table sorting and pagination controls in Water Tracker module</t>
        </is>
      </c>
      <c r="E16" s="17" t="inlineStr">
        <is>
          <t>Not Executed</t>
        </is>
      </c>
      <c r="F16" s="17" t="inlineStr">
        <is>
          <t>testing-reports/evidence/sel-web-015_log.png</t>
        </is>
      </c>
      <c r="G16" s="17" t="inlineStr">
        <is>
          <t>2026-07-21 23:30:00 UTC</t>
        </is>
      </c>
      <c r="H16" s="17" t="inlineStr">
        <is>
          <t>nutrifit-sel-web-015-artifact.zip</t>
        </is>
      </c>
      <c r="I16" s="17" t="inlineStr">
        <is>
          <t>Baseline screenshot &amp; DOM trace artifact allocated</t>
        </is>
      </c>
    </row>
    <row r="17">
      <c r="A17" s="17" t="inlineStr">
        <is>
          <t>SEL-WEB-016</t>
        </is>
      </c>
      <c r="B17" s="17" t="inlineStr">
        <is>
          <t>Selenium Web UI Testing</t>
        </is>
      </c>
      <c r="C17" s="17" t="inlineStr">
        <is>
          <t>Sleep Tracker</t>
        </is>
      </c>
      <c r="D17" s="17" t="inlineStr">
        <is>
          <t>Verify theme switching (Dark/Light mode) on Web in Sleep Tracker module</t>
        </is>
      </c>
      <c r="E17" s="17" t="inlineStr">
        <is>
          <t>Not Executed</t>
        </is>
      </c>
      <c r="F17" s="17" t="inlineStr">
        <is>
          <t>testing-reports/evidence/sel-web-016_log.png</t>
        </is>
      </c>
      <c r="G17" s="17" t="inlineStr">
        <is>
          <t>2026-07-21 23:30:00 UTC</t>
        </is>
      </c>
      <c r="H17" s="17" t="inlineStr">
        <is>
          <t>nutrifit-sel-web-016-artifact.zip</t>
        </is>
      </c>
      <c r="I17" s="17" t="inlineStr">
        <is>
          <t>Baseline screenshot &amp; DOM trace artifact allocated</t>
        </is>
      </c>
    </row>
    <row r="18">
      <c r="A18" s="17" t="inlineStr">
        <is>
          <t>SEL-WEB-017</t>
        </is>
      </c>
      <c r="B18" s="17" t="inlineStr">
        <is>
          <t>Selenium Web UI Testing</t>
        </is>
      </c>
      <c r="C18" s="17" t="inlineStr">
        <is>
          <t>Step Tracker</t>
        </is>
      </c>
      <c r="D18" s="17" t="inlineStr">
        <is>
          <t>Verify navigation drawer opening and item selection in Step Tracker module</t>
        </is>
      </c>
      <c r="E18" s="17" t="inlineStr">
        <is>
          <t>Not Executed</t>
        </is>
      </c>
      <c r="F18" s="17" t="inlineStr">
        <is>
          <t>testing-reports/evidence/sel-web-017_log.png</t>
        </is>
      </c>
      <c r="G18" s="17" t="inlineStr">
        <is>
          <t>2026-07-21 23:30:00 UTC</t>
        </is>
      </c>
      <c r="H18" s="17" t="inlineStr">
        <is>
          <t>nutrifit-sel-web-017-artifact.zip</t>
        </is>
      </c>
      <c r="I18" s="17" t="inlineStr">
        <is>
          <t>Baseline screenshot &amp; DOM trace artifact allocated</t>
        </is>
      </c>
    </row>
    <row r="19">
      <c r="A19" s="17" t="inlineStr">
        <is>
          <t>SEL-WEB-018</t>
        </is>
      </c>
      <c r="B19" s="17" t="inlineStr">
        <is>
          <t>Selenium Web UI Testing</t>
        </is>
      </c>
      <c r="C19" s="17" t="inlineStr">
        <is>
          <t>Calorie Calculator</t>
        </is>
      </c>
      <c r="D19" s="17" t="inlineStr">
        <is>
          <t>Verify image lazy loading and fallback rendering in Calorie Calculator module</t>
        </is>
      </c>
      <c r="E19" s="17" t="inlineStr">
        <is>
          <t>Not Executed</t>
        </is>
      </c>
      <c r="F19" s="17" t="inlineStr">
        <is>
          <t>testing-reports/evidence/sel-web-018_log.png</t>
        </is>
      </c>
      <c r="G19" s="17" t="inlineStr">
        <is>
          <t>2026-07-21 23:30:00 UTC</t>
        </is>
      </c>
      <c r="H19" s="17" t="inlineStr">
        <is>
          <t>nutrifit-sel-web-018-artifact.zip</t>
        </is>
      </c>
      <c r="I19" s="17" t="inlineStr">
        <is>
          <t>Baseline screenshot &amp; DOM trace artifact allocated</t>
        </is>
      </c>
    </row>
    <row r="20">
      <c r="A20" s="17" t="inlineStr">
        <is>
          <t>SEL-WEB-019</t>
        </is>
      </c>
      <c r="B20" s="17" t="inlineStr">
        <is>
          <t>Selenium Web UI Testing</t>
        </is>
      </c>
      <c r="C20" s="17" t="inlineStr">
        <is>
          <t>Meal Reminder</t>
        </is>
      </c>
      <c r="D20" s="17" t="inlineStr">
        <is>
          <t>Verify browser back and forward navigation history in Meal Reminder module</t>
        </is>
      </c>
      <c r="E20" s="17" t="inlineStr">
        <is>
          <t>Not Executed</t>
        </is>
      </c>
      <c r="F20" s="17" t="inlineStr">
        <is>
          <t>testing-reports/evidence/sel-web-019_log.png</t>
        </is>
      </c>
      <c r="G20" s="17" t="inlineStr">
        <is>
          <t>2026-07-21 23:30:00 UTC</t>
        </is>
      </c>
      <c r="H20" s="17" t="inlineStr">
        <is>
          <t>nutrifit-sel-web-019-artifact.zip</t>
        </is>
      </c>
      <c r="I20" s="17" t="inlineStr">
        <is>
          <t>Baseline screenshot &amp; DOM trace artifact allocated</t>
        </is>
      </c>
    </row>
    <row r="21">
      <c r="A21" s="17" t="inlineStr">
        <is>
          <t>SEL-WEB-020</t>
        </is>
      </c>
      <c r="B21" s="17" t="inlineStr">
        <is>
          <t>Selenium Web UI Testing</t>
        </is>
      </c>
      <c r="C21" s="17" t="inlineStr">
        <is>
          <t>Notifications</t>
        </is>
      </c>
      <c r="D21" s="17" t="inlineStr">
        <is>
          <t>Verify accessibility aria-labels and keyboard tab traversal in Notifications module</t>
        </is>
      </c>
      <c r="E21" s="17" t="inlineStr">
        <is>
          <t>Not Executed</t>
        </is>
      </c>
      <c r="F21" s="17" t="inlineStr">
        <is>
          <t>testing-reports/evidence/sel-web-020_log.png</t>
        </is>
      </c>
      <c r="G21" s="17" t="inlineStr">
        <is>
          <t>2026-07-21 23:30:00 UTC</t>
        </is>
      </c>
      <c r="H21" s="17" t="inlineStr">
        <is>
          <t>nutrifit-sel-web-020-artifact.zip</t>
        </is>
      </c>
      <c r="I21" s="17" t="inlineStr">
        <is>
          <t>Baseline screenshot &amp; DOM trace artifact allocated</t>
        </is>
      </c>
    </row>
  </sheetData>
  <autoFilter ref="A1:I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2026-07-21T18:02:01Z</dcterms:created>
  <dcterms:modified xsi:type="dcterms:W3CDTF">2026-07-21T18:02:01Z</dcterms:modified>
</cp:coreProperties>
</file>