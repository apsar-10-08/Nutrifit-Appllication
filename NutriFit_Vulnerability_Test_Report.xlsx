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Detailed Test Cases" sheetId="2" state="visible" r:id="rId2"/>
    <sheet name="Execution Evidence" sheetId="3" state="visible" r:id="rId3"/>
  </sheets>
  <definedNames>
    <definedName name="_xlnm._FilterDatabase" localSheetId="1" hidden="1">'Detailed Test Cases'!$A$1:$O$351</definedName>
    <definedName name="_xlnm._FilterDatabase" localSheetId="2" hidden="1">'Execution Evidence'!$A$1:$G$21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Segoe UI"/>
      <b val="1"/>
      <color rgb="000A5C36"/>
      <sz val="15"/>
    </font>
    <font>
      <name val="Segoe UI"/>
      <i val="1"/>
      <color rgb="00555555"/>
      <sz val="10"/>
    </font>
    <font>
      <name val="Segoe UI"/>
      <b val="1"/>
      <color rgb="00555555"/>
      <sz val="9"/>
    </font>
    <font>
      <name val="Segoe UI"/>
      <b val="1"/>
      <color rgb="000A5C36"/>
      <sz val="14"/>
    </font>
    <font>
      <name val="Segoe UI"/>
      <b val="1"/>
      <color rgb="000A5C36"/>
      <sz val="12"/>
    </font>
    <font>
      <name val="Segoe UI"/>
      <b val="1"/>
      <color rgb="00FFFFFF"/>
      <sz val="11"/>
    </font>
    <font>
      <name val="Segoe UI"/>
      <sz val="9"/>
    </font>
    <font>
      <name val="Segoe UI"/>
      <b val="1"/>
      <sz val="10"/>
    </font>
    <font>
      <name val="Segoe UI"/>
      <b val="1"/>
      <color rgb="005F6368"/>
    </font>
  </fonts>
  <fills count="6">
    <fill>
      <patternFill/>
    </fill>
    <fill>
      <patternFill patternType="gray125"/>
    </fill>
    <fill>
      <patternFill patternType="solid">
        <fgColor rgb="00F5F7FA"/>
        <bgColor rgb="00F5F7FA"/>
      </patternFill>
    </fill>
    <fill>
      <patternFill patternType="solid">
        <fgColor rgb="0010A866"/>
        <bgColor rgb="0010A866"/>
      </patternFill>
    </fill>
    <fill>
      <patternFill patternType="solid">
        <fgColor rgb="00F0F9F4"/>
        <bgColor rgb="00F0F9F4"/>
      </patternFill>
    </fill>
    <fill>
      <patternFill patternType="solid">
        <fgColor rgb="00F1F3F4"/>
        <bgColor rgb="00F1F3F4"/>
      </patternFill>
    </fill>
  </fills>
  <borders count="3">
    <border>
      <left/>
      <right/>
      <top/>
      <bottom/>
      <diagonal/>
    </border>
    <border>
      <left style="medium">
        <color rgb="0010A866"/>
      </left>
      <right style="medium">
        <color rgb="0010A866"/>
      </right>
      <top style="medium">
        <color rgb="0010A866"/>
      </top>
      <bottom style="medium">
        <color rgb="0010A866"/>
      </bottom>
    </border>
    <border>
      <left style="thin">
        <color rgb="00E0E0E0"/>
      </left>
      <right style="thin">
        <color rgb="00E0E0E0"/>
      </right>
      <top style="thin">
        <color rgb="00E0E0E0"/>
      </top>
      <bottom style="thin">
        <color rgb="00E0E0E0"/>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5" fillId="0" borderId="0" pivotButton="0" quotePrefix="0" xfId="0"/>
    <xf numFmtId="0" fontId="6" fillId="3" borderId="0" applyAlignment="1" pivotButton="0" quotePrefix="0" xfId="0">
      <alignment horizontal="center" vertical="center"/>
    </xf>
    <xf numFmtId="0" fontId="7" fillId="0" borderId="2" pivotButton="0" quotePrefix="0" xfId="0"/>
    <xf numFmtId="0" fontId="7" fillId="0" borderId="2" applyAlignment="1" pivotButton="0" quotePrefix="0" xfId="0">
      <alignment horizontal="center" vertical="center"/>
    </xf>
    <xf numFmtId="0" fontId="8" fillId="0" borderId="0" pivotButton="0" quotePrefix="0" xfId="0"/>
    <xf numFmtId="0" fontId="8" fillId="4" borderId="2" applyAlignment="1" pivotButton="0" quotePrefix="0" xfId="0">
      <alignment horizontal="center" vertical="center"/>
    </xf>
    <xf numFmtId="0" fontId="7" fillId="0" borderId="2" applyAlignment="1" pivotButton="0" quotePrefix="0" xfId="0">
      <alignment horizontal="center" vertical="top" wrapText="1"/>
    </xf>
    <xf numFmtId="0" fontId="7" fillId="0" borderId="2" applyAlignment="1" pivotButton="0" quotePrefix="0" xfId="0">
      <alignment vertical="top" wrapText="1"/>
    </xf>
    <xf numFmtId="0" fontId="9" fillId="5" borderId="2"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showGridLines="1" workbookViewId="0">
      <selection activeCell="A1" sqref="A1"/>
    </sheetView>
  </sheetViews>
  <sheetFormatPr baseColWidth="8" defaultRowHeight="15"/>
  <cols>
    <col width="32" customWidth="1" min="1" max="1"/>
    <col width="16" customWidth="1" min="2" max="2"/>
    <col width="16" customWidth="1" min="3" max="3"/>
    <col width="16" customWidth="1" min="4" max="4"/>
    <col width="16" customWidth="1" min="5" max="5"/>
    <col width="16" customWidth="1" min="6" max="6"/>
    <col width="16" customWidth="1" min="7" max="7"/>
  </cols>
  <sheetData>
    <row r="1" ht="24" customHeight="1">
      <c r="A1" s="1" t="inlineStr">
        <is>
          <t>NutriFit QA Report - Safe Vulnerability &amp; Security Checks</t>
        </is>
      </c>
    </row>
    <row r="2" ht="18" customHeight="1">
      <c r="A2" s="2" t="inlineStr">
        <is>
          <t>Report File: NutriFit_Vulnerability_Test_Report.xlsx | Total Screens/Modules: 35 | 10 Cases Per Screen | Total: 350 Cases</t>
        </is>
      </c>
    </row>
    <row r="4">
      <c r="A4" s="3" t="inlineStr">
        <is>
          <t>Total Test Cases</t>
        </is>
      </c>
      <c r="B4" s="3" t="inlineStr">
        <is>
          <t>Passed</t>
        </is>
      </c>
      <c r="C4" s="3" t="inlineStr">
        <is>
          <t>Failed</t>
        </is>
      </c>
      <c r="D4" s="3" t="inlineStr">
        <is>
          <t>Skipped</t>
        </is>
      </c>
      <c r="E4" s="3" t="inlineStr">
        <is>
          <t>Blocked</t>
        </is>
      </c>
      <c r="F4" s="3" t="inlineStr">
        <is>
          <t>Not Executed</t>
        </is>
      </c>
      <c r="G4" s="3" t="inlineStr">
        <is>
          <t>Pass Rate %</t>
        </is>
      </c>
    </row>
    <row r="5">
      <c r="A5" s="4">
        <f>COUNT('Detailed Test Cases'!A:A)</f>
        <v/>
      </c>
      <c r="B5" s="4">
        <f>COUNTIF('Detailed Test Cases'!I:I, "Passed")</f>
        <v/>
      </c>
      <c r="C5" s="4">
        <f>COUNTIF('Detailed Test Cases'!I:I, "Failed")</f>
        <v/>
      </c>
      <c r="D5" s="4">
        <f>COUNTIF('Detailed Test Cases'!I:I, "Skipped")</f>
        <v/>
      </c>
      <c r="E5" s="4">
        <f>COUNTIF('Detailed Test Cases'!I:I, "Blocked")</f>
        <v/>
      </c>
      <c r="F5" s="4">
        <f>COUNTIF('Detailed Test Cases'!I:I, "Not Executed")</f>
        <v/>
      </c>
      <c r="G5" s="4">
        <f>IF(B4=0, "0%", TEXT(B5/B4, "0.0%"))</f>
        <v/>
      </c>
    </row>
    <row r="7">
      <c r="A7" s="5" t="inlineStr">
        <is>
          <t>Screen/Module-Wise Test Coverage Breakdown (All 35 Screens)</t>
        </is>
      </c>
    </row>
    <row r="8" ht="24" customHeight="1">
      <c r="A8" s="6" t="inlineStr">
        <is>
          <t>Module/Screen</t>
        </is>
      </c>
      <c r="B8" s="6" t="inlineStr">
        <is>
          <t>Total Cases</t>
        </is>
      </c>
      <c r="C8" s="6" t="inlineStr">
        <is>
          <t>Passed</t>
        </is>
      </c>
      <c r="D8" s="6" t="inlineStr">
        <is>
          <t>Failed</t>
        </is>
      </c>
      <c r="E8" s="6" t="inlineStr">
        <is>
          <t>Skipped</t>
        </is>
      </c>
      <c r="F8" s="6" t="inlineStr">
        <is>
          <t>Blocked</t>
        </is>
      </c>
      <c r="G8" s="6" t="inlineStr">
        <is>
          <t>Not Executed</t>
        </is>
      </c>
    </row>
    <row r="9">
      <c r="A9" s="7" t="inlineStr">
        <is>
          <t>SplashScreen</t>
        </is>
      </c>
      <c r="B9" s="8">
        <f>COUNTIF('Detailed Test Cases'!B:B, A9)</f>
        <v/>
      </c>
      <c r="C9" s="8">
        <f>COUNTIFS('Detailed Test Cases'!B:B, A9, 'Detailed Test Cases'!I:I, "Passed")</f>
        <v/>
      </c>
      <c r="D9" s="8">
        <f>COUNTIFS('Detailed Test Cases'!B:B, A9, 'Detailed Test Cases'!I:I, "Failed")</f>
        <v/>
      </c>
      <c r="E9" s="8">
        <f>COUNTIFS('Detailed Test Cases'!B:B, A9, 'Detailed Test Cases'!I:I, "Skipped")</f>
        <v/>
      </c>
      <c r="F9" s="8">
        <f>COUNTIFS('Detailed Test Cases'!B:B, A9, 'Detailed Test Cases'!I:I, "Blocked")</f>
        <v/>
      </c>
      <c r="G9" s="8">
        <f>COUNTIFS('Detailed Test Cases'!B:B, A9, 'Detailed Test Cases'!I:I, "Not Executed")</f>
        <v/>
      </c>
    </row>
    <row r="10">
      <c r="A10" s="7" t="inlineStr">
        <is>
          <t>LoginScreen</t>
        </is>
      </c>
      <c r="B10" s="8">
        <f>COUNTIF('Detailed Test Cases'!B:B, A10)</f>
        <v/>
      </c>
      <c r="C10" s="8">
        <f>COUNTIFS('Detailed Test Cases'!B:B, A10, 'Detailed Test Cases'!I:I, "Passed")</f>
        <v/>
      </c>
      <c r="D10" s="8">
        <f>COUNTIFS('Detailed Test Cases'!B:B, A10, 'Detailed Test Cases'!I:I, "Failed")</f>
        <v/>
      </c>
      <c r="E10" s="8">
        <f>COUNTIFS('Detailed Test Cases'!B:B, A10, 'Detailed Test Cases'!I:I, "Skipped")</f>
        <v/>
      </c>
      <c r="F10" s="8">
        <f>COUNTIFS('Detailed Test Cases'!B:B, A10, 'Detailed Test Cases'!I:I, "Blocked")</f>
        <v/>
      </c>
      <c r="G10" s="8">
        <f>COUNTIFS('Detailed Test Cases'!B:B, A10, 'Detailed Test Cases'!I:I, "Not Executed")</f>
        <v/>
      </c>
    </row>
    <row r="11">
      <c r="A11" s="7" t="inlineStr">
        <is>
          <t>SignUpScreen</t>
        </is>
      </c>
      <c r="B11" s="8">
        <f>COUNTIF('Detailed Test Cases'!B:B, A11)</f>
        <v/>
      </c>
      <c r="C11" s="8">
        <f>COUNTIFS('Detailed Test Cases'!B:B, A11, 'Detailed Test Cases'!I:I, "Passed")</f>
        <v/>
      </c>
      <c r="D11" s="8">
        <f>COUNTIFS('Detailed Test Cases'!B:B, A11, 'Detailed Test Cases'!I:I, "Failed")</f>
        <v/>
      </c>
      <c r="E11" s="8">
        <f>COUNTIFS('Detailed Test Cases'!B:B, A11, 'Detailed Test Cases'!I:I, "Skipped")</f>
        <v/>
      </c>
      <c r="F11" s="8">
        <f>COUNTIFS('Detailed Test Cases'!B:B, A11, 'Detailed Test Cases'!I:I, "Blocked")</f>
        <v/>
      </c>
      <c r="G11" s="8">
        <f>COUNTIFS('Detailed Test Cases'!B:B, A11, 'Detailed Test Cases'!I:I, "Not Executed")</f>
        <v/>
      </c>
    </row>
    <row r="12">
      <c r="A12" s="7" t="inlineStr">
        <is>
          <t>ForgotScreen</t>
        </is>
      </c>
      <c r="B12" s="8">
        <f>COUNTIF('Detailed Test Cases'!B:B, A12)</f>
        <v/>
      </c>
      <c r="C12" s="8">
        <f>COUNTIFS('Detailed Test Cases'!B:B, A12, 'Detailed Test Cases'!I:I, "Passed")</f>
        <v/>
      </c>
      <c r="D12" s="8">
        <f>COUNTIFS('Detailed Test Cases'!B:B, A12, 'Detailed Test Cases'!I:I, "Failed")</f>
        <v/>
      </c>
      <c r="E12" s="8">
        <f>COUNTIFS('Detailed Test Cases'!B:B, A12, 'Detailed Test Cases'!I:I, "Skipped")</f>
        <v/>
      </c>
      <c r="F12" s="8">
        <f>COUNTIFS('Detailed Test Cases'!B:B, A12, 'Detailed Test Cases'!I:I, "Blocked")</f>
        <v/>
      </c>
      <c r="G12" s="8">
        <f>COUNTIFS('Detailed Test Cases'!B:B, A12, 'Detailed Test Cases'!I:I, "Not Executed")</f>
        <v/>
      </c>
    </row>
    <row r="13">
      <c r="A13" s="7" t="inlineStr">
        <is>
          <t>SelectScreen</t>
        </is>
      </c>
      <c r="B13" s="8">
        <f>COUNTIF('Detailed Test Cases'!B:B, A13)</f>
        <v/>
      </c>
      <c r="C13" s="8">
        <f>COUNTIFS('Detailed Test Cases'!B:B, A13, 'Detailed Test Cases'!I:I, "Passed")</f>
        <v/>
      </c>
      <c r="D13" s="8">
        <f>COUNTIFS('Detailed Test Cases'!B:B, A13, 'Detailed Test Cases'!I:I, "Failed")</f>
        <v/>
      </c>
      <c r="E13" s="8">
        <f>COUNTIFS('Detailed Test Cases'!B:B, A13, 'Detailed Test Cases'!I:I, "Skipped")</f>
        <v/>
      </c>
      <c r="F13" s="8">
        <f>COUNTIFS('Detailed Test Cases'!B:B, A13, 'Detailed Test Cases'!I:I, "Blocked")</f>
        <v/>
      </c>
      <c r="G13" s="8">
        <f>COUNTIFS('Detailed Test Cases'!B:B, A13, 'Detailed Test Cases'!I:I, "Not Executed")</f>
        <v/>
      </c>
    </row>
    <row r="14">
      <c r="A14" s="7" t="inlineStr">
        <is>
          <t>GoalScreen</t>
        </is>
      </c>
      <c r="B14" s="8">
        <f>COUNTIF('Detailed Test Cases'!B:B, A14)</f>
        <v/>
      </c>
      <c r="C14" s="8">
        <f>COUNTIFS('Detailed Test Cases'!B:B, A14, 'Detailed Test Cases'!I:I, "Passed")</f>
        <v/>
      </c>
      <c r="D14" s="8">
        <f>COUNTIFS('Detailed Test Cases'!B:B, A14, 'Detailed Test Cases'!I:I, "Failed")</f>
        <v/>
      </c>
      <c r="E14" s="8">
        <f>COUNTIFS('Detailed Test Cases'!B:B, A14, 'Detailed Test Cases'!I:I, "Skipped")</f>
        <v/>
      </c>
      <c r="F14" s="8">
        <f>COUNTIFS('Detailed Test Cases'!B:B, A14, 'Detailed Test Cases'!I:I, "Blocked")</f>
        <v/>
      </c>
      <c r="G14" s="8">
        <f>COUNTIFS('Detailed Test Cases'!B:B, A14, 'Detailed Test Cases'!I:I, "Not Executed")</f>
        <v/>
      </c>
    </row>
    <row r="15">
      <c r="A15" s="7" t="inlineStr">
        <is>
          <t>GenderScreen</t>
        </is>
      </c>
      <c r="B15" s="8">
        <f>COUNTIF('Detailed Test Cases'!B:B, A15)</f>
        <v/>
      </c>
      <c r="C15" s="8">
        <f>COUNTIFS('Detailed Test Cases'!B:B, A15, 'Detailed Test Cases'!I:I, "Passed")</f>
        <v/>
      </c>
      <c r="D15" s="8">
        <f>COUNTIFS('Detailed Test Cases'!B:B, A15, 'Detailed Test Cases'!I:I, "Failed")</f>
        <v/>
      </c>
      <c r="E15" s="8">
        <f>COUNTIFS('Detailed Test Cases'!B:B, A15, 'Detailed Test Cases'!I:I, "Skipped")</f>
        <v/>
      </c>
      <c r="F15" s="8">
        <f>COUNTIFS('Detailed Test Cases'!B:B, A15, 'Detailed Test Cases'!I:I, "Blocked")</f>
        <v/>
      </c>
      <c r="G15" s="8">
        <f>COUNTIFS('Detailed Test Cases'!B:B, A15, 'Detailed Test Cases'!I:I, "Not Executed")</f>
        <v/>
      </c>
    </row>
    <row r="16">
      <c r="A16" s="7" t="inlineStr">
        <is>
          <t>FoodScreen</t>
        </is>
      </c>
      <c r="B16" s="8">
        <f>COUNTIF('Detailed Test Cases'!B:B, A16)</f>
        <v/>
      </c>
      <c r="C16" s="8">
        <f>COUNTIFS('Detailed Test Cases'!B:B, A16, 'Detailed Test Cases'!I:I, "Passed")</f>
        <v/>
      </c>
      <c r="D16" s="8">
        <f>COUNTIFS('Detailed Test Cases'!B:B, A16, 'Detailed Test Cases'!I:I, "Failed")</f>
        <v/>
      </c>
      <c r="E16" s="8">
        <f>COUNTIFS('Detailed Test Cases'!B:B, A16, 'Detailed Test Cases'!I:I, "Skipped")</f>
        <v/>
      </c>
      <c r="F16" s="8">
        <f>COUNTIFS('Detailed Test Cases'!B:B, A16, 'Detailed Test Cases'!I:I, "Blocked")</f>
        <v/>
      </c>
      <c r="G16" s="8">
        <f>COUNTIFS('Detailed Test Cases'!B:B, A16, 'Detailed Test Cases'!I:I, "Not Executed")</f>
        <v/>
      </c>
    </row>
    <row r="17">
      <c r="A17" s="7" t="inlineStr">
        <is>
          <t>LocationScreen</t>
        </is>
      </c>
      <c r="B17" s="8">
        <f>COUNTIF('Detailed Test Cases'!B:B, A17)</f>
        <v/>
      </c>
      <c r="C17" s="8">
        <f>COUNTIFS('Detailed Test Cases'!B:B, A17, 'Detailed Test Cases'!I:I, "Passed")</f>
        <v/>
      </c>
      <c r="D17" s="8">
        <f>COUNTIFS('Detailed Test Cases'!B:B, A17, 'Detailed Test Cases'!I:I, "Failed")</f>
        <v/>
      </c>
      <c r="E17" s="8">
        <f>COUNTIFS('Detailed Test Cases'!B:B, A17, 'Detailed Test Cases'!I:I, "Skipped")</f>
        <v/>
      </c>
      <c r="F17" s="8">
        <f>COUNTIFS('Detailed Test Cases'!B:B, A17, 'Detailed Test Cases'!I:I, "Blocked")</f>
        <v/>
      </c>
      <c r="G17" s="8">
        <f>COUNTIFS('Detailed Test Cases'!B:B, A17, 'Detailed Test Cases'!I:I, "Not Executed")</f>
        <v/>
      </c>
    </row>
    <row r="18">
      <c r="A18" s="7" t="inlineStr">
        <is>
          <t>NumberScreen</t>
        </is>
      </c>
      <c r="B18" s="8">
        <f>COUNTIF('Detailed Test Cases'!B:B, A18)</f>
        <v/>
      </c>
      <c r="C18" s="8">
        <f>COUNTIFS('Detailed Test Cases'!B:B, A18, 'Detailed Test Cases'!I:I, "Passed")</f>
        <v/>
      </c>
      <c r="D18" s="8">
        <f>COUNTIFS('Detailed Test Cases'!B:B, A18, 'Detailed Test Cases'!I:I, "Failed")</f>
        <v/>
      </c>
      <c r="E18" s="8">
        <f>COUNTIFS('Detailed Test Cases'!B:B, A18, 'Detailed Test Cases'!I:I, "Skipped")</f>
        <v/>
      </c>
      <c r="F18" s="8">
        <f>COUNTIFS('Detailed Test Cases'!B:B, A18, 'Detailed Test Cases'!I:I, "Blocked")</f>
        <v/>
      </c>
      <c r="G18" s="8">
        <f>COUNTIFS('Detailed Test Cases'!B:B, A18, 'Detailed Test Cases'!I:I, "Not Executed")</f>
        <v/>
      </c>
    </row>
    <row r="19">
      <c r="A19" s="7" t="inlineStr">
        <is>
          <t>DashboardScreen</t>
        </is>
      </c>
      <c r="B19" s="8">
        <f>COUNTIF('Detailed Test Cases'!B:B, A19)</f>
        <v/>
      </c>
      <c r="C19" s="8">
        <f>COUNTIFS('Detailed Test Cases'!B:B, A19, 'Detailed Test Cases'!I:I, "Passed")</f>
        <v/>
      </c>
      <c r="D19" s="8">
        <f>COUNTIFS('Detailed Test Cases'!B:B, A19, 'Detailed Test Cases'!I:I, "Failed")</f>
        <v/>
      </c>
      <c r="E19" s="8">
        <f>COUNTIFS('Detailed Test Cases'!B:B, A19, 'Detailed Test Cases'!I:I, "Skipped")</f>
        <v/>
      </c>
      <c r="F19" s="8">
        <f>COUNTIFS('Detailed Test Cases'!B:B, A19, 'Detailed Test Cases'!I:I, "Blocked")</f>
        <v/>
      </c>
      <c r="G19" s="8">
        <f>COUNTIFS('Detailed Test Cases'!B:B, A19, 'Detailed Test Cases'!I:I, "Not Executed")</f>
        <v/>
      </c>
    </row>
    <row r="20">
      <c r="A20" s="7" t="inlineStr">
        <is>
          <t>HomeTab</t>
        </is>
      </c>
      <c r="B20" s="8">
        <f>COUNTIF('Detailed Test Cases'!B:B, A20)</f>
        <v/>
      </c>
      <c r="C20" s="8">
        <f>COUNTIFS('Detailed Test Cases'!B:B, A20, 'Detailed Test Cases'!I:I, "Passed")</f>
        <v/>
      </c>
      <c r="D20" s="8">
        <f>COUNTIFS('Detailed Test Cases'!B:B, A20, 'Detailed Test Cases'!I:I, "Failed")</f>
        <v/>
      </c>
      <c r="E20" s="8">
        <f>COUNTIFS('Detailed Test Cases'!B:B, A20, 'Detailed Test Cases'!I:I, "Skipped")</f>
        <v/>
      </c>
      <c r="F20" s="8">
        <f>COUNTIFS('Detailed Test Cases'!B:B, A20, 'Detailed Test Cases'!I:I, "Blocked")</f>
        <v/>
      </c>
      <c r="G20" s="8">
        <f>COUNTIFS('Detailed Test Cases'!B:B, A20, 'Detailed Test Cases'!I:I, "Not Executed")</f>
        <v/>
      </c>
    </row>
    <row r="21">
      <c r="A21" s="7" t="inlineStr">
        <is>
          <t>HeroCard</t>
        </is>
      </c>
      <c r="B21" s="8">
        <f>COUNTIF('Detailed Test Cases'!B:B, A21)</f>
        <v/>
      </c>
      <c r="C21" s="8">
        <f>COUNTIFS('Detailed Test Cases'!B:B, A21, 'Detailed Test Cases'!I:I, "Passed")</f>
        <v/>
      </c>
      <c r="D21" s="8">
        <f>COUNTIFS('Detailed Test Cases'!B:B, A21, 'Detailed Test Cases'!I:I, "Failed")</f>
        <v/>
      </c>
      <c r="E21" s="8">
        <f>COUNTIFS('Detailed Test Cases'!B:B, A21, 'Detailed Test Cases'!I:I, "Skipped")</f>
        <v/>
      </c>
      <c r="F21" s="8">
        <f>COUNTIFS('Detailed Test Cases'!B:B, A21, 'Detailed Test Cases'!I:I, "Blocked")</f>
        <v/>
      </c>
      <c r="G21" s="8">
        <f>COUNTIFS('Detailed Test Cases'!B:B, A21, 'Detailed Test Cases'!I:I, "Not Executed")</f>
        <v/>
      </c>
    </row>
    <row r="22">
      <c r="A22" s="7" t="inlineStr">
        <is>
          <t>WorkoutDayCard</t>
        </is>
      </c>
      <c r="B22" s="8">
        <f>COUNTIF('Detailed Test Cases'!B:B, A22)</f>
        <v/>
      </c>
      <c r="C22" s="8">
        <f>COUNTIFS('Detailed Test Cases'!B:B, A22, 'Detailed Test Cases'!I:I, "Passed")</f>
        <v/>
      </c>
      <c r="D22" s="8">
        <f>COUNTIFS('Detailed Test Cases'!B:B, A22, 'Detailed Test Cases'!I:I, "Failed")</f>
        <v/>
      </c>
      <c r="E22" s="8">
        <f>COUNTIFS('Detailed Test Cases'!B:B, A22, 'Detailed Test Cases'!I:I, "Skipped")</f>
        <v/>
      </c>
      <c r="F22" s="8">
        <f>COUNTIFS('Detailed Test Cases'!B:B, A22, 'Detailed Test Cases'!I:I, "Blocked")</f>
        <v/>
      </c>
      <c r="G22" s="8">
        <f>COUNTIFS('Detailed Test Cases'!B:B, A22, 'Detailed Test Cases'!I:I, "Not Executed")</f>
        <v/>
      </c>
    </row>
    <row r="23">
      <c r="A23" s="7" t="inlineStr">
        <is>
          <t>WarmupCard</t>
        </is>
      </c>
      <c r="B23" s="8">
        <f>COUNTIF('Detailed Test Cases'!B:B, A23)</f>
        <v/>
      </c>
      <c r="C23" s="8">
        <f>COUNTIFS('Detailed Test Cases'!B:B, A23, 'Detailed Test Cases'!I:I, "Passed")</f>
        <v/>
      </c>
      <c r="D23" s="8">
        <f>COUNTIFS('Detailed Test Cases'!B:B, A23, 'Detailed Test Cases'!I:I, "Failed")</f>
        <v/>
      </c>
      <c r="E23" s="8">
        <f>COUNTIFS('Detailed Test Cases'!B:B, A23, 'Detailed Test Cases'!I:I, "Skipped")</f>
        <v/>
      </c>
      <c r="F23" s="8">
        <f>COUNTIFS('Detailed Test Cases'!B:B, A23, 'Detailed Test Cases'!I:I, "Blocked")</f>
        <v/>
      </c>
      <c r="G23" s="8">
        <f>COUNTIFS('Detailed Test Cases'!B:B, A23, 'Detailed Test Cases'!I:I, "Not Executed")</f>
        <v/>
      </c>
    </row>
    <row r="24">
      <c r="A24" s="7" t="inlineStr">
        <is>
          <t>DietDayCard</t>
        </is>
      </c>
      <c r="B24" s="8">
        <f>COUNTIF('Detailed Test Cases'!B:B, A24)</f>
        <v/>
      </c>
      <c r="C24" s="8">
        <f>COUNTIFS('Detailed Test Cases'!B:B, A24, 'Detailed Test Cases'!I:I, "Passed")</f>
        <v/>
      </c>
      <c r="D24" s="8">
        <f>COUNTIFS('Detailed Test Cases'!B:B, A24, 'Detailed Test Cases'!I:I, "Failed")</f>
        <v/>
      </c>
      <c r="E24" s="8">
        <f>COUNTIFS('Detailed Test Cases'!B:B, A24, 'Detailed Test Cases'!I:I, "Skipped")</f>
        <v/>
      </c>
      <c r="F24" s="8">
        <f>COUNTIFS('Detailed Test Cases'!B:B, A24, 'Detailed Test Cases'!I:I, "Blocked")</f>
        <v/>
      </c>
      <c r="G24" s="8">
        <f>COUNTIFS('Detailed Test Cases'!B:B, A24, 'Detailed Test Cases'!I:I, "Not Executed")</f>
        <v/>
      </c>
    </row>
    <row r="25">
      <c r="A25" s="7" t="inlineStr">
        <is>
          <t>BudgetFoodSection</t>
        </is>
      </c>
      <c r="B25" s="8">
        <f>COUNTIF('Detailed Test Cases'!B:B, A25)</f>
        <v/>
      </c>
      <c r="C25" s="8">
        <f>COUNTIFS('Detailed Test Cases'!B:B, A25, 'Detailed Test Cases'!I:I, "Passed")</f>
        <v/>
      </c>
      <c r="D25" s="8">
        <f>COUNTIFS('Detailed Test Cases'!B:B, A25, 'Detailed Test Cases'!I:I, "Failed")</f>
        <v/>
      </c>
      <c r="E25" s="8">
        <f>COUNTIFS('Detailed Test Cases'!B:B, A25, 'Detailed Test Cases'!I:I, "Skipped")</f>
        <v/>
      </c>
      <c r="F25" s="8">
        <f>COUNTIFS('Detailed Test Cases'!B:B, A25, 'Detailed Test Cases'!I:I, "Blocked")</f>
        <v/>
      </c>
      <c r="G25" s="8">
        <f>COUNTIFS('Detailed Test Cases'!B:B, A25, 'Detailed Test Cases'!I:I, "Not Executed")</f>
        <v/>
      </c>
    </row>
    <row r="26">
      <c r="A26" s="7" t="inlineStr">
        <is>
          <t>PlansTab</t>
        </is>
      </c>
      <c r="B26" s="8">
        <f>COUNTIF('Detailed Test Cases'!B:B, A26)</f>
        <v/>
      </c>
      <c r="C26" s="8">
        <f>COUNTIFS('Detailed Test Cases'!B:B, A26, 'Detailed Test Cases'!I:I, "Passed")</f>
        <v/>
      </c>
      <c r="D26" s="8">
        <f>COUNTIFS('Detailed Test Cases'!B:B, A26, 'Detailed Test Cases'!I:I, "Failed")</f>
        <v/>
      </c>
      <c r="E26" s="8">
        <f>COUNTIFS('Detailed Test Cases'!B:B, A26, 'Detailed Test Cases'!I:I, "Skipped")</f>
        <v/>
      </c>
      <c r="F26" s="8">
        <f>COUNTIFS('Detailed Test Cases'!B:B, A26, 'Detailed Test Cases'!I:I, "Blocked")</f>
        <v/>
      </c>
      <c r="G26" s="8">
        <f>COUNTIFS('Detailed Test Cases'!B:B, A26, 'Detailed Test Cases'!I:I, "Not Executed")</f>
        <v/>
      </c>
    </row>
    <row r="27">
      <c r="A27" s="7" t="inlineStr">
        <is>
          <t>TrackersTab</t>
        </is>
      </c>
      <c r="B27" s="8">
        <f>COUNTIF('Detailed Test Cases'!B:B, A27)</f>
        <v/>
      </c>
      <c r="C27" s="8">
        <f>COUNTIFS('Detailed Test Cases'!B:B, A27, 'Detailed Test Cases'!I:I, "Passed")</f>
        <v/>
      </c>
      <c r="D27" s="8">
        <f>COUNTIFS('Detailed Test Cases'!B:B, A27, 'Detailed Test Cases'!I:I, "Failed")</f>
        <v/>
      </c>
      <c r="E27" s="8">
        <f>COUNTIFS('Detailed Test Cases'!B:B, A27, 'Detailed Test Cases'!I:I, "Skipped")</f>
        <v/>
      </c>
      <c r="F27" s="8">
        <f>COUNTIFS('Detailed Test Cases'!B:B, A27, 'Detailed Test Cases'!I:I, "Blocked")</f>
        <v/>
      </c>
      <c r="G27" s="8">
        <f>COUNTIFS('Detailed Test Cases'!B:B, A27, 'Detailed Test Cases'!I:I, "Not Executed")</f>
        <v/>
      </c>
    </row>
    <row r="28">
      <c r="A28" s="7" t="inlineStr">
        <is>
          <t>WaterTrackerSection</t>
        </is>
      </c>
      <c r="B28" s="8">
        <f>COUNTIF('Detailed Test Cases'!B:B, A28)</f>
        <v/>
      </c>
      <c r="C28" s="8">
        <f>COUNTIFS('Detailed Test Cases'!B:B, A28, 'Detailed Test Cases'!I:I, "Passed")</f>
        <v/>
      </c>
      <c r="D28" s="8">
        <f>COUNTIFS('Detailed Test Cases'!B:B, A28, 'Detailed Test Cases'!I:I, "Failed")</f>
        <v/>
      </c>
      <c r="E28" s="8">
        <f>COUNTIFS('Detailed Test Cases'!B:B, A28, 'Detailed Test Cases'!I:I, "Skipped")</f>
        <v/>
      </c>
      <c r="F28" s="8">
        <f>COUNTIFS('Detailed Test Cases'!B:B, A28, 'Detailed Test Cases'!I:I, "Blocked")</f>
        <v/>
      </c>
      <c r="G28" s="8">
        <f>COUNTIFS('Detailed Test Cases'!B:B, A28, 'Detailed Test Cases'!I:I, "Not Executed")</f>
        <v/>
      </c>
    </row>
    <row r="29">
      <c r="A29" s="7" t="inlineStr">
        <is>
          <t>SleepTrackerSection</t>
        </is>
      </c>
      <c r="B29" s="8">
        <f>COUNTIF('Detailed Test Cases'!B:B, A29)</f>
        <v/>
      </c>
      <c r="C29" s="8">
        <f>COUNTIFS('Detailed Test Cases'!B:B, A29, 'Detailed Test Cases'!I:I, "Passed")</f>
        <v/>
      </c>
      <c r="D29" s="8">
        <f>COUNTIFS('Detailed Test Cases'!B:B, A29, 'Detailed Test Cases'!I:I, "Failed")</f>
        <v/>
      </c>
      <c r="E29" s="8">
        <f>COUNTIFS('Detailed Test Cases'!B:B, A29, 'Detailed Test Cases'!I:I, "Skipped")</f>
        <v/>
      </c>
      <c r="F29" s="8">
        <f>COUNTIFS('Detailed Test Cases'!B:B, A29, 'Detailed Test Cases'!I:I, "Blocked")</f>
        <v/>
      </c>
      <c r="G29" s="8">
        <f>COUNTIFS('Detailed Test Cases'!B:B, A29, 'Detailed Test Cases'!I:I, "Not Executed")</f>
        <v/>
      </c>
    </row>
    <row r="30">
      <c r="A30" s="7" t="inlineStr">
        <is>
          <t>StepTrackerSection</t>
        </is>
      </c>
      <c r="B30" s="8">
        <f>COUNTIF('Detailed Test Cases'!B:B, A30)</f>
        <v/>
      </c>
      <c r="C30" s="8">
        <f>COUNTIFS('Detailed Test Cases'!B:B, A30, 'Detailed Test Cases'!I:I, "Passed")</f>
        <v/>
      </c>
      <c r="D30" s="8">
        <f>COUNTIFS('Detailed Test Cases'!B:B, A30, 'Detailed Test Cases'!I:I, "Failed")</f>
        <v/>
      </c>
      <c r="E30" s="8">
        <f>COUNTIFS('Detailed Test Cases'!B:B, A30, 'Detailed Test Cases'!I:I, "Skipped")</f>
        <v/>
      </c>
      <c r="F30" s="8">
        <f>COUNTIFS('Detailed Test Cases'!B:B, A30, 'Detailed Test Cases'!I:I, "Blocked")</f>
        <v/>
      </c>
      <c r="G30" s="8">
        <f>COUNTIFS('Detailed Test Cases'!B:B, A30, 'Detailed Test Cases'!I:I, "Not Executed")</f>
        <v/>
      </c>
    </row>
    <row r="31">
      <c r="A31" s="7" t="inlineStr">
        <is>
          <t>AITrainerScreen</t>
        </is>
      </c>
      <c r="B31" s="8">
        <f>COUNTIF('Detailed Test Cases'!B:B, A31)</f>
        <v/>
      </c>
      <c r="C31" s="8">
        <f>COUNTIFS('Detailed Test Cases'!B:B, A31, 'Detailed Test Cases'!I:I, "Passed")</f>
        <v/>
      </c>
      <c r="D31" s="8">
        <f>COUNTIFS('Detailed Test Cases'!B:B, A31, 'Detailed Test Cases'!I:I, "Failed")</f>
        <v/>
      </c>
      <c r="E31" s="8">
        <f>COUNTIFS('Detailed Test Cases'!B:B, A31, 'Detailed Test Cases'!I:I, "Skipped")</f>
        <v/>
      </c>
      <c r="F31" s="8">
        <f>COUNTIFS('Detailed Test Cases'!B:B, A31, 'Detailed Test Cases'!I:I, "Blocked")</f>
        <v/>
      </c>
      <c r="G31" s="8">
        <f>COUNTIFS('Detailed Test Cases'!B:B, A31, 'Detailed Test Cases'!I:I, "Not Executed")</f>
        <v/>
      </c>
    </row>
    <row r="32">
      <c r="A32" s="7" t="inlineStr">
        <is>
          <t>ShopTab</t>
        </is>
      </c>
      <c r="B32" s="8">
        <f>COUNTIF('Detailed Test Cases'!B:B, A32)</f>
        <v/>
      </c>
      <c r="C32" s="8">
        <f>COUNTIFS('Detailed Test Cases'!B:B, A32, 'Detailed Test Cases'!I:I, "Passed")</f>
        <v/>
      </c>
      <c r="D32" s="8">
        <f>COUNTIFS('Detailed Test Cases'!B:B, A32, 'Detailed Test Cases'!I:I, "Failed")</f>
        <v/>
      </c>
      <c r="E32" s="8">
        <f>COUNTIFS('Detailed Test Cases'!B:B, A32, 'Detailed Test Cases'!I:I, "Skipped")</f>
        <v/>
      </c>
      <c r="F32" s="8">
        <f>COUNTIFS('Detailed Test Cases'!B:B, A32, 'Detailed Test Cases'!I:I, "Blocked")</f>
        <v/>
      </c>
      <c r="G32" s="8">
        <f>COUNTIFS('Detailed Test Cases'!B:B, A32, 'Detailed Test Cases'!I:I, "Not Executed")</f>
        <v/>
      </c>
    </row>
    <row r="33">
      <c r="A33" s="7" t="inlineStr">
        <is>
          <t>BudgetProductCard</t>
        </is>
      </c>
      <c r="B33" s="8">
        <f>COUNTIF('Detailed Test Cases'!B:B, A33)</f>
        <v/>
      </c>
      <c r="C33" s="8">
        <f>COUNTIFS('Detailed Test Cases'!B:B, A33, 'Detailed Test Cases'!I:I, "Passed")</f>
        <v/>
      </c>
      <c r="D33" s="8">
        <f>COUNTIFS('Detailed Test Cases'!B:B, A33, 'Detailed Test Cases'!I:I, "Failed")</f>
        <v/>
      </c>
      <c r="E33" s="8">
        <f>COUNTIFS('Detailed Test Cases'!B:B, A33, 'Detailed Test Cases'!I:I, "Skipped")</f>
        <v/>
      </c>
      <c r="F33" s="8">
        <f>COUNTIFS('Detailed Test Cases'!B:B, A33, 'Detailed Test Cases'!I:I, "Blocked")</f>
        <v/>
      </c>
      <c r="G33" s="8">
        <f>COUNTIFS('Detailed Test Cases'!B:B, A33, 'Detailed Test Cases'!I:I, "Not Executed")</f>
        <v/>
      </c>
    </row>
    <row r="34">
      <c r="A34" s="7" t="inlineStr">
        <is>
          <t>CartScreen</t>
        </is>
      </c>
      <c r="B34" s="8">
        <f>COUNTIF('Detailed Test Cases'!B:B, A34)</f>
        <v/>
      </c>
      <c r="C34" s="8">
        <f>COUNTIFS('Detailed Test Cases'!B:B, A34, 'Detailed Test Cases'!I:I, "Passed")</f>
        <v/>
      </c>
      <c r="D34" s="8">
        <f>COUNTIFS('Detailed Test Cases'!B:B, A34, 'Detailed Test Cases'!I:I, "Failed")</f>
        <v/>
      </c>
      <c r="E34" s="8">
        <f>COUNTIFS('Detailed Test Cases'!B:B, A34, 'Detailed Test Cases'!I:I, "Skipped")</f>
        <v/>
      </c>
      <c r="F34" s="8">
        <f>COUNTIFS('Detailed Test Cases'!B:B, A34, 'Detailed Test Cases'!I:I, "Blocked")</f>
        <v/>
      </c>
      <c r="G34" s="8">
        <f>COUNTIFS('Detailed Test Cases'!B:B, A34, 'Detailed Test Cases'!I:I, "Not Executed")</f>
        <v/>
      </c>
    </row>
    <row r="35">
      <c r="A35" s="7" t="inlineStr">
        <is>
          <t>CheckoutScreen</t>
        </is>
      </c>
      <c r="B35" s="8">
        <f>COUNTIF('Detailed Test Cases'!B:B, A35)</f>
        <v/>
      </c>
      <c r="C35" s="8">
        <f>COUNTIFS('Detailed Test Cases'!B:B, A35, 'Detailed Test Cases'!I:I, "Passed")</f>
        <v/>
      </c>
      <c r="D35" s="8">
        <f>COUNTIFS('Detailed Test Cases'!B:B, A35, 'Detailed Test Cases'!I:I, "Failed")</f>
        <v/>
      </c>
      <c r="E35" s="8">
        <f>COUNTIFS('Detailed Test Cases'!B:B, A35, 'Detailed Test Cases'!I:I, "Skipped")</f>
        <v/>
      </c>
      <c r="F35" s="8">
        <f>COUNTIFS('Detailed Test Cases'!B:B, A35, 'Detailed Test Cases'!I:I, "Blocked")</f>
        <v/>
      </c>
      <c r="G35" s="8">
        <f>COUNTIFS('Detailed Test Cases'!B:B, A35, 'Detailed Test Cases'!I:I, "Not Executed")</f>
        <v/>
      </c>
    </row>
    <row r="36">
      <c r="A36" s="7" t="inlineStr">
        <is>
          <t>AddressManagementSection</t>
        </is>
      </c>
      <c r="B36" s="8">
        <f>COUNTIF('Detailed Test Cases'!B:B, A36)</f>
        <v/>
      </c>
      <c r="C36" s="8">
        <f>COUNTIFS('Detailed Test Cases'!B:B, A36, 'Detailed Test Cases'!I:I, "Passed")</f>
        <v/>
      </c>
      <c r="D36" s="8">
        <f>COUNTIFS('Detailed Test Cases'!B:B, A36, 'Detailed Test Cases'!I:I, "Failed")</f>
        <v/>
      </c>
      <c r="E36" s="8">
        <f>COUNTIFS('Detailed Test Cases'!B:B, A36, 'Detailed Test Cases'!I:I, "Skipped")</f>
        <v/>
      </c>
      <c r="F36" s="8">
        <f>COUNTIFS('Detailed Test Cases'!B:B, A36, 'Detailed Test Cases'!I:I, "Blocked")</f>
        <v/>
      </c>
      <c r="G36" s="8">
        <f>COUNTIFS('Detailed Test Cases'!B:B, A36, 'Detailed Test Cases'!I:I, "Not Executed")</f>
        <v/>
      </c>
    </row>
    <row r="37">
      <c r="A37" s="7" t="inlineStr">
        <is>
          <t>OrderConfirmationScreen</t>
        </is>
      </c>
      <c r="B37" s="8">
        <f>COUNTIF('Detailed Test Cases'!B:B, A37)</f>
        <v/>
      </c>
      <c r="C37" s="8">
        <f>COUNTIFS('Detailed Test Cases'!B:B, A37, 'Detailed Test Cases'!I:I, "Passed")</f>
        <v/>
      </c>
      <c r="D37" s="8">
        <f>COUNTIFS('Detailed Test Cases'!B:B, A37, 'Detailed Test Cases'!I:I, "Failed")</f>
        <v/>
      </c>
      <c r="E37" s="8">
        <f>COUNTIFS('Detailed Test Cases'!B:B, A37, 'Detailed Test Cases'!I:I, "Skipped")</f>
        <v/>
      </c>
      <c r="F37" s="8">
        <f>COUNTIFS('Detailed Test Cases'!B:B, A37, 'Detailed Test Cases'!I:I, "Blocked")</f>
        <v/>
      </c>
      <c r="G37" s="8">
        <f>COUNTIFS('Detailed Test Cases'!B:B, A37, 'Detailed Test Cases'!I:I, "Not Executed")</f>
        <v/>
      </c>
    </row>
    <row r="38">
      <c r="A38" s="7" t="inlineStr">
        <is>
          <t>MyOrdersScreen</t>
        </is>
      </c>
      <c r="B38" s="8">
        <f>COUNTIF('Detailed Test Cases'!B:B, A38)</f>
        <v/>
      </c>
      <c r="C38" s="8">
        <f>COUNTIFS('Detailed Test Cases'!B:B, A38, 'Detailed Test Cases'!I:I, "Passed")</f>
        <v/>
      </c>
      <c r="D38" s="8">
        <f>COUNTIFS('Detailed Test Cases'!B:B, A38, 'Detailed Test Cases'!I:I, "Failed")</f>
        <v/>
      </c>
      <c r="E38" s="8">
        <f>COUNTIFS('Detailed Test Cases'!B:B, A38, 'Detailed Test Cases'!I:I, "Skipped")</f>
        <v/>
      </c>
      <c r="F38" s="8">
        <f>COUNTIFS('Detailed Test Cases'!B:B, A38, 'Detailed Test Cases'!I:I, "Blocked")</f>
        <v/>
      </c>
      <c r="G38" s="8">
        <f>COUNTIFS('Detailed Test Cases'!B:B, A38, 'Detailed Test Cases'!I:I, "Not Executed")</f>
        <v/>
      </c>
    </row>
    <row r="39">
      <c r="A39" s="7" t="inlineStr">
        <is>
          <t>OrderTrackingTimeline</t>
        </is>
      </c>
      <c r="B39" s="8">
        <f>COUNTIF('Detailed Test Cases'!B:B, A39)</f>
        <v/>
      </c>
      <c r="C39" s="8">
        <f>COUNTIFS('Detailed Test Cases'!B:B, A39, 'Detailed Test Cases'!I:I, "Passed")</f>
        <v/>
      </c>
      <c r="D39" s="8">
        <f>COUNTIFS('Detailed Test Cases'!B:B, A39, 'Detailed Test Cases'!I:I, "Failed")</f>
        <v/>
      </c>
      <c r="E39" s="8">
        <f>COUNTIFS('Detailed Test Cases'!B:B, A39, 'Detailed Test Cases'!I:I, "Skipped")</f>
        <v/>
      </c>
      <c r="F39" s="8">
        <f>COUNTIFS('Detailed Test Cases'!B:B, A39, 'Detailed Test Cases'!I:I, "Blocked")</f>
        <v/>
      </c>
      <c r="G39" s="8">
        <f>COUNTIFS('Detailed Test Cases'!B:B, A39, 'Detailed Test Cases'!I:I, "Not Executed")</f>
        <v/>
      </c>
    </row>
    <row r="40">
      <c r="A40" s="7" t="inlineStr">
        <is>
          <t>ProfileTab</t>
        </is>
      </c>
      <c r="B40" s="8">
        <f>COUNTIF('Detailed Test Cases'!B:B, A40)</f>
        <v/>
      </c>
      <c r="C40" s="8">
        <f>COUNTIFS('Detailed Test Cases'!B:B, A40, 'Detailed Test Cases'!I:I, "Passed")</f>
        <v/>
      </c>
      <c r="D40" s="8">
        <f>COUNTIFS('Detailed Test Cases'!B:B, A40, 'Detailed Test Cases'!I:I, "Failed")</f>
        <v/>
      </c>
      <c r="E40" s="8">
        <f>COUNTIFS('Detailed Test Cases'!B:B, A40, 'Detailed Test Cases'!I:I, "Skipped")</f>
        <v/>
      </c>
      <c r="F40" s="8">
        <f>COUNTIFS('Detailed Test Cases'!B:B, A40, 'Detailed Test Cases'!I:I, "Blocked")</f>
        <v/>
      </c>
      <c r="G40" s="8">
        <f>COUNTIFS('Detailed Test Cases'!B:B, A40, 'Detailed Test Cases'!I:I, "Not Executed")</f>
        <v/>
      </c>
    </row>
    <row r="41">
      <c r="A41" s="7" t="inlineStr">
        <is>
          <t>RemindersNotificationModule</t>
        </is>
      </c>
      <c r="B41" s="8">
        <f>COUNTIF('Detailed Test Cases'!B:B, A41)</f>
        <v/>
      </c>
      <c r="C41" s="8">
        <f>COUNTIFS('Detailed Test Cases'!B:B, A41, 'Detailed Test Cases'!I:I, "Passed")</f>
        <v/>
      </c>
      <c r="D41" s="8">
        <f>COUNTIFS('Detailed Test Cases'!B:B, A41, 'Detailed Test Cases'!I:I, "Failed")</f>
        <v/>
      </c>
      <c r="E41" s="8">
        <f>COUNTIFS('Detailed Test Cases'!B:B, A41, 'Detailed Test Cases'!I:I, "Skipped")</f>
        <v/>
      </c>
      <c r="F41" s="8">
        <f>COUNTIFS('Detailed Test Cases'!B:B, A41, 'Detailed Test Cases'!I:I, "Blocked")</f>
        <v/>
      </c>
      <c r="G41" s="8">
        <f>COUNTIFS('Detailed Test Cases'!B:B, A41, 'Detailed Test Cases'!I:I, "Not Executed")</f>
        <v/>
      </c>
    </row>
    <row r="42">
      <c r="A42" s="7" t="inlineStr">
        <is>
          <t>SettingsLocalizationModule</t>
        </is>
      </c>
      <c r="B42" s="8">
        <f>COUNTIF('Detailed Test Cases'!B:B, A42)</f>
        <v/>
      </c>
      <c r="C42" s="8">
        <f>COUNTIFS('Detailed Test Cases'!B:B, A42, 'Detailed Test Cases'!I:I, "Passed")</f>
        <v/>
      </c>
      <c r="D42" s="8">
        <f>COUNTIFS('Detailed Test Cases'!B:B, A42, 'Detailed Test Cases'!I:I, "Failed")</f>
        <v/>
      </c>
      <c r="E42" s="8">
        <f>COUNTIFS('Detailed Test Cases'!B:B, A42, 'Detailed Test Cases'!I:I, "Skipped")</f>
        <v/>
      </c>
      <c r="F42" s="8">
        <f>COUNTIFS('Detailed Test Cases'!B:B, A42, 'Detailed Test Cases'!I:I, "Blocked")</f>
        <v/>
      </c>
      <c r="G42" s="8">
        <f>COUNTIFS('Detailed Test Cases'!B:B, A42, 'Detailed Test Cases'!I:I, "Not Executed")</f>
        <v/>
      </c>
    </row>
    <row r="43">
      <c r="A43" s="7" t="inlineStr">
        <is>
          <t>SupabaseIntegrationModule</t>
        </is>
      </c>
      <c r="B43" s="8">
        <f>COUNTIF('Detailed Test Cases'!B:B, A43)</f>
        <v/>
      </c>
      <c r="C43" s="8">
        <f>COUNTIFS('Detailed Test Cases'!B:B, A43, 'Detailed Test Cases'!I:I, "Passed")</f>
        <v/>
      </c>
      <c r="D43" s="8">
        <f>COUNTIFS('Detailed Test Cases'!B:B, A43, 'Detailed Test Cases'!I:I, "Failed")</f>
        <v/>
      </c>
      <c r="E43" s="8">
        <f>COUNTIFS('Detailed Test Cases'!B:B, A43, 'Detailed Test Cases'!I:I, "Skipped")</f>
        <v/>
      </c>
      <c r="F43" s="8">
        <f>COUNTIFS('Detailed Test Cases'!B:B, A43, 'Detailed Test Cases'!I:I, "Blocked")</f>
        <v/>
      </c>
      <c r="G43" s="8">
        <f>COUNTIFS('Detailed Test Cases'!B:B, A43, 'Detailed Test Cases'!I:I, "Not Executed")</f>
        <v/>
      </c>
    </row>
    <row r="44">
      <c r="A44" s="9" t="inlineStr">
        <is>
          <t>Total Suite</t>
        </is>
      </c>
      <c r="B44" s="10">
        <f>SUM(B9:B43)</f>
        <v/>
      </c>
      <c r="C44" s="10">
        <f>SUM(C9:C43)</f>
        <v/>
      </c>
      <c r="D44" s="10">
        <f>SUM(D9:D43)</f>
        <v/>
      </c>
      <c r="E44" s="10">
        <f>SUM(E9:E43)</f>
        <v/>
      </c>
      <c r="F44" s="10">
        <f>SUM(F9:F43)</f>
        <v/>
      </c>
      <c r="G44" s="10">
        <f>SUM(G9:G43)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51"/>
  <sheetViews>
    <sheetView showGridLines="1" workbookViewId="0">
      <pane ySplit="1" topLeftCell="A2" activePane="bottomLeft" state="frozen"/>
      <selection pane="bottomLeft" activeCell="A1" sqref="A1"/>
    </sheetView>
  </sheetViews>
  <sheetFormatPr baseColWidth="8" defaultRowHeight="15"/>
  <cols>
    <col width="14" customWidth="1" min="1" max="1"/>
    <col width="28" customWidth="1" min="2" max="2"/>
    <col width="25" customWidth="1" min="3" max="3"/>
    <col width="35" customWidth="1" min="4" max="4"/>
    <col width="45" customWidth="1" min="5" max="5"/>
    <col width="30" customWidth="1" min="6" max="6"/>
    <col width="35" customWidth="1" min="7" max="7"/>
    <col width="20" customWidth="1" min="8" max="8"/>
    <col width="15" customWidth="1" min="9" max="9"/>
    <col width="12" customWidth="1" min="10" max="10"/>
    <col width="12" customWidth="1" min="11" max="11"/>
    <col width="18" customWidth="1" min="12" max="12"/>
    <col width="25" customWidth="1" min="13" max="13"/>
    <col width="25" customWidth="1" min="14" max="14"/>
    <col width="25" customWidth="1" min="15" max="15"/>
  </cols>
  <sheetData>
    <row r="1" ht="28" customHeight="1">
      <c r="A1" s="6" t="inlineStr">
        <is>
          <t>Test Case ID</t>
        </is>
      </c>
      <c r="B1" s="6" t="inlineStr">
        <is>
          <t>Module/Screen</t>
        </is>
      </c>
      <c r="C1" s="6" t="inlineStr">
        <is>
          <t>Test Category</t>
        </is>
      </c>
      <c r="D1" s="6" t="inlineStr">
        <is>
          <t>Test Scenario</t>
        </is>
      </c>
      <c r="E1" s="6" t="inlineStr">
        <is>
          <t>Test Steps</t>
        </is>
      </c>
      <c r="F1" s="6" t="inlineStr">
        <is>
          <t>Test Data</t>
        </is>
      </c>
      <c r="G1" s="6" t="inlineStr">
        <is>
          <t>Expected Result</t>
        </is>
      </c>
      <c r="H1" s="6" t="inlineStr">
        <is>
          <t>Actual Result</t>
        </is>
      </c>
      <c r="I1" s="6" t="inlineStr">
        <is>
          <t>Status</t>
        </is>
      </c>
      <c r="J1" s="6" t="inlineStr">
        <is>
          <t>Priority</t>
        </is>
      </c>
      <c r="K1" s="6" t="inlineStr">
        <is>
          <t>Severity</t>
        </is>
      </c>
      <c r="L1" s="6" t="inlineStr">
        <is>
          <t>Automation Status</t>
        </is>
      </c>
      <c r="M1" s="6" t="inlineStr">
        <is>
          <t>Environment</t>
        </is>
      </c>
      <c r="N1" s="6" t="inlineStr">
        <is>
          <t>Browser/Device</t>
        </is>
      </c>
      <c r="O1" s="6" t="inlineStr">
        <is>
          <t>Remarks</t>
        </is>
      </c>
    </row>
    <row r="2" ht="36" customHeight="1">
      <c r="A2" s="11" t="inlineStr">
        <is>
          <t>TC-001</t>
        </is>
      </c>
      <c r="B2" s="12" t="inlineStr">
        <is>
          <t>SplashScreen</t>
        </is>
      </c>
      <c r="C2" s="12" t="inlineStr">
        <is>
          <t>Safe Vulnerability &amp; Security Checks</t>
        </is>
      </c>
      <c r="D2" s="12" t="inlineStr">
        <is>
          <t>Authentication Lockout &amp; Brute-Force on Splash &amp; Onboarding Screen</t>
        </is>
      </c>
      <c r="E2" s="12" t="inlineStr">
        <is>
          <t>1. Launch test runner in Security Audit Sandbox.
2. Navigate to Splash &amp; Onboarding Screen (SplashScreen).
3. Attempt 10 invalid authentication requests on SplashScreen in rapid succession.
4. Verify expected results and log evidence.</t>
        </is>
      </c>
      <c r="F2" s="12" t="inlineStr">
        <is>
          <t>Attempts: 10 invalid</t>
        </is>
      </c>
      <c r="G2" s="12" t="inlineStr">
        <is>
          <t>Account temporarily locks out after 5 failed attempts with 429 response.</t>
        </is>
      </c>
      <c r="H2" s="12" t="inlineStr">
        <is>
          <t>Pending Execution</t>
        </is>
      </c>
      <c r="I2" s="13" t="inlineStr">
        <is>
          <t>Not Executed</t>
        </is>
      </c>
      <c r="J2" s="11" t="inlineStr">
        <is>
          <t>Medium</t>
        </is>
      </c>
      <c r="K2" s="11" t="inlineStr">
        <is>
          <t>Moderate</t>
        </is>
      </c>
      <c r="L2" s="11" t="inlineStr">
        <is>
          <t>Script Ready</t>
        </is>
      </c>
      <c r="M2" s="12" t="inlineStr">
        <is>
          <t>Security Audit Sandbox</t>
        </is>
      </c>
      <c r="N2" s="12" t="inlineStr">
        <is>
          <t>Defensive Security Audit Engine</t>
        </is>
      </c>
      <c r="O2" s="12" t="inlineStr">
        <is>
          <t>Screen-specific baseline case for Splash &amp; Onboarding Screen</t>
        </is>
      </c>
    </row>
    <row r="3" ht="36" customHeight="1">
      <c r="A3" s="11" t="inlineStr">
        <is>
          <t>TC-002</t>
        </is>
      </c>
      <c r="B3" s="12" t="inlineStr">
        <is>
          <t>SplashScreen</t>
        </is>
      </c>
      <c r="C3" s="12" t="inlineStr">
        <is>
          <t>Safe Vulnerability &amp; Security Checks</t>
        </is>
      </c>
      <c r="D3" s="12" t="inlineStr">
        <is>
          <t>Role-Based Authorization &amp; IDOR Check on Splash &amp; Onboarding Screen</t>
        </is>
      </c>
      <c r="E3" s="12" t="inlineStr">
        <is>
          <t>1. Launch test runner in Security Audit Sandbox.
2. Navigate to Splash &amp; Onboarding Screen (SplashScreen).
3. Attempt querying secondary user private records on SplashScreen using guest JWT.
4. Verify expected results and log evidence.</t>
        </is>
      </c>
      <c r="F3" s="12" t="inlineStr">
        <is>
          <t>IDOR Payload: SplashScreen_user_999</t>
        </is>
      </c>
      <c r="G3" s="12" t="inlineStr">
        <is>
          <t>Database and API reject request with HTTP 403 Forbidden.</t>
        </is>
      </c>
      <c r="H3" s="12" t="inlineStr">
        <is>
          <t>Pending Execution</t>
        </is>
      </c>
      <c r="I3" s="13" t="inlineStr">
        <is>
          <t>Not Executed</t>
        </is>
      </c>
      <c r="J3" s="11" t="inlineStr">
        <is>
          <t>Medium</t>
        </is>
      </c>
      <c r="K3" s="11" t="inlineStr">
        <is>
          <t>Major</t>
        </is>
      </c>
      <c r="L3" s="11" t="inlineStr">
        <is>
          <t>Script Ready</t>
        </is>
      </c>
      <c r="M3" s="12" t="inlineStr">
        <is>
          <t>Security Audit Sandbox</t>
        </is>
      </c>
      <c r="N3" s="12" t="inlineStr">
        <is>
          <t>Defensive Security Audit Engine</t>
        </is>
      </c>
      <c r="O3" s="12" t="inlineStr">
        <is>
          <t>Screen-specific baseline case for Splash &amp; Onboarding Screen</t>
        </is>
      </c>
    </row>
    <row r="4" ht="36" customHeight="1">
      <c r="A4" s="11" t="inlineStr">
        <is>
          <t>TC-003</t>
        </is>
      </c>
      <c r="B4" s="12" t="inlineStr">
        <is>
          <t>SplashScreen</t>
        </is>
      </c>
      <c r="C4" s="12" t="inlineStr">
        <is>
          <t>Safe Vulnerability &amp; Security Checks</t>
        </is>
      </c>
      <c r="D4" s="12" t="inlineStr">
        <is>
          <t>Session Token Expiration &amp; Revocation on Splash &amp; Onboarding Screen</t>
        </is>
      </c>
      <c r="E4" s="12" t="inlineStr">
        <is>
          <t>1. Launch test runner in Security Audit Sandbox.
2. Navigate to Splash &amp; Onboarding Screen (SplashScreen).
3. Present expired JWT token to SplashScreen API endpoint, attempt data fetch.
4. Verify expected results and log evidence.</t>
        </is>
      </c>
      <c r="F4" s="12" t="inlineStr">
        <is>
          <t>JWT Token: Expired/Revoked</t>
        </is>
      </c>
      <c r="G4" s="12" t="inlineStr">
        <is>
          <t>API gateway invalidates session and redirects to login view.</t>
        </is>
      </c>
      <c r="H4" s="12" t="inlineStr">
        <is>
          <t>Pending Execution</t>
        </is>
      </c>
      <c r="I4" s="13" t="inlineStr">
        <is>
          <t>Not Executed</t>
        </is>
      </c>
      <c r="J4" s="11" t="inlineStr">
        <is>
          <t>High</t>
        </is>
      </c>
      <c r="K4" s="11" t="inlineStr">
        <is>
          <t>Moderate</t>
        </is>
      </c>
      <c r="L4" s="11" t="inlineStr">
        <is>
          <t>Script Ready</t>
        </is>
      </c>
      <c r="M4" s="12" t="inlineStr">
        <is>
          <t>Security Audit Sandbox</t>
        </is>
      </c>
      <c r="N4" s="12" t="inlineStr">
        <is>
          <t>Defensive Security Audit Engine</t>
        </is>
      </c>
      <c r="O4" s="12" t="inlineStr">
        <is>
          <t>Screen-specific baseline case for Splash &amp; Onboarding Screen</t>
        </is>
      </c>
    </row>
    <row r="5" ht="36" customHeight="1">
      <c r="A5" s="11" t="inlineStr">
        <is>
          <t>TC-004</t>
        </is>
      </c>
      <c r="B5" s="12" t="inlineStr">
        <is>
          <t>SplashScreen</t>
        </is>
      </c>
      <c r="C5" s="12" t="inlineStr">
        <is>
          <t>Safe Vulnerability &amp; Security Checks</t>
        </is>
      </c>
      <c r="D5" s="12" t="inlineStr">
        <is>
          <t>Safe SQL Injection Input Defense on Splash &amp; Onboarding Screen</t>
        </is>
      </c>
      <c r="E5" s="12" t="inlineStr">
        <is>
          <t>1. Launch test runner in Security Audit Sandbox.
2. Navigate to Splash &amp; Onboarding Screen (SplashScreen).
3. Submit safe SQLi payload `' OR '1'='1` into text input fields on SplashScreen.
4. Verify expected results and log evidence.</t>
        </is>
      </c>
      <c r="F5" s="12" t="inlineStr">
        <is>
          <t>Payload: `' OR '1'='1`</t>
        </is>
      </c>
      <c r="G5" s="12" t="inlineStr">
        <is>
          <t>Input is parameterized/escaped cleanly; no SQL error occurs.</t>
        </is>
      </c>
      <c r="H5" s="12" t="inlineStr">
        <is>
          <t>Pending Execution</t>
        </is>
      </c>
      <c r="I5" s="13" t="inlineStr">
        <is>
          <t>Not Executed</t>
        </is>
      </c>
      <c r="J5" s="11" t="inlineStr">
        <is>
          <t>Medium</t>
        </is>
      </c>
      <c r="K5" s="11" t="inlineStr">
        <is>
          <t>Major</t>
        </is>
      </c>
      <c r="L5" s="11" t="inlineStr">
        <is>
          <t>Script Ready</t>
        </is>
      </c>
      <c r="M5" s="12" t="inlineStr">
        <is>
          <t>Security Audit Sandbox</t>
        </is>
      </c>
      <c r="N5" s="12" t="inlineStr">
        <is>
          <t>Defensive Security Audit Engine</t>
        </is>
      </c>
      <c r="O5" s="12" t="inlineStr">
        <is>
          <t>Screen-specific baseline case for Splash &amp; Onboarding Screen</t>
        </is>
      </c>
    </row>
    <row r="6" ht="36" customHeight="1">
      <c r="A6" s="11" t="inlineStr">
        <is>
          <t>TC-005</t>
        </is>
      </c>
      <c r="B6" s="12" t="inlineStr">
        <is>
          <t>SplashScreen</t>
        </is>
      </c>
      <c r="C6" s="12" t="inlineStr">
        <is>
          <t>Safe Vulnerability &amp; Security Checks</t>
        </is>
      </c>
      <c r="D6" s="12" t="inlineStr">
        <is>
          <t>Safe XSS Script Escaping Validation on Splash &amp; Onboarding Screen</t>
        </is>
      </c>
      <c r="E6" s="12" t="inlineStr">
        <is>
          <t>1. Launch test runner in Security Audit Sandbox.
2. Navigate to Splash &amp; Onboarding Screen (SplashScreen).
3. Submit safe script payload `&lt;script&gt;alert(1)&lt;/script&gt;` into SplashScreen fields.
4. Verify expected results and log evidence.</t>
        </is>
      </c>
      <c r="F6" s="12" t="inlineStr">
        <is>
          <t>Payload: `&lt;script&gt;alert(1)&lt;/script&gt;`</t>
        </is>
      </c>
      <c r="G6" s="12" t="inlineStr">
        <is>
          <t>Payload renders as plain text string; script does not execute.</t>
        </is>
      </c>
      <c r="H6" s="12" t="inlineStr">
        <is>
          <t>Pending Execution</t>
        </is>
      </c>
      <c r="I6" s="13" t="inlineStr">
        <is>
          <t>Not Executed</t>
        </is>
      </c>
      <c r="J6" s="11" t="inlineStr">
        <is>
          <t>Low</t>
        </is>
      </c>
      <c r="K6" s="11" t="inlineStr">
        <is>
          <t>Moderate</t>
        </is>
      </c>
      <c r="L6" s="11" t="inlineStr">
        <is>
          <t>Script Ready</t>
        </is>
      </c>
      <c r="M6" s="12" t="inlineStr">
        <is>
          <t>Security Audit Sandbox</t>
        </is>
      </c>
      <c r="N6" s="12" t="inlineStr">
        <is>
          <t>Defensive Security Audit Engine</t>
        </is>
      </c>
      <c r="O6" s="12" t="inlineStr">
        <is>
          <t>Screen-specific baseline case for Splash &amp; Onboarding Screen</t>
        </is>
      </c>
    </row>
    <row r="7" ht="36" customHeight="1">
      <c r="A7" s="11" t="inlineStr">
        <is>
          <t>TC-006</t>
        </is>
      </c>
      <c r="B7" s="12" t="inlineStr">
        <is>
          <t>SplashScreen</t>
        </is>
      </c>
      <c r="C7" s="12" t="inlineStr">
        <is>
          <t>Safe Vulnerability &amp; Security Checks</t>
        </is>
      </c>
      <c r="D7" s="12" t="inlineStr">
        <is>
          <t>TLS 1.3 Transport Encryption Enforcement on Splash &amp; Onboarding Screen</t>
        </is>
      </c>
      <c r="E7" s="12" t="inlineStr">
        <is>
          <t>1. Launch test runner in Security Audit Sandbox.
2. Navigate to Splash &amp; Onboarding Screen (SplashScreen).
3. Inspect outbound network traffic for SplashScreen using passive OWASP proxy.
4. Verify expected results and log evidence.</t>
        </is>
      </c>
      <c r="F7" s="12" t="inlineStr">
        <is>
          <t>Protocol: TLS 1.3 / HTTPS</t>
        </is>
      </c>
      <c r="G7" s="12" t="inlineStr">
        <is>
          <t>All HTTP connections upgrade to TLS 1.3; unencrypted HTTP blocked.</t>
        </is>
      </c>
      <c r="H7" s="12" t="inlineStr">
        <is>
          <t>Pending Execution</t>
        </is>
      </c>
      <c r="I7" s="13" t="inlineStr">
        <is>
          <t>Not Executed</t>
        </is>
      </c>
      <c r="J7" s="11" t="inlineStr">
        <is>
          <t>High</t>
        </is>
      </c>
      <c r="K7" s="11" t="inlineStr">
        <is>
          <t>Major</t>
        </is>
      </c>
      <c r="L7" s="11" t="inlineStr">
        <is>
          <t>Script Ready</t>
        </is>
      </c>
      <c r="M7" s="12" t="inlineStr">
        <is>
          <t>Security Audit Sandbox</t>
        </is>
      </c>
      <c r="N7" s="12" t="inlineStr">
        <is>
          <t>Defensive Security Audit Engine</t>
        </is>
      </c>
      <c r="O7" s="12" t="inlineStr">
        <is>
          <t>Screen-specific baseline case for Splash &amp; Onboarding Screen</t>
        </is>
      </c>
    </row>
    <row r="8" ht="36" customHeight="1">
      <c r="A8" s="11" t="inlineStr">
        <is>
          <t>TC-007</t>
        </is>
      </c>
      <c r="B8" s="12" t="inlineStr">
        <is>
          <t>SplashScreen</t>
        </is>
      </c>
      <c r="C8" s="12" t="inlineStr">
        <is>
          <t>Safe Vulnerability &amp; Security Checks</t>
        </is>
      </c>
      <c r="D8" s="12" t="inlineStr">
        <is>
          <t>API Rate Limiting 429 Response Check on Splash &amp; Onboarding Screen</t>
        </is>
      </c>
      <c r="E8" s="12" t="inlineStr">
        <is>
          <t>1. Launch test runner in Security Audit Sandbox.
2. Navigate to Splash &amp; Onboarding Screen (SplashScreen).
3. Send 100 rapid requests within 5 seconds to SplashScreen public endpoints.
4. Verify expected results and log evidence.</t>
        </is>
      </c>
      <c r="F8" s="12" t="inlineStr">
        <is>
          <t>Requests: 100 in 5s</t>
        </is>
      </c>
      <c r="G8" s="12" t="inlineStr">
        <is>
          <t>Rate limiter triggers HTTP 429 Too Many Requests response.</t>
        </is>
      </c>
      <c r="H8" s="12" t="inlineStr">
        <is>
          <t>Pending Execution</t>
        </is>
      </c>
      <c r="I8" s="13" t="inlineStr">
        <is>
          <t>Not Executed</t>
        </is>
      </c>
      <c r="J8" s="11" t="inlineStr">
        <is>
          <t>Medium</t>
        </is>
      </c>
      <c r="K8" s="11" t="inlineStr">
        <is>
          <t>Critical</t>
        </is>
      </c>
      <c r="L8" s="11" t="inlineStr">
        <is>
          <t>Script Ready</t>
        </is>
      </c>
      <c r="M8" s="12" t="inlineStr">
        <is>
          <t>Security Audit Sandbox</t>
        </is>
      </c>
      <c r="N8" s="12" t="inlineStr">
        <is>
          <t>Defensive Security Audit Engine</t>
        </is>
      </c>
      <c r="O8" s="12" t="inlineStr">
        <is>
          <t>Screen-specific baseline case for Splash &amp; Onboarding Screen</t>
        </is>
      </c>
    </row>
    <row r="9" ht="36" customHeight="1">
      <c r="A9" s="11" t="inlineStr">
        <is>
          <t>TC-008</t>
        </is>
      </c>
      <c r="B9" s="12" t="inlineStr">
        <is>
          <t>SplashScreen</t>
        </is>
      </c>
      <c r="C9" s="12" t="inlineStr">
        <is>
          <t>Safe Vulnerability &amp; Security Checks</t>
        </is>
      </c>
      <c r="D9" s="12" t="inlineStr">
        <is>
          <t>Supabase Row Level Security (RLS) Audit on Splash &amp; Onboarding Screen</t>
        </is>
      </c>
      <c r="E9" s="12" t="inlineStr">
        <is>
          <t>1. Launch test runner in Security Audit Sandbox.
2. Navigate to Splash &amp; Onboarding Screen (SplashScreen).
3. Query Supabase PostgreSQL table for SplashScreen without auth header.
4. Verify expected results and log evidence.</t>
        </is>
      </c>
      <c r="F9" s="12" t="inlineStr">
        <is>
          <t>RLS Check: SplashScreen_table</t>
        </is>
      </c>
      <c r="G9" s="12" t="inlineStr">
        <is>
          <t>Supabase RLS policy blocks unauthorized row query access.</t>
        </is>
      </c>
      <c r="H9" s="12" t="inlineStr">
        <is>
          <t>Pending Execution</t>
        </is>
      </c>
      <c r="I9" s="13" t="inlineStr">
        <is>
          <t>Not Executed</t>
        </is>
      </c>
      <c r="J9" s="11" t="inlineStr">
        <is>
          <t>Medium</t>
        </is>
      </c>
      <c r="K9" s="11" t="inlineStr">
        <is>
          <t>Major</t>
        </is>
      </c>
      <c r="L9" s="11" t="inlineStr">
        <is>
          <t>Script Ready</t>
        </is>
      </c>
      <c r="M9" s="12" t="inlineStr">
        <is>
          <t>Security Audit Sandbox</t>
        </is>
      </c>
      <c r="N9" s="12" t="inlineStr">
        <is>
          <t>Defensive Security Audit Engine</t>
        </is>
      </c>
      <c r="O9" s="12" t="inlineStr">
        <is>
          <t>Screen-specific baseline case for Splash &amp; Onboarding Screen</t>
        </is>
      </c>
    </row>
    <row r="10" ht="36" customHeight="1">
      <c r="A10" s="11" t="inlineStr">
        <is>
          <t>TC-009</t>
        </is>
      </c>
      <c r="B10" s="12" t="inlineStr">
        <is>
          <t>SplashScreen</t>
        </is>
      </c>
      <c r="C10" s="12" t="inlineStr">
        <is>
          <t>Safe Vulnerability &amp; Security Checks</t>
        </is>
      </c>
      <c r="D10" s="12" t="inlineStr">
        <is>
          <t>Privileged Route Guard Verification on Splash &amp; Onboarding Screen</t>
        </is>
      </c>
      <c r="E10" s="12" t="inlineStr">
        <is>
          <t>1. Launch test runner in Security Audit Sandbox.
2. Navigate to Splash &amp; Onboarding Screen (SplashScreen).
3. Attempt deep linking directly to restricted SplashScreen view as unauthenticated user.
4. Verify expected results and log evidence.</t>
        </is>
      </c>
      <c r="F10" s="12" t="inlineStr">
        <is>
          <t>Route: /SplashScreen_admin</t>
        </is>
      </c>
      <c r="G10" s="12" t="inlineStr">
        <is>
          <t>Router guard intercepts request and redirects to login screen.</t>
        </is>
      </c>
      <c r="H10" s="12" t="inlineStr">
        <is>
          <t>Pending Execution</t>
        </is>
      </c>
      <c r="I10" s="13" t="inlineStr">
        <is>
          <t>Not Executed</t>
        </is>
      </c>
      <c r="J10" s="11" t="inlineStr">
        <is>
          <t>High</t>
        </is>
      </c>
      <c r="K10" s="11" t="inlineStr">
        <is>
          <t>Moderate</t>
        </is>
      </c>
      <c r="L10" s="11" t="inlineStr">
        <is>
          <t>Script Ready</t>
        </is>
      </c>
      <c r="M10" s="12" t="inlineStr">
        <is>
          <t>Security Audit Sandbox</t>
        </is>
      </c>
      <c r="N10" s="12" t="inlineStr">
        <is>
          <t>Defensive Security Audit Engine</t>
        </is>
      </c>
      <c r="O10" s="12" t="inlineStr">
        <is>
          <t>Screen-specific baseline case for Splash &amp; Onboarding Screen</t>
        </is>
      </c>
    </row>
    <row r="11" ht="36" customHeight="1">
      <c r="A11" s="11" t="inlineStr">
        <is>
          <t>TC-010</t>
        </is>
      </c>
      <c r="B11" s="12" t="inlineStr">
        <is>
          <t>SplashScreen</t>
        </is>
      </c>
      <c r="C11" s="12" t="inlineStr">
        <is>
          <t>Safe Vulnerability &amp; Security Checks</t>
        </is>
      </c>
      <c r="D11" s="12" t="inlineStr">
        <is>
          <t>Sensitive Data Masking &amp; Log Leak Check on Splash &amp; Onboarding Screen</t>
        </is>
      </c>
      <c r="E11" s="12" t="inlineStr">
        <is>
          <t>1. Launch test runner in Security Audit Sandbox.
2. Navigate to Splash &amp; Onboarding Screen (SplashScreen).
3. Audit application log files and network payloads for exposed SplashScreen secrets.
4. Verify expected results and log evidence.</t>
        </is>
      </c>
      <c r="F11" s="12" t="inlineStr">
        <is>
          <t>Audit: Password/Token fields</t>
        </is>
      </c>
      <c r="G11" s="12" t="inlineStr">
        <is>
          <t>Sensitive credentials and PII are masked or omitted from logs.</t>
        </is>
      </c>
      <c r="H11" s="12" t="inlineStr">
        <is>
          <t>Pending Execution</t>
        </is>
      </c>
      <c r="I11" s="13" t="inlineStr">
        <is>
          <t>Not Executed</t>
        </is>
      </c>
      <c r="J11" s="11" t="inlineStr">
        <is>
          <t>Low</t>
        </is>
      </c>
      <c r="K11" s="11" t="inlineStr">
        <is>
          <t>Major</t>
        </is>
      </c>
      <c r="L11" s="11" t="inlineStr">
        <is>
          <t>Script Ready</t>
        </is>
      </c>
      <c r="M11" s="12" t="inlineStr">
        <is>
          <t>Security Audit Sandbox</t>
        </is>
      </c>
      <c r="N11" s="12" t="inlineStr">
        <is>
          <t>Defensive Security Audit Engine</t>
        </is>
      </c>
      <c r="O11" s="12" t="inlineStr">
        <is>
          <t>Screen-specific baseline case for Splash &amp; Onboarding Screen</t>
        </is>
      </c>
    </row>
    <row r="12" ht="36" customHeight="1">
      <c r="A12" s="11" t="inlineStr">
        <is>
          <t>TC-011</t>
        </is>
      </c>
      <c r="B12" s="12" t="inlineStr">
        <is>
          <t>LoginScreen</t>
        </is>
      </c>
      <c r="C12" s="12" t="inlineStr">
        <is>
          <t>Safe Vulnerability &amp; Security Checks</t>
        </is>
      </c>
      <c r="D12" s="12" t="inlineStr">
        <is>
          <t>Authentication Lockout &amp; Brute-Force on Login &amp; Authentication Screen</t>
        </is>
      </c>
      <c r="E12" s="12" t="inlineStr">
        <is>
          <t>1. Launch test runner in Security Audit Sandbox.
2. Navigate to Login &amp; Authentication Screen (LoginScreen).
3. Attempt 10 invalid authentication requests on LoginScreen in rapid succession.
4. Verify expected results and log evidence.</t>
        </is>
      </c>
      <c r="F12" s="12" t="inlineStr">
        <is>
          <t>Attempts: 10 invalid</t>
        </is>
      </c>
      <c r="G12" s="12" t="inlineStr">
        <is>
          <t>Account temporarily locks out after 5 failed attempts with 429 response.</t>
        </is>
      </c>
      <c r="H12" s="12" t="inlineStr">
        <is>
          <t>Pending Execution</t>
        </is>
      </c>
      <c r="I12" s="13" t="inlineStr">
        <is>
          <t>Not Executed</t>
        </is>
      </c>
      <c r="J12" s="11" t="inlineStr">
        <is>
          <t>Medium</t>
        </is>
      </c>
      <c r="K12" s="11" t="inlineStr">
        <is>
          <t>Moderate</t>
        </is>
      </c>
      <c r="L12" s="11" t="inlineStr">
        <is>
          <t>Script Ready</t>
        </is>
      </c>
      <c r="M12" s="12" t="inlineStr">
        <is>
          <t>Security Audit Sandbox</t>
        </is>
      </c>
      <c r="N12" s="12" t="inlineStr">
        <is>
          <t>Defensive Security Audit Engine</t>
        </is>
      </c>
      <c r="O12" s="12" t="inlineStr">
        <is>
          <t>Screen-specific baseline case for Login &amp; Authentication Screen</t>
        </is>
      </c>
    </row>
    <row r="13" ht="36" customHeight="1">
      <c r="A13" s="11" t="inlineStr">
        <is>
          <t>TC-012</t>
        </is>
      </c>
      <c r="B13" s="12" t="inlineStr">
        <is>
          <t>LoginScreen</t>
        </is>
      </c>
      <c r="C13" s="12" t="inlineStr">
        <is>
          <t>Safe Vulnerability &amp; Security Checks</t>
        </is>
      </c>
      <c r="D13" s="12" t="inlineStr">
        <is>
          <t>Role-Based Authorization &amp; IDOR Check on Login &amp; Authentication Screen</t>
        </is>
      </c>
      <c r="E13" s="12" t="inlineStr">
        <is>
          <t>1. Launch test runner in Security Audit Sandbox.
2. Navigate to Login &amp; Authentication Screen (LoginScreen).
3. Attempt querying secondary user private records on LoginScreen using guest JWT.
4. Verify expected results and log evidence.</t>
        </is>
      </c>
      <c r="F13" s="12" t="inlineStr">
        <is>
          <t>IDOR Payload: LoginScreen_user_999</t>
        </is>
      </c>
      <c r="G13" s="12" t="inlineStr">
        <is>
          <t>Database and API reject request with HTTP 403 Forbidden.</t>
        </is>
      </c>
      <c r="H13" s="12" t="inlineStr">
        <is>
          <t>Pending Execution</t>
        </is>
      </c>
      <c r="I13" s="13" t="inlineStr">
        <is>
          <t>Not Executed</t>
        </is>
      </c>
      <c r="J13" s="11" t="inlineStr">
        <is>
          <t>High</t>
        </is>
      </c>
      <c r="K13" s="11" t="inlineStr">
        <is>
          <t>Major</t>
        </is>
      </c>
      <c r="L13" s="11" t="inlineStr">
        <is>
          <t>Script Ready</t>
        </is>
      </c>
      <c r="M13" s="12" t="inlineStr">
        <is>
          <t>Security Audit Sandbox</t>
        </is>
      </c>
      <c r="N13" s="12" t="inlineStr">
        <is>
          <t>Defensive Security Audit Engine</t>
        </is>
      </c>
      <c r="O13" s="12" t="inlineStr">
        <is>
          <t>Screen-specific baseline case for Login &amp; Authentication Screen</t>
        </is>
      </c>
    </row>
    <row r="14" ht="36" customHeight="1">
      <c r="A14" s="11" t="inlineStr">
        <is>
          <t>TC-013</t>
        </is>
      </c>
      <c r="B14" s="12" t="inlineStr">
        <is>
          <t>LoginScreen</t>
        </is>
      </c>
      <c r="C14" s="12" t="inlineStr">
        <is>
          <t>Safe Vulnerability &amp; Security Checks</t>
        </is>
      </c>
      <c r="D14" s="12" t="inlineStr">
        <is>
          <t>Session Token Expiration &amp; Revocation on Login &amp; Authentication Screen</t>
        </is>
      </c>
      <c r="E14" s="12" t="inlineStr">
        <is>
          <t>1. Launch test runner in Security Audit Sandbox.
2. Navigate to Login &amp; Authentication Screen (LoginScreen).
3. Present expired JWT token to LoginScreen API endpoint, attempt data fetch.
4. Verify expected results and log evidence.</t>
        </is>
      </c>
      <c r="F14" s="12" t="inlineStr">
        <is>
          <t>JWT Token: Expired/Revoked</t>
        </is>
      </c>
      <c r="G14" s="12" t="inlineStr">
        <is>
          <t>API gateway invalidates session and redirects to login view.</t>
        </is>
      </c>
      <c r="H14" s="12" t="inlineStr">
        <is>
          <t>Pending Execution</t>
        </is>
      </c>
      <c r="I14" s="13" t="inlineStr">
        <is>
          <t>Not Executed</t>
        </is>
      </c>
      <c r="J14" s="11" t="inlineStr">
        <is>
          <t>Medium</t>
        </is>
      </c>
      <c r="K14" s="11" t="inlineStr">
        <is>
          <t>Moderate</t>
        </is>
      </c>
      <c r="L14" s="11" t="inlineStr">
        <is>
          <t>Script Ready</t>
        </is>
      </c>
      <c r="M14" s="12" t="inlineStr">
        <is>
          <t>Security Audit Sandbox</t>
        </is>
      </c>
      <c r="N14" s="12" t="inlineStr">
        <is>
          <t>Defensive Security Audit Engine</t>
        </is>
      </c>
      <c r="O14" s="12" t="inlineStr">
        <is>
          <t>Screen-specific baseline case for Login &amp; Authentication Screen</t>
        </is>
      </c>
    </row>
    <row r="15" ht="36" customHeight="1">
      <c r="A15" s="11" t="inlineStr">
        <is>
          <t>TC-014</t>
        </is>
      </c>
      <c r="B15" s="12" t="inlineStr">
        <is>
          <t>LoginScreen</t>
        </is>
      </c>
      <c r="C15" s="12" t="inlineStr">
        <is>
          <t>Safe Vulnerability &amp; Security Checks</t>
        </is>
      </c>
      <c r="D15" s="12" t="inlineStr">
        <is>
          <t>Safe SQL Injection Input Defense on Login &amp; Authentication Screen</t>
        </is>
      </c>
      <c r="E15" s="12" t="inlineStr">
        <is>
          <t>1. Launch test runner in Security Audit Sandbox.
2. Navigate to Login &amp; Authentication Screen (LoginScreen).
3. Submit safe SQLi payload `' OR '1'='1` into text input fields on LoginScreen.
4. Verify expected results and log evidence.</t>
        </is>
      </c>
      <c r="F15" s="12" t="inlineStr">
        <is>
          <t>Payload: `' OR '1'='1`</t>
        </is>
      </c>
      <c r="G15" s="12" t="inlineStr">
        <is>
          <t>Input is parameterized/escaped cleanly; no SQL error occurs.</t>
        </is>
      </c>
      <c r="H15" s="12" t="inlineStr">
        <is>
          <t>Pending Execution</t>
        </is>
      </c>
      <c r="I15" s="13" t="inlineStr">
        <is>
          <t>Not Executed</t>
        </is>
      </c>
      <c r="J15" s="11" t="inlineStr">
        <is>
          <t>Medium</t>
        </is>
      </c>
      <c r="K15" s="11" t="inlineStr">
        <is>
          <t>Critical</t>
        </is>
      </c>
      <c r="L15" s="11" t="inlineStr">
        <is>
          <t>Script Ready</t>
        </is>
      </c>
      <c r="M15" s="12" t="inlineStr">
        <is>
          <t>Security Audit Sandbox</t>
        </is>
      </c>
      <c r="N15" s="12" t="inlineStr">
        <is>
          <t>Defensive Security Audit Engine</t>
        </is>
      </c>
      <c r="O15" s="12" t="inlineStr">
        <is>
          <t>Screen-specific baseline case for Login &amp; Authentication Screen</t>
        </is>
      </c>
    </row>
    <row r="16" ht="36" customHeight="1">
      <c r="A16" s="11" t="inlineStr">
        <is>
          <t>TC-015</t>
        </is>
      </c>
      <c r="B16" s="12" t="inlineStr">
        <is>
          <t>LoginScreen</t>
        </is>
      </c>
      <c r="C16" s="12" t="inlineStr">
        <is>
          <t>Safe Vulnerability &amp; Security Checks</t>
        </is>
      </c>
      <c r="D16" s="12" t="inlineStr">
        <is>
          <t>Safe XSS Script Escaping Validation on Login &amp; Authentication Screen</t>
        </is>
      </c>
      <c r="E16" s="12" t="inlineStr">
        <is>
          <t>1. Launch test runner in Security Audit Sandbox.
2. Navigate to Login &amp; Authentication Screen (LoginScreen).
3. Submit safe script payload `&lt;script&gt;alert(1)&lt;/script&gt;` into LoginScreen fields.
4. Verify expected results and log evidence.</t>
        </is>
      </c>
      <c r="F16" s="12" t="inlineStr">
        <is>
          <t>Payload: `&lt;script&gt;alert(1)&lt;/script&gt;`</t>
        </is>
      </c>
      <c r="G16" s="12" t="inlineStr">
        <is>
          <t>Payload renders as plain text string; script does not execute.</t>
        </is>
      </c>
      <c r="H16" s="12" t="inlineStr">
        <is>
          <t>Pending Execution</t>
        </is>
      </c>
      <c r="I16" s="13" t="inlineStr">
        <is>
          <t>Not Executed</t>
        </is>
      </c>
      <c r="J16" s="11" t="inlineStr">
        <is>
          <t>High</t>
        </is>
      </c>
      <c r="K16" s="11" t="inlineStr">
        <is>
          <t>Moderate</t>
        </is>
      </c>
      <c r="L16" s="11" t="inlineStr">
        <is>
          <t>Script Ready</t>
        </is>
      </c>
      <c r="M16" s="12" t="inlineStr">
        <is>
          <t>Security Audit Sandbox</t>
        </is>
      </c>
      <c r="N16" s="12" t="inlineStr">
        <is>
          <t>Defensive Security Audit Engine</t>
        </is>
      </c>
      <c r="O16" s="12" t="inlineStr">
        <is>
          <t>Screen-specific baseline case for Login &amp; Authentication Screen</t>
        </is>
      </c>
    </row>
    <row r="17" ht="36" customHeight="1">
      <c r="A17" s="11" t="inlineStr">
        <is>
          <t>TC-016</t>
        </is>
      </c>
      <c r="B17" s="12" t="inlineStr">
        <is>
          <t>LoginScreen</t>
        </is>
      </c>
      <c r="C17" s="12" t="inlineStr">
        <is>
          <t>Safe Vulnerability &amp; Security Checks</t>
        </is>
      </c>
      <c r="D17" s="12" t="inlineStr">
        <is>
          <t>TLS 1.3 Transport Encryption Enforcement on Login &amp; Authentication Screen</t>
        </is>
      </c>
      <c r="E17" s="12" t="inlineStr">
        <is>
          <t>1. Launch test runner in Security Audit Sandbox.
2. Navigate to Login &amp; Authentication Screen (LoginScreen).
3. Inspect outbound network traffic for LoginScreen using passive OWASP proxy.
4. Verify expected results and log evidence.</t>
        </is>
      </c>
      <c r="F17" s="12" t="inlineStr">
        <is>
          <t>Protocol: TLS 1.3 / HTTPS</t>
        </is>
      </c>
      <c r="G17" s="12" t="inlineStr">
        <is>
          <t>All HTTP connections upgrade to TLS 1.3; unencrypted HTTP blocked.</t>
        </is>
      </c>
      <c r="H17" s="12" t="inlineStr">
        <is>
          <t>Pending Execution</t>
        </is>
      </c>
      <c r="I17" s="13" t="inlineStr">
        <is>
          <t>Not Executed</t>
        </is>
      </c>
      <c r="J17" s="11" t="inlineStr">
        <is>
          <t>Medium</t>
        </is>
      </c>
      <c r="K17" s="11" t="inlineStr">
        <is>
          <t>Major</t>
        </is>
      </c>
      <c r="L17" s="11" t="inlineStr">
        <is>
          <t>Script Ready</t>
        </is>
      </c>
      <c r="M17" s="12" t="inlineStr">
        <is>
          <t>Security Audit Sandbox</t>
        </is>
      </c>
      <c r="N17" s="12" t="inlineStr">
        <is>
          <t>Defensive Security Audit Engine</t>
        </is>
      </c>
      <c r="O17" s="12" t="inlineStr">
        <is>
          <t>Screen-specific baseline case for Login &amp; Authentication Screen</t>
        </is>
      </c>
    </row>
    <row r="18" ht="36" customHeight="1">
      <c r="A18" s="11" t="inlineStr">
        <is>
          <t>TC-017</t>
        </is>
      </c>
      <c r="B18" s="12" t="inlineStr">
        <is>
          <t>LoginScreen</t>
        </is>
      </c>
      <c r="C18" s="12" t="inlineStr">
        <is>
          <t>Safe Vulnerability &amp; Security Checks</t>
        </is>
      </c>
      <c r="D18" s="12" t="inlineStr">
        <is>
          <t>API Rate Limiting 429 Response Check on Login &amp; Authentication Screen</t>
        </is>
      </c>
      <c r="E18" s="12" t="inlineStr">
        <is>
          <t>1. Launch test runner in Security Audit Sandbox.
2. Navigate to Login &amp; Authentication Screen (LoginScreen).
3. Send 100 rapid requests within 5 seconds to LoginScreen public endpoints.
4. Verify expected results and log evidence.</t>
        </is>
      </c>
      <c r="F18" s="12" t="inlineStr">
        <is>
          <t>Requests: 100 in 5s</t>
        </is>
      </c>
      <c r="G18" s="12" t="inlineStr">
        <is>
          <t>Rate limiter triggers HTTP 429 Too Many Requests response.</t>
        </is>
      </c>
      <c r="H18" s="12" t="inlineStr">
        <is>
          <t>Pending Execution</t>
        </is>
      </c>
      <c r="I18" s="13" t="inlineStr">
        <is>
          <t>Not Executed</t>
        </is>
      </c>
      <c r="J18" s="11" t="inlineStr">
        <is>
          <t>Medium</t>
        </is>
      </c>
      <c r="K18" s="11" t="inlineStr">
        <is>
          <t>Moderate</t>
        </is>
      </c>
      <c r="L18" s="11" t="inlineStr">
        <is>
          <t>Script Ready</t>
        </is>
      </c>
      <c r="M18" s="12" t="inlineStr">
        <is>
          <t>Security Audit Sandbox</t>
        </is>
      </c>
      <c r="N18" s="12" t="inlineStr">
        <is>
          <t>Defensive Security Audit Engine</t>
        </is>
      </c>
      <c r="O18" s="12" t="inlineStr">
        <is>
          <t>Screen-specific baseline case for Login &amp; Authentication Screen</t>
        </is>
      </c>
    </row>
    <row r="19" ht="36" customHeight="1">
      <c r="A19" s="11" t="inlineStr">
        <is>
          <t>TC-018</t>
        </is>
      </c>
      <c r="B19" s="12" t="inlineStr">
        <is>
          <t>LoginScreen</t>
        </is>
      </c>
      <c r="C19" s="12" t="inlineStr">
        <is>
          <t>Safe Vulnerability &amp; Security Checks</t>
        </is>
      </c>
      <c r="D19" s="12" t="inlineStr">
        <is>
          <t>Supabase Row Level Security (RLS) Audit on Login &amp; Authentication Screen</t>
        </is>
      </c>
      <c r="E19" s="12" t="inlineStr">
        <is>
          <t>1. Launch test runner in Security Audit Sandbox.
2. Navigate to Login &amp; Authentication Screen (LoginScreen).
3. Query Supabase PostgreSQL table for LoginScreen without auth header.
4. Verify expected results and log evidence.</t>
        </is>
      </c>
      <c r="F19" s="12" t="inlineStr">
        <is>
          <t>RLS Check: LoginScreen_table</t>
        </is>
      </c>
      <c r="G19" s="12" t="inlineStr">
        <is>
          <t>Supabase RLS policy blocks unauthorized row query access.</t>
        </is>
      </c>
      <c r="H19" s="12" t="inlineStr">
        <is>
          <t>Pending Execution</t>
        </is>
      </c>
      <c r="I19" s="13" t="inlineStr">
        <is>
          <t>Not Executed</t>
        </is>
      </c>
      <c r="J19" s="11" t="inlineStr">
        <is>
          <t>High</t>
        </is>
      </c>
      <c r="K19" s="11" t="inlineStr">
        <is>
          <t>Major</t>
        </is>
      </c>
      <c r="L19" s="11" t="inlineStr">
        <is>
          <t>Script Ready</t>
        </is>
      </c>
      <c r="M19" s="12" t="inlineStr">
        <is>
          <t>Security Audit Sandbox</t>
        </is>
      </c>
      <c r="N19" s="12" t="inlineStr">
        <is>
          <t>Defensive Security Audit Engine</t>
        </is>
      </c>
      <c r="O19" s="12" t="inlineStr">
        <is>
          <t>Screen-specific baseline case for Login &amp; Authentication Screen</t>
        </is>
      </c>
    </row>
    <row r="20" ht="36" customHeight="1">
      <c r="A20" s="11" t="inlineStr">
        <is>
          <t>TC-019</t>
        </is>
      </c>
      <c r="B20" s="12" t="inlineStr">
        <is>
          <t>LoginScreen</t>
        </is>
      </c>
      <c r="C20" s="12" t="inlineStr">
        <is>
          <t>Safe Vulnerability &amp; Security Checks</t>
        </is>
      </c>
      <c r="D20" s="12" t="inlineStr">
        <is>
          <t>Privileged Route Guard Verification on Login &amp; Authentication Screen</t>
        </is>
      </c>
      <c r="E20" s="12" t="inlineStr">
        <is>
          <t>1. Launch test runner in Security Audit Sandbox.
2. Navigate to Login &amp; Authentication Screen (LoginScreen).
3. Attempt deep linking directly to restricted LoginScreen view as unauthenticated user.
4. Verify expected results and log evidence.</t>
        </is>
      </c>
      <c r="F20" s="12" t="inlineStr">
        <is>
          <t>Route: /LoginScreen_admin</t>
        </is>
      </c>
      <c r="G20" s="12" t="inlineStr">
        <is>
          <t>Router guard intercepts request and redirects to login screen.</t>
        </is>
      </c>
      <c r="H20" s="12" t="inlineStr">
        <is>
          <t>Pending Execution</t>
        </is>
      </c>
      <c r="I20" s="13" t="inlineStr">
        <is>
          <t>Not Executed</t>
        </is>
      </c>
      <c r="J20" s="11" t="inlineStr">
        <is>
          <t>Medium</t>
        </is>
      </c>
      <c r="K20" s="11" t="inlineStr">
        <is>
          <t>Moderate</t>
        </is>
      </c>
      <c r="L20" s="11" t="inlineStr">
        <is>
          <t>Script Ready</t>
        </is>
      </c>
      <c r="M20" s="12" t="inlineStr">
        <is>
          <t>Security Audit Sandbox</t>
        </is>
      </c>
      <c r="N20" s="12" t="inlineStr">
        <is>
          <t>Defensive Security Audit Engine</t>
        </is>
      </c>
      <c r="O20" s="12" t="inlineStr">
        <is>
          <t>Screen-specific baseline case for Login &amp; Authentication Screen</t>
        </is>
      </c>
    </row>
    <row r="21" ht="36" customHeight="1">
      <c r="A21" s="11" t="inlineStr">
        <is>
          <t>TC-020</t>
        </is>
      </c>
      <c r="B21" s="12" t="inlineStr">
        <is>
          <t>LoginScreen</t>
        </is>
      </c>
      <c r="C21" s="12" t="inlineStr">
        <is>
          <t>Safe Vulnerability &amp; Security Checks</t>
        </is>
      </c>
      <c r="D21" s="12" t="inlineStr">
        <is>
          <t>Sensitive Data Masking &amp; Log Leak Check on Login &amp; Authentication Screen</t>
        </is>
      </c>
      <c r="E21" s="12" t="inlineStr">
        <is>
          <t>1. Launch test runner in Security Audit Sandbox.
2. Navigate to Login &amp; Authentication Screen (LoginScreen).
3. Audit application log files and network payloads for exposed LoginScreen secrets.
4. Verify expected results and log evidence.</t>
        </is>
      </c>
      <c r="F21" s="12" t="inlineStr">
        <is>
          <t>Audit: Password/Token fields</t>
        </is>
      </c>
      <c r="G21" s="12" t="inlineStr">
        <is>
          <t>Sensitive credentials and PII are masked or omitted from logs.</t>
        </is>
      </c>
      <c r="H21" s="12" t="inlineStr">
        <is>
          <t>Pending Execution</t>
        </is>
      </c>
      <c r="I21" s="13" t="inlineStr">
        <is>
          <t>Not Executed</t>
        </is>
      </c>
      <c r="J21" s="11" t="inlineStr">
        <is>
          <t>Low</t>
        </is>
      </c>
      <c r="K21" s="11" t="inlineStr">
        <is>
          <t>Major</t>
        </is>
      </c>
      <c r="L21" s="11" t="inlineStr">
        <is>
          <t>Script Ready</t>
        </is>
      </c>
      <c r="M21" s="12" t="inlineStr">
        <is>
          <t>Security Audit Sandbox</t>
        </is>
      </c>
      <c r="N21" s="12" t="inlineStr">
        <is>
          <t>Defensive Security Audit Engine</t>
        </is>
      </c>
      <c r="O21" s="12" t="inlineStr">
        <is>
          <t>Screen-specific baseline case for Login &amp; Authentication Screen</t>
        </is>
      </c>
    </row>
    <row r="22" ht="36" customHeight="1">
      <c r="A22" s="11" t="inlineStr">
        <is>
          <t>TC-021</t>
        </is>
      </c>
      <c r="B22" s="12" t="inlineStr">
        <is>
          <t>SignUpScreen</t>
        </is>
      </c>
      <c r="C22" s="12" t="inlineStr">
        <is>
          <t>Safe Vulnerability &amp; Security Checks</t>
        </is>
      </c>
      <c r="D22" s="12" t="inlineStr">
        <is>
          <t>Authentication Lockout &amp; Brute-Force on User Registration Screen</t>
        </is>
      </c>
      <c r="E22" s="12" t="inlineStr">
        <is>
          <t>1. Launch test runner in Security Audit Sandbox.
2. Navigate to User Registration Screen (SignUpScreen).
3. Attempt 10 invalid authentication requests on SignUpScreen in rapid succession.
4. Verify expected results and log evidence.</t>
        </is>
      </c>
      <c r="F22" s="12" t="inlineStr">
        <is>
          <t>Attempts: 10 invalid</t>
        </is>
      </c>
      <c r="G22" s="12" t="inlineStr">
        <is>
          <t>Account temporarily locks out after 5 failed attempts with 429 response.</t>
        </is>
      </c>
      <c r="H22" s="12" t="inlineStr">
        <is>
          <t>Pending Execution</t>
        </is>
      </c>
      <c r="I22" s="13" t="inlineStr">
        <is>
          <t>Not Executed</t>
        </is>
      </c>
      <c r="J22" s="11" t="inlineStr">
        <is>
          <t>High</t>
        </is>
      </c>
      <c r="K22" s="11" t="inlineStr">
        <is>
          <t>Critical</t>
        </is>
      </c>
      <c r="L22" s="11" t="inlineStr">
        <is>
          <t>Script Ready</t>
        </is>
      </c>
      <c r="M22" s="12" t="inlineStr">
        <is>
          <t>Security Audit Sandbox</t>
        </is>
      </c>
      <c r="N22" s="12" t="inlineStr">
        <is>
          <t>Defensive Security Audit Engine</t>
        </is>
      </c>
      <c r="O22" s="12" t="inlineStr">
        <is>
          <t>Screen-specific baseline case for User Registration Screen</t>
        </is>
      </c>
    </row>
    <row r="23" ht="36" customHeight="1">
      <c r="A23" s="11" t="inlineStr">
        <is>
          <t>TC-022</t>
        </is>
      </c>
      <c r="B23" s="12" t="inlineStr">
        <is>
          <t>SignUpScreen</t>
        </is>
      </c>
      <c r="C23" s="12" t="inlineStr">
        <is>
          <t>Safe Vulnerability &amp; Security Checks</t>
        </is>
      </c>
      <c r="D23" s="12" t="inlineStr">
        <is>
          <t>Role-Based Authorization &amp; IDOR Check on User Registration Screen</t>
        </is>
      </c>
      <c r="E23" s="12" t="inlineStr">
        <is>
          <t>1. Launch test runner in Security Audit Sandbox.
2. Navigate to User Registration Screen (SignUpScreen).
3. Attempt querying secondary user private records on SignUpScreen using guest JWT.
4. Verify expected results and log evidence.</t>
        </is>
      </c>
      <c r="F23" s="12" t="inlineStr">
        <is>
          <t>IDOR Payload: SignUpScreen_user_999</t>
        </is>
      </c>
      <c r="G23" s="12" t="inlineStr">
        <is>
          <t>Database and API reject request with HTTP 403 Forbidden.</t>
        </is>
      </c>
      <c r="H23" s="12" t="inlineStr">
        <is>
          <t>Pending Execution</t>
        </is>
      </c>
      <c r="I23" s="13" t="inlineStr">
        <is>
          <t>Not Executed</t>
        </is>
      </c>
      <c r="J23" s="11" t="inlineStr">
        <is>
          <t>Medium</t>
        </is>
      </c>
      <c r="K23" s="11" t="inlineStr">
        <is>
          <t>Major</t>
        </is>
      </c>
      <c r="L23" s="11" t="inlineStr">
        <is>
          <t>Script Ready</t>
        </is>
      </c>
      <c r="M23" s="12" t="inlineStr">
        <is>
          <t>Security Audit Sandbox</t>
        </is>
      </c>
      <c r="N23" s="12" t="inlineStr">
        <is>
          <t>Defensive Security Audit Engine</t>
        </is>
      </c>
      <c r="O23" s="12" t="inlineStr">
        <is>
          <t>Screen-specific baseline case for User Registration Screen</t>
        </is>
      </c>
    </row>
    <row r="24" ht="36" customHeight="1">
      <c r="A24" s="11" t="inlineStr">
        <is>
          <t>TC-023</t>
        </is>
      </c>
      <c r="B24" s="12" t="inlineStr">
        <is>
          <t>SignUpScreen</t>
        </is>
      </c>
      <c r="C24" s="12" t="inlineStr">
        <is>
          <t>Safe Vulnerability &amp; Security Checks</t>
        </is>
      </c>
      <c r="D24" s="12" t="inlineStr">
        <is>
          <t>Session Token Expiration &amp; Revocation on User Registration Screen</t>
        </is>
      </c>
      <c r="E24" s="12" t="inlineStr">
        <is>
          <t>1. Launch test runner in Security Audit Sandbox.
2. Navigate to User Registration Screen (SignUpScreen).
3. Present expired JWT token to SignUpScreen API endpoint, attempt data fetch.
4. Verify expected results and log evidence.</t>
        </is>
      </c>
      <c r="F24" s="12" t="inlineStr">
        <is>
          <t>JWT Token: Expired/Revoked</t>
        </is>
      </c>
      <c r="G24" s="12" t="inlineStr">
        <is>
          <t>API gateway invalidates session and redirects to login view.</t>
        </is>
      </c>
      <c r="H24" s="12" t="inlineStr">
        <is>
          <t>Pending Execution</t>
        </is>
      </c>
      <c r="I24" s="13" t="inlineStr">
        <is>
          <t>Not Executed</t>
        </is>
      </c>
      <c r="J24" s="11" t="inlineStr">
        <is>
          <t>Medium</t>
        </is>
      </c>
      <c r="K24" s="11" t="inlineStr">
        <is>
          <t>Moderate</t>
        </is>
      </c>
      <c r="L24" s="11" t="inlineStr">
        <is>
          <t>Script Ready</t>
        </is>
      </c>
      <c r="M24" s="12" t="inlineStr">
        <is>
          <t>Security Audit Sandbox</t>
        </is>
      </c>
      <c r="N24" s="12" t="inlineStr">
        <is>
          <t>Defensive Security Audit Engine</t>
        </is>
      </c>
      <c r="O24" s="12" t="inlineStr">
        <is>
          <t>Screen-specific baseline case for User Registration Screen</t>
        </is>
      </c>
    </row>
    <row r="25" ht="36" customHeight="1">
      <c r="A25" s="11" t="inlineStr">
        <is>
          <t>TC-024</t>
        </is>
      </c>
      <c r="B25" s="12" t="inlineStr">
        <is>
          <t>SignUpScreen</t>
        </is>
      </c>
      <c r="C25" s="12" t="inlineStr">
        <is>
          <t>Safe Vulnerability &amp; Security Checks</t>
        </is>
      </c>
      <c r="D25" s="12" t="inlineStr">
        <is>
          <t>Safe SQL Injection Input Defense on User Registration Screen</t>
        </is>
      </c>
      <c r="E25" s="12" t="inlineStr">
        <is>
          <t>1. Launch test runner in Security Audit Sandbox.
2. Navigate to User Registration Screen (SignUpScreen).
3. Submit safe SQLi payload `' OR '1'='1` into text input fields on SignUpScreen.
4. Verify expected results and log evidence.</t>
        </is>
      </c>
      <c r="F25" s="12" t="inlineStr">
        <is>
          <t>Payload: `' OR '1'='1`</t>
        </is>
      </c>
      <c r="G25" s="12" t="inlineStr">
        <is>
          <t>Input is parameterized/escaped cleanly; no SQL error occurs.</t>
        </is>
      </c>
      <c r="H25" s="12" t="inlineStr">
        <is>
          <t>Pending Execution</t>
        </is>
      </c>
      <c r="I25" s="13" t="inlineStr">
        <is>
          <t>Not Executed</t>
        </is>
      </c>
      <c r="J25" s="11" t="inlineStr">
        <is>
          <t>High</t>
        </is>
      </c>
      <c r="K25" s="11" t="inlineStr">
        <is>
          <t>Major</t>
        </is>
      </c>
      <c r="L25" s="11" t="inlineStr">
        <is>
          <t>Script Ready</t>
        </is>
      </c>
      <c r="M25" s="12" t="inlineStr">
        <is>
          <t>Security Audit Sandbox</t>
        </is>
      </c>
      <c r="N25" s="12" t="inlineStr">
        <is>
          <t>Defensive Security Audit Engine</t>
        </is>
      </c>
      <c r="O25" s="12" t="inlineStr">
        <is>
          <t>Screen-specific baseline case for User Registration Screen</t>
        </is>
      </c>
    </row>
    <row r="26" ht="36" customHeight="1">
      <c r="A26" s="11" t="inlineStr">
        <is>
          <t>TC-025</t>
        </is>
      </c>
      <c r="B26" s="12" t="inlineStr">
        <is>
          <t>SignUpScreen</t>
        </is>
      </c>
      <c r="C26" s="12" t="inlineStr">
        <is>
          <t>Safe Vulnerability &amp; Security Checks</t>
        </is>
      </c>
      <c r="D26" s="12" t="inlineStr">
        <is>
          <t>Safe XSS Script Escaping Validation on User Registration Screen</t>
        </is>
      </c>
      <c r="E26" s="12" t="inlineStr">
        <is>
          <t>1. Launch test runner in Security Audit Sandbox.
2. Navigate to User Registration Screen (SignUpScreen).
3. Submit safe script payload `&lt;script&gt;alert(1)&lt;/script&gt;` into SignUpScreen fields.
4. Verify expected results and log evidence.</t>
        </is>
      </c>
      <c r="F26" s="12" t="inlineStr">
        <is>
          <t>Payload: `&lt;script&gt;alert(1)&lt;/script&gt;`</t>
        </is>
      </c>
      <c r="G26" s="12" t="inlineStr">
        <is>
          <t>Payload renders as plain text string; script does not execute.</t>
        </is>
      </c>
      <c r="H26" s="12" t="inlineStr">
        <is>
          <t>Pending Execution</t>
        </is>
      </c>
      <c r="I26" s="13" t="inlineStr">
        <is>
          <t>Not Executed</t>
        </is>
      </c>
      <c r="J26" s="11" t="inlineStr">
        <is>
          <t>Low</t>
        </is>
      </c>
      <c r="K26" s="11" t="inlineStr">
        <is>
          <t>Moderate</t>
        </is>
      </c>
      <c r="L26" s="11" t="inlineStr">
        <is>
          <t>Script Ready</t>
        </is>
      </c>
      <c r="M26" s="12" t="inlineStr">
        <is>
          <t>Security Audit Sandbox</t>
        </is>
      </c>
      <c r="N26" s="12" t="inlineStr">
        <is>
          <t>Defensive Security Audit Engine</t>
        </is>
      </c>
      <c r="O26" s="12" t="inlineStr">
        <is>
          <t>Screen-specific baseline case for User Registration Screen</t>
        </is>
      </c>
    </row>
    <row r="27" ht="36" customHeight="1">
      <c r="A27" s="11" t="inlineStr">
        <is>
          <t>TC-026</t>
        </is>
      </c>
      <c r="B27" s="12" t="inlineStr">
        <is>
          <t>SignUpScreen</t>
        </is>
      </c>
      <c r="C27" s="12" t="inlineStr">
        <is>
          <t>Safe Vulnerability &amp; Security Checks</t>
        </is>
      </c>
      <c r="D27" s="12" t="inlineStr">
        <is>
          <t>TLS 1.3 Transport Encryption Enforcement on User Registration Screen</t>
        </is>
      </c>
      <c r="E27" s="12" t="inlineStr">
        <is>
          <t>1. Launch test runner in Security Audit Sandbox.
2. Navigate to User Registration Screen (SignUpScreen).
3. Inspect outbound network traffic for SignUpScreen using passive OWASP proxy.
4. Verify expected results and log evidence.</t>
        </is>
      </c>
      <c r="F27" s="12" t="inlineStr">
        <is>
          <t>Protocol: TLS 1.3 / HTTPS</t>
        </is>
      </c>
      <c r="G27" s="12" t="inlineStr">
        <is>
          <t>All HTTP connections upgrade to TLS 1.3; unencrypted HTTP blocked.</t>
        </is>
      </c>
      <c r="H27" s="12" t="inlineStr">
        <is>
          <t>Pending Execution</t>
        </is>
      </c>
      <c r="I27" s="13" t="inlineStr">
        <is>
          <t>Not Executed</t>
        </is>
      </c>
      <c r="J27" s="11" t="inlineStr">
        <is>
          <t>Medium</t>
        </is>
      </c>
      <c r="K27" s="11" t="inlineStr">
        <is>
          <t>Major</t>
        </is>
      </c>
      <c r="L27" s="11" t="inlineStr">
        <is>
          <t>Script Ready</t>
        </is>
      </c>
      <c r="M27" s="12" t="inlineStr">
        <is>
          <t>Security Audit Sandbox</t>
        </is>
      </c>
      <c r="N27" s="12" t="inlineStr">
        <is>
          <t>Defensive Security Audit Engine</t>
        </is>
      </c>
      <c r="O27" s="12" t="inlineStr">
        <is>
          <t>Screen-specific baseline case for User Registration Screen</t>
        </is>
      </c>
    </row>
    <row r="28" ht="36" customHeight="1">
      <c r="A28" s="11" t="inlineStr">
        <is>
          <t>TC-027</t>
        </is>
      </c>
      <c r="B28" s="12" t="inlineStr">
        <is>
          <t>SignUpScreen</t>
        </is>
      </c>
      <c r="C28" s="12" t="inlineStr">
        <is>
          <t>Safe Vulnerability &amp; Security Checks</t>
        </is>
      </c>
      <c r="D28" s="12" t="inlineStr">
        <is>
          <t>API Rate Limiting 429 Response Check on User Registration Screen</t>
        </is>
      </c>
      <c r="E28" s="12" t="inlineStr">
        <is>
          <t>1. Launch test runner in Security Audit Sandbox.
2. Navigate to User Registration Screen (SignUpScreen).
3. Send 100 rapid requests within 5 seconds to SignUpScreen public endpoints.
4. Verify expected results and log evidence.</t>
        </is>
      </c>
      <c r="F28" s="12" t="inlineStr">
        <is>
          <t>Requests: 100 in 5s</t>
        </is>
      </c>
      <c r="G28" s="12" t="inlineStr">
        <is>
          <t>Rate limiter triggers HTTP 429 Too Many Requests response.</t>
        </is>
      </c>
      <c r="H28" s="12" t="inlineStr">
        <is>
          <t>Pending Execution</t>
        </is>
      </c>
      <c r="I28" s="13" t="inlineStr">
        <is>
          <t>Not Executed</t>
        </is>
      </c>
      <c r="J28" s="11" t="inlineStr">
        <is>
          <t>High</t>
        </is>
      </c>
      <c r="K28" s="11" t="inlineStr">
        <is>
          <t>Moderate</t>
        </is>
      </c>
      <c r="L28" s="11" t="inlineStr">
        <is>
          <t>Script Ready</t>
        </is>
      </c>
      <c r="M28" s="12" t="inlineStr">
        <is>
          <t>Security Audit Sandbox</t>
        </is>
      </c>
      <c r="N28" s="12" t="inlineStr">
        <is>
          <t>Defensive Security Audit Engine</t>
        </is>
      </c>
      <c r="O28" s="12" t="inlineStr">
        <is>
          <t>Screen-specific baseline case for User Registration Screen</t>
        </is>
      </c>
    </row>
    <row r="29" ht="36" customHeight="1">
      <c r="A29" s="11" t="inlineStr">
        <is>
          <t>TC-028</t>
        </is>
      </c>
      <c r="B29" s="12" t="inlineStr">
        <is>
          <t>SignUpScreen</t>
        </is>
      </c>
      <c r="C29" s="12" t="inlineStr">
        <is>
          <t>Safe Vulnerability &amp; Security Checks</t>
        </is>
      </c>
      <c r="D29" s="12" t="inlineStr">
        <is>
          <t>Supabase Row Level Security (RLS) Audit on User Registration Screen</t>
        </is>
      </c>
      <c r="E29" s="12" t="inlineStr">
        <is>
          <t>1. Launch test runner in Security Audit Sandbox.
2. Navigate to User Registration Screen (SignUpScreen).
3. Query Supabase PostgreSQL table for SignUpScreen without auth header.
4. Verify expected results and log evidence.</t>
        </is>
      </c>
      <c r="F29" s="12" t="inlineStr">
        <is>
          <t>RLS Check: SignUpScreen_table</t>
        </is>
      </c>
      <c r="G29" s="12" t="inlineStr">
        <is>
          <t>Supabase RLS policy blocks unauthorized row query access.</t>
        </is>
      </c>
      <c r="H29" s="12" t="inlineStr">
        <is>
          <t>Pending Execution</t>
        </is>
      </c>
      <c r="I29" s="13" t="inlineStr">
        <is>
          <t>Not Executed</t>
        </is>
      </c>
      <c r="J29" s="11" t="inlineStr">
        <is>
          <t>Medium</t>
        </is>
      </c>
      <c r="K29" s="11" t="inlineStr">
        <is>
          <t>Critical</t>
        </is>
      </c>
      <c r="L29" s="11" t="inlineStr">
        <is>
          <t>Script Ready</t>
        </is>
      </c>
      <c r="M29" s="12" t="inlineStr">
        <is>
          <t>Security Audit Sandbox</t>
        </is>
      </c>
      <c r="N29" s="12" t="inlineStr">
        <is>
          <t>Defensive Security Audit Engine</t>
        </is>
      </c>
      <c r="O29" s="12" t="inlineStr">
        <is>
          <t>Screen-specific baseline case for User Registration Screen</t>
        </is>
      </c>
    </row>
    <row r="30" ht="36" customHeight="1">
      <c r="A30" s="11" t="inlineStr">
        <is>
          <t>TC-029</t>
        </is>
      </c>
      <c r="B30" s="12" t="inlineStr">
        <is>
          <t>SignUpScreen</t>
        </is>
      </c>
      <c r="C30" s="12" t="inlineStr">
        <is>
          <t>Safe Vulnerability &amp; Security Checks</t>
        </is>
      </c>
      <c r="D30" s="12" t="inlineStr">
        <is>
          <t>Privileged Route Guard Verification on User Registration Screen</t>
        </is>
      </c>
      <c r="E30" s="12" t="inlineStr">
        <is>
          <t>1. Launch test runner in Security Audit Sandbox.
2. Navigate to User Registration Screen (SignUpScreen).
3. Attempt deep linking directly to restricted SignUpScreen view as unauthenticated user.
4. Verify expected results and log evidence.</t>
        </is>
      </c>
      <c r="F30" s="12" t="inlineStr">
        <is>
          <t>Route: /SignUpScreen_admin</t>
        </is>
      </c>
      <c r="G30" s="12" t="inlineStr">
        <is>
          <t>Router guard intercepts request and redirects to login screen.</t>
        </is>
      </c>
      <c r="H30" s="12" t="inlineStr">
        <is>
          <t>Pending Execution</t>
        </is>
      </c>
      <c r="I30" s="13" t="inlineStr">
        <is>
          <t>Not Executed</t>
        </is>
      </c>
      <c r="J30" s="11" t="inlineStr">
        <is>
          <t>Medium</t>
        </is>
      </c>
      <c r="K30" s="11" t="inlineStr">
        <is>
          <t>Moderate</t>
        </is>
      </c>
      <c r="L30" s="11" t="inlineStr">
        <is>
          <t>Script Ready</t>
        </is>
      </c>
      <c r="M30" s="12" t="inlineStr">
        <is>
          <t>Security Audit Sandbox</t>
        </is>
      </c>
      <c r="N30" s="12" t="inlineStr">
        <is>
          <t>Defensive Security Audit Engine</t>
        </is>
      </c>
      <c r="O30" s="12" t="inlineStr">
        <is>
          <t>Screen-specific baseline case for User Registration Screen</t>
        </is>
      </c>
    </row>
    <row r="31" ht="36" customHeight="1">
      <c r="A31" s="11" t="inlineStr">
        <is>
          <t>TC-030</t>
        </is>
      </c>
      <c r="B31" s="12" t="inlineStr">
        <is>
          <t>SignUpScreen</t>
        </is>
      </c>
      <c r="C31" s="12" t="inlineStr">
        <is>
          <t>Safe Vulnerability &amp; Security Checks</t>
        </is>
      </c>
      <c r="D31" s="12" t="inlineStr">
        <is>
          <t>Sensitive Data Masking &amp; Log Leak Check on User Registration Screen</t>
        </is>
      </c>
      <c r="E31" s="12" t="inlineStr">
        <is>
          <t>1. Launch test runner in Security Audit Sandbox.
2. Navigate to User Registration Screen (SignUpScreen).
3. Audit application log files and network payloads for exposed SignUpScreen secrets.
4. Verify expected results and log evidence.</t>
        </is>
      </c>
      <c r="F31" s="12" t="inlineStr">
        <is>
          <t>Audit: Password/Token fields</t>
        </is>
      </c>
      <c r="G31" s="12" t="inlineStr">
        <is>
          <t>Sensitive credentials and PII are masked or omitted from logs.</t>
        </is>
      </c>
      <c r="H31" s="12" t="inlineStr">
        <is>
          <t>Pending Execution</t>
        </is>
      </c>
      <c r="I31" s="13" t="inlineStr">
        <is>
          <t>Not Executed</t>
        </is>
      </c>
      <c r="J31" s="11" t="inlineStr">
        <is>
          <t>High</t>
        </is>
      </c>
      <c r="K31" s="11" t="inlineStr">
        <is>
          <t>Major</t>
        </is>
      </c>
      <c r="L31" s="11" t="inlineStr">
        <is>
          <t>Script Ready</t>
        </is>
      </c>
      <c r="M31" s="12" t="inlineStr">
        <is>
          <t>Security Audit Sandbox</t>
        </is>
      </c>
      <c r="N31" s="12" t="inlineStr">
        <is>
          <t>Defensive Security Audit Engine</t>
        </is>
      </c>
      <c r="O31" s="12" t="inlineStr">
        <is>
          <t>Screen-specific baseline case for User Registration Screen</t>
        </is>
      </c>
    </row>
    <row r="32" ht="36" customHeight="1">
      <c r="A32" s="11" t="inlineStr">
        <is>
          <t>TC-031</t>
        </is>
      </c>
      <c r="B32" s="12" t="inlineStr">
        <is>
          <t>ForgotScreen</t>
        </is>
      </c>
      <c r="C32" s="12" t="inlineStr">
        <is>
          <t>Safe Vulnerability &amp; Security Checks</t>
        </is>
      </c>
      <c r="D32" s="12" t="inlineStr">
        <is>
          <t>Authentication Lockout &amp; Brute-Force on Forgot Password Recovery Screen</t>
        </is>
      </c>
      <c r="E32" s="12" t="inlineStr">
        <is>
          <t>1. Launch test runner in Security Audit Sandbox.
2. Navigate to Forgot Password Recovery Screen (ForgotScreen).
3. Attempt 10 invalid authentication requests on ForgotScreen in rapid succession.
4. Verify expected results and log evidence.</t>
        </is>
      </c>
      <c r="F32" s="12" t="inlineStr">
        <is>
          <t>Attempts: 10 invalid</t>
        </is>
      </c>
      <c r="G32" s="12" t="inlineStr">
        <is>
          <t>Account temporarily locks out after 5 failed attempts with 429 response.</t>
        </is>
      </c>
      <c r="H32" s="12" t="inlineStr">
        <is>
          <t>Pending Execution</t>
        </is>
      </c>
      <c r="I32" s="13" t="inlineStr">
        <is>
          <t>Not Executed</t>
        </is>
      </c>
      <c r="J32" s="11" t="inlineStr">
        <is>
          <t>Medium</t>
        </is>
      </c>
      <c r="K32" s="11" t="inlineStr">
        <is>
          <t>Moderate</t>
        </is>
      </c>
      <c r="L32" s="11" t="inlineStr">
        <is>
          <t>Script Ready</t>
        </is>
      </c>
      <c r="M32" s="12" t="inlineStr">
        <is>
          <t>Security Audit Sandbox</t>
        </is>
      </c>
      <c r="N32" s="12" t="inlineStr">
        <is>
          <t>Defensive Security Audit Engine</t>
        </is>
      </c>
      <c r="O32" s="12" t="inlineStr">
        <is>
          <t>Screen-specific baseline case for Forgot Password Recovery Screen</t>
        </is>
      </c>
    </row>
    <row r="33" ht="36" customHeight="1">
      <c r="A33" s="11" t="inlineStr">
        <is>
          <t>TC-032</t>
        </is>
      </c>
      <c r="B33" s="12" t="inlineStr">
        <is>
          <t>ForgotScreen</t>
        </is>
      </c>
      <c r="C33" s="12" t="inlineStr">
        <is>
          <t>Safe Vulnerability &amp; Security Checks</t>
        </is>
      </c>
      <c r="D33" s="12" t="inlineStr">
        <is>
          <t>Role-Based Authorization &amp; IDOR Check on Forgot Password Recovery Screen</t>
        </is>
      </c>
      <c r="E33" s="12" t="inlineStr">
        <is>
          <t>1. Launch test runner in Security Audit Sandbox.
2. Navigate to Forgot Password Recovery Screen (ForgotScreen).
3. Attempt querying secondary user private records on ForgotScreen using guest JWT.
4. Verify expected results and log evidence.</t>
        </is>
      </c>
      <c r="F33" s="12" t="inlineStr">
        <is>
          <t>IDOR Payload: ForgotScreen_user_999</t>
        </is>
      </c>
      <c r="G33" s="12" t="inlineStr">
        <is>
          <t>Database and API reject request with HTTP 403 Forbidden.</t>
        </is>
      </c>
      <c r="H33" s="12" t="inlineStr">
        <is>
          <t>Pending Execution</t>
        </is>
      </c>
      <c r="I33" s="13" t="inlineStr">
        <is>
          <t>Not Executed</t>
        </is>
      </c>
      <c r="J33" s="11" t="inlineStr">
        <is>
          <t>Medium</t>
        </is>
      </c>
      <c r="K33" s="11" t="inlineStr">
        <is>
          <t>Major</t>
        </is>
      </c>
      <c r="L33" s="11" t="inlineStr">
        <is>
          <t>Script Ready</t>
        </is>
      </c>
      <c r="M33" s="12" t="inlineStr">
        <is>
          <t>Security Audit Sandbox</t>
        </is>
      </c>
      <c r="N33" s="12" t="inlineStr">
        <is>
          <t>Defensive Security Audit Engine</t>
        </is>
      </c>
      <c r="O33" s="12" t="inlineStr">
        <is>
          <t>Screen-specific baseline case for Forgot Password Recovery Screen</t>
        </is>
      </c>
    </row>
    <row r="34" ht="36" customHeight="1">
      <c r="A34" s="11" t="inlineStr">
        <is>
          <t>TC-033</t>
        </is>
      </c>
      <c r="B34" s="12" t="inlineStr">
        <is>
          <t>ForgotScreen</t>
        </is>
      </c>
      <c r="C34" s="12" t="inlineStr">
        <is>
          <t>Safe Vulnerability &amp; Security Checks</t>
        </is>
      </c>
      <c r="D34" s="12" t="inlineStr">
        <is>
          <t>Session Token Expiration &amp; Revocation on Forgot Password Recovery Screen</t>
        </is>
      </c>
      <c r="E34" s="12" t="inlineStr">
        <is>
          <t>1. Launch test runner in Security Audit Sandbox.
2. Navigate to Forgot Password Recovery Screen (ForgotScreen).
3. Present expired JWT token to ForgotScreen API endpoint, attempt data fetch.
4. Verify expected results and log evidence.</t>
        </is>
      </c>
      <c r="F34" s="12" t="inlineStr">
        <is>
          <t>JWT Token: Expired/Revoked</t>
        </is>
      </c>
      <c r="G34" s="12" t="inlineStr">
        <is>
          <t>API gateway invalidates session and redirects to login view.</t>
        </is>
      </c>
      <c r="H34" s="12" t="inlineStr">
        <is>
          <t>Pending Execution</t>
        </is>
      </c>
      <c r="I34" s="13" t="inlineStr">
        <is>
          <t>Not Executed</t>
        </is>
      </c>
      <c r="J34" s="11" t="inlineStr">
        <is>
          <t>High</t>
        </is>
      </c>
      <c r="K34" s="11" t="inlineStr">
        <is>
          <t>Moderate</t>
        </is>
      </c>
      <c r="L34" s="11" t="inlineStr">
        <is>
          <t>Script Ready</t>
        </is>
      </c>
      <c r="M34" s="12" t="inlineStr">
        <is>
          <t>Security Audit Sandbox</t>
        </is>
      </c>
      <c r="N34" s="12" t="inlineStr">
        <is>
          <t>Defensive Security Audit Engine</t>
        </is>
      </c>
      <c r="O34" s="12" t="inlineStr">
        <is>
          <t>Screen-specific baseline case for Forgot Password Recovery Screen</t>
        </is>
      </c>
    </row>
    <row r="35" ht="36" customHeight="1">
      <c r="A35" s="11" t="inlineStr">
        <is>
          <t>TC-034</t>
        </is>
      </c>
      <c r="B35" s="12" t="inlineStr">
        <is>
          <t>ForgotScreen</t>
        </is>
      </c>
      <c r="C35" s="12" t="inlineStr">
        <is>
          <t>Safe Vulnerability &amp; Security Checks</t>
        </is>
      </c>
      <c r="D35" s="12" t="inlineStr">
        <is>
          <t>Safe SQL Injection Input Defense on Forgot Password Recovery Screen</t>
        </is>
      </c>
      <c r="E35" s="12" t="inlineStr">
        <is>
          <t>1. Launch test runner in Security Audit Sandbox.
2. Navigate to Forgot Password Recovery Screen (ForgotScreen).
3. Submit safe SQLi payload `' OR '1'='1` into text input fields on ForgotScreen.
4. Verify expected results and log evidence.</t>
        </is>
      </c>
      <c r="F35" s="12" t="inlineStr">
        <is>
          <t>Payload: `' OR '1'='1`</t>
        </is>
      </c>
      <c r="G35" s="12" t="inlineStr">
        <is>
          <t>Input is parameterized/escaped cleanly; no SQL error occurs.</t>
        </is>
      </c>
      <c r="H35" s="12" t="inlineStr">
        <is>
          <t>Pending Execution</t>
        </is>
      </c>
      <c r="I35" s="13" t="inlineStr">
        <is>
          <t>Not Executed</t>
        </is>
      </c>
      <c r="J35" s="11" t="inlineStr">
        <is>
          <t>Medium</t>
        </is>
      </c>
      <c r="K35" s="11" t="inlineStr">
        <is>
          <t>Major</t>
        </is>
      </c>
      <c r="L35" s="11" t="inlineStr">
        <is>
          <t>Script Ready</t>
        </is>
      </c>
      <c r="M35" s="12" t="inlineStr">
        <is>
          <t>Security Audit Sandbox</t>
        </is>
      </c>
      <c r="N35" s="12" t="inlineStr">
        <is>
          <t>Defensive Security Audit Engine</t>
        </is>
      </c>
      <c r="O35" s="12" t="inlineStr">
        <is>
          <t>Screen-specific baseline case for Forgot Password Recovery Screen</t>
        </is>
      </c>
    </row>
    <row r="36" ht="36" customHeight="1">
      <c r="A36" s="11" t="inlineStr">
        <is>
          <t>TC-035</t>
        </is>
      </c>
      <c r="B36" s="12" t="inlineStr">
        <is>
          <t>ForgotScreen</t>
        </is>
      </c>
      <c r="C36" s="12" t="inlineStr">
        <is>
          <t>Safe Vulnerability &amp; Security Checks</t>
        </is>
      </c>
      <c r="D36" s="12" t="inlineStr">
        <is>
          <t>Safe XSS Script Escaping Validation on Forgot Password Recovery Screen</t>
        </is>
      </c>
      <c r="E36" s="12" t="inlineStr">
        <is>
          <t>1. Launch test runner in Security Audit Sandbox.
2. Navigate to Forgot Password Recovery Screen (ForgotScreen).
3. Submit safe script payload `&lt;script&gt;alert(1)&lt;/script&gt;` into ForgotScreen fields.
4. Verify expected results and log evidence.</t>
        </is>
      </c>
      <c r="F36" s="12" t="inlineStr">
        <is>
          <t>Payload: `&lt;script&gt;alert(1)&lt;/script&gt;`</t>
        </is>
      </c>
      <c r="G36" s="12" t="inlineStr">
        <is>
          <t>Payload renders as plain text string; script does not execute.</t>
        </is>
      </c>
      <c r="H36" s="12" t="inlineStr">
        <is>
          <t>Pending Execution</t>
        </is>
      </c>
      <c r="I36" s="13" t="inlineStr">
        <is>
          <t>Not Executed</t>
        </is>
      </c>
      <c r="J36" s="11" t="inlineStr">
        <is>
          <t>Low</t>
        </is>
      </c>
      <c r="K36" s="11" t="inlineStr">
        <is>
          <t>Critical</t>
        </is>
      </c>
      <c r="L36" s="11" t="inlineStr">
        <is>
          <t>Script Ready</t>
        </is>
      </c>
      <c r="M36" s="12" t="inlineStr">
        <is>
          <t>Security Audit Sandbox</t>
        </is>
      </c>
      <c r="N36" s="12" t="inlineStr">
        <is>
          <t>Defensive Security Audit Engine</t>
        </is>
      </c>
      <c r="O36" s="12" t="inlineStr">
        <is>
          <t>Screen-specific baseline case for Forgot Password Recovery Screen</t>
        </is>
      </c>
    </row>
    <row r="37" ht="36" customHeight="1">
      <c r="A37" s="11" t="inlineStr">
        <is>
          <t>TC-036</t>
        </is>
      </c>
      <c r="B37" s="12" t="inlineStr">
        <is>
          <t>ForgotScreen</t>
        </is>
      </c>
      <c r="C37" s="12" t="inlineStr">
        <is>
          <t>Safe Vulnerability &amp; Security Checks</t>
        </is>
      </c>
      <c r="D37" s="12" t="inlineStr">
        <is>
          <t>TLS 1.3 Transport Encryption Enforcement on Forgot Password Recovery Screen</t>
        </is>
      </c>
      <c r="E37" s="12" t="inlineStr">
        <is>
          <t>1. Launch test runner in Security Audit Sandbox.
2. Navigate to Forgot Password Recovery Screen (ForgotScreen).
3. Inspect outbound network traffic for ForgotScreen using passive OWASP proxy.
4. Verify expected results and log evidence.</t>
        </is>
      </c>
      <c r="F37" s="12" t="inlineStr">
        <is>
          <t>Protocol: TLS 1.3 / HTTPS</t>
        </is>
      </c>
      <c r="G37" s="12" t="inlineStr">
        <is>
          <t>All HTTP connections upgrade to TLS 1.3; unencrypted HTTP blocked.</t>
        </is>
      </c>
      <c r="H37" s="12" t="inlineStr">
        <is>
          <t>Pending Execution</t>
        </is>
      </c>
      <c r="I37" s="13" t="inlineStr">
        <is>
          <t>Not Executed</t>
        </is>
      </c>
      <c r="J37" s="11" t="inlineStr">
        <is>
          <t>High</t>
        </is>
      </c>
      <c r="K37" s="11" t="inlineStr">
        <is>
          <t>Major</t>
        </is>
      </c>
      <c r="L37" s="11" t="inlineStr">
        <is>
          <t>Script Ready</t>
        </is>
      </c>
      <c r="M37" s="12" t="inlineStr">
        <is>
          <t>Security Audit Sandbox</t>
        </is>
      </c>
      <c r="N37" s="12" t="inlineStr">
        <is>
          <t>Defensive Security Audit Engine</t>
        </is>
      </c>
      <c r="O37" s="12" t="inlineStr">
        <is>
          <t>Screen-specific baseline case for Forgot Password Recovery Screen</t>
        </is>
      </c>
    </row>
    <row r="38" ht="36" customHeight="1">
      <c r="A38" s="11" t="inlineStr">
        <is>
          <t>TC-037</t>
        </is>
      </c>
      <c r="B38" s="12" t="inlineStr">
        <is>
          <t>ForgotScreen</t>
        </is>
      </c>
      <c r="C38" s="12" t="inlineStr">
        <is>
          <t>Safe Vulnerability &amp; Security Checks</t>
        </is>
      </c>
      <c r="D38" s="12" t="inlineStr">
        <is>
          <t>API Rate Limiting 429 Response Check on Forgot Password Recovery Screen</t>
        </is>
      </c>
      <c r="E38" s="12" t="inlineStr">
        <is>
          <t>1. Launch test runner in Security Audit Sandbox.
2. Navigate to Forgot Password Recovery Screen (ForgotScreen).
3. Send 100 rapid requests within 5 seconds to ForgotScreen public endpoints.
4. Verify expected results and log evidence.</t>
        </is>
      </c>
      <c r="F38" s="12" t="inlineStr">
        <is>
          <t>Requests: 100 in 5s</t>
        </is>
      </c>
      <c r="G38" s="12" t="inlineStr">
        <is>
          <t>Rate limiter triggers HTTP 429 Too Many Requests response.</t>
        </is>
      </c>
      <c r="H38" s="12" t="inlineStr">
        <is>
          <t>Pending Execution</t>
        </is>
      </c>
      <c r="I38" s="13" t="inlineStr">
        <is>
          <t>Not Executed</t>
        </is>
      </c>
      <c r="J38" s="11" t="inlineStr">
        <is>
          <t>Medium</t>
        </is>
      </c>
      <c r="K38" s="11" t="inlineStr">
        <is>
          <t>Moderate</t>
        </is>
      </c>
      <c r="L38" s="11" t="inlineStr">
        <is>
          <t>Script Ready</t>
        </is>
      </c>
      <c r="M38" s="12" t="inlineStr">
        <is>
          <t>Security Audit Sandbox</t>
        </is>
      </c>
      <c r="N38" s="12" t="inlineStr">
        <is>
          <t>Defensive Security Audit Engine</t>
        </is>
      </c>
      <c r="O38" s="12" t="inlineStr">
        <is>
          <t>Screen-specific baseline case for Forgot Password Recovery Screen</t>
        </is>
      </c>
    </row>
    <row r="39" ht="36" customHeight="1">
      <c r="A39" s="11" t="inlineStr">
        <is>
          <t>TC-038</t>
        </is>
      </c>
      <c r="B39" s="12" t="inlineStr">
        <is>
          <t>ForgotScreen</t>
        </is>
      </c>
      <c r="C39" s="12" t="inlineStr">
        <is>
          <t>Safe Vulnerability &amp; Security Checks</t>
        </is>
      </c>
      <c r="D39" s="12" t="inlineStr">
        <is>
          <t>Supabase Row Level Security (RLS) Audit on Forgot Password Recovery Screen</t>
        </is>
      </c>
      <c r="E39" s="12" t="inlineStr">
        <is>
          <t>1. Launch test runner in Security Audit Sandbox.
2. Navigate to Forgot Password Recovery Screen (ForgotScreen).
3. Query Supabase PostgreSQL table for ForgotScreen without auth header.
4. Verify expected results and log evidence.</t>
        </is>
      </c>
      <c r="F39" s="12" t="inlineStr">
        <is>
          <t>RLS Check: ForgotScreen_table</t>
        </is>
      </c>
      <c r="G39" s="12" t="inlineStr">
        <is>
          <t>Supabase RLS policy blocks unauthorized row query access.</t>
        </is>
      </c>
      <c r="H39" s="12" t="inlineStr">
        <is>
          <t>Pending Execution</t>
        </is>
      </c>
      <c r="I39" s="13" t="inlineStr">
        <is>
          <t>Not Executed</t>
        </is>
      </c>
      <c r="J39" s="11" t="inlineStr">
        <is>
          <t>Medium</t>
        </is>
      </c>
      <c r="K39" s="11" t="inlineStr">
        <is>
          <t>Major</t>
        </is>
      </c>
      <c r="L39" s="11" t="inlineStr">
        <is>
          <t>Script Ready</t>
        </is>
      </c>
      <c r="M39" s="12" t="inlineStr">
        <is>
          <t>Security Audit Sandbox</t>
        </is>
      </c>
      <c r="N39" s="12" t="inlineStr">
        <is>
          <t>Defensive Security Audit Engine</t>
        </is>
      </c>
      <c r="O39" s="12" t="inlineStr">
        <is>
          <t>Screen-specific baseline case for Forgot Password Recovery Screen</t>
        </is>
      </c>
    </row>
    <row r="40" ht="36" customHeight="1">
      <c r="A40" s="11" t="inlineStr">
        <is>
          <t>TC-039</t>
        </is>
      </c>
      <c r="B40" s="12" t="inlineStr">
        <is>
          <t>ForgotScreen</t>
        </is>
      </c>
      <c r="C40" s="12" t="inlineStr">
        <is>
          <t>Safe Vulnerability &amp; Security Checks</t>
        </is>
      </c>
      <c r="D40" s="12" t="inlineStr">
        <is>
          <t>Privileged Route Guard Verification on Forgot Password Recovery Screen</t>
        </is>
      </c>
      <c r="E40" s="12" t="inlineStr">
        <is>
          <t>1. Launch test runner in Security Audit Sandbox.
2. Navigate to Forgot Password Recovery Screen (ForgotScreen).
3. Attempt deep linking directly to restricted ForgotScreen view as unauthenticated user.
4. Verify expected results and log evidence.</t>
        </is>
      </c>
      <c r="F40" s="12" t="inlineStr">
        <is>
          <t>Route: /ForgotScreen_admin</t>
        </is>
      </c>
      <c r="G40" s="12" t="inlineStr">
        <is>
          <t>Router guard intercepts request and redirects to login screen.</t>
        </is>
      </c>
      <c r="H40" s="12" t="inlineStr">
        <is>
          <t>Pending Execution</t>
        </is>
      </c>
      <c r="I40" s="13" t="inlineStr">
        <is>
          <t>Not Executed</t>
        </is>
      </c>
      <c r="J40" s="11" t="inlineStr">
        <is>
          <t>High</t>
        </is>
      </c>
      <c r="K40" s="11" t="inlineStr">
        <is>
          <t>Moderate</t>
        </is>
      </c>
      <c r="L40" s="11" t="inlineStr">
        <is>
          <t>Script Ready</t>
        </is>
      </c>
      <c r="M40" s="12" t="inlineStr">
        <is>
          <t>Security Audit Sandbox</t>
        </is>
      </c>
      <c r="N40" s="12" t="inlineStr">
        <is>
          <t>Defensive Security Audit Engine</t>
        </is>
      </c>
      <c r="O40" s="12" t="inlineStr">
        <is>
          <t>Screen-specific baseline case for Forgot Password Recovery Screen</t>
        </is>
      </c>
    </row>
    <row r="41" ht="36" customHeight="1">
      <c r="A41" s="11" t="inlineStr">
        <is>
          <t>TC-040</t>
        </is>
      </c>
      <c r="B41" s="12" t="inlineStr">
        <is>
          <t>ForgotScreen</t>
        </is>
      </c>
      <c r="C41" s="12" t="inlineStr">
        <is>
          <t>Safe Vulnerability &amp; Security Checks</t>
        </is>
      </c>
      <c r="D41" s="12" t="inlineStr">
        <is>
          <t>Sensitive Data Masking &amp; Log Leak Check on Forgot Password Recovery Screen</t>
        </is>
      </c>
      <c r="E41" s="12" t="inlineStr">
        <is>
          <t>1. Launch test runner in Security Audit Sandbox.
2. Navigate to Forgot Password Recovery Screen (ForgotScreen).
3. Audit application log files and network payloads for exposed ForgotScreen secrets.
4. Verify expected results and log evidence.</t>
        </is>
      </c>
      <c r="F41" s="12" t="inlineStr">
        <is>
          <t>Audit: Password/Token fields</t>
        </is>
      </c>
      <c r="G41" s="12" t="inlineStr">
        <is>
          <t>Sensitive credentials and PII are masked or omitted from logs.</t>
        </is>
      </c>
      <c r="H41" s="12" t="inlineStr">
        <is>
          <t>Pending Execution</t>
        </is>
      </c>
      <c r="I41" s="13" t="inlineStr">
        <is>
          <t>Not Executed</t>
        </is>
      </c>
      <c r="J41" s="11" t="inlineStr">
        <is>
          <t>Low</t>
        </is>
      </c>
      <c r="K41" s="11" t="inlineStr">
        <is>
          <t>Major</t>
        </is>
      </c>
      <c r="L41" s="11" t="inlineStr">
        <is>
          <t>Script Ready</t>
        </is>
      </c>
      <c r="M41" s="12" t="inlineStr">
        <is>
          <t>Security Audit Sandbox</t>
        </is>
      </c>
      <c r="N41" s="12" t="inlineStr">
        <is>
          <t>Defensive Security Audit Engine</t>
        </is>
      </c>
      <c r="O41" s="12" t="inlineStr">
        <is>
          <t>Screen-specific baseline case for Forgot Password Recovery Screen</t>
        </is>
      </c>
    </row>
    <row r="42" ht="36" customHeight="1">
      <c r="A42" s="11" t="inlineStr">
        <is>
          <t>TC-041</t>
        </is>
      </c>
      <c r="B42" s="12" t="inlineStr">
        <is>
          <t>SelectScreen</t>
        </is>
      </c>
      <c r="C42" s="12" t="inlineStr">
        <is>
          <t>Safe Vulnerability &amp; Security Checks</t>
        </is>
      </c>
      <c r="D42" s="12" t="inlineStr">
        <is>
          <t>Authentication Lockout &amp; Brute-Force on Onboarding Primary Goal Screen</t>
        </is>
      </c>
      <c r="E42" s="12" t="inlineStr">
        <is>
          <t>1. Launch test runner in Security Audit Sandbox.
2. Navigate to Onboarding Primary Goal Screen (SelectScreen).
3. Attempt 10 invalid authentication requests on SelectScreen in rapid succession.
4. Verify expected results and log evidence.</t>
        </is>
      </c>
      <c r="F42" s="12" t="inlineStr">
        <is>
          <t>Attempts: 10 invalid</t>
        </is>
      </c>
      <c r="G42" s="12" t="inlineStr">
        <is>
          <t>Account temporarily locks out after 5 failed attempts with 429 response.</t>
        </is>
      </c>
      <c r="H42" s="12" t="inlineStr">
        <is>
          <t>Pending Execution</t>
        </is>
      </c>
      <c r="I42" s="13" t="inlineStr">
        <is>
          <t>Not Executed</t>
        </is>
      </c>
      <c r="J42" s="11" t="inlineStr">
        <is>
          <t>Medium</t>
        </is>
      </c>
      <c r="K42" s="11" t="inlineStr">
        <is>
          <t>Moderate</t>
        </is>
      </c>
      <c r="L42" s="11" t="inlineStr">
        <is>
          <t>Script Ready</t>
        </is>
      </c>
      <c r="M42" s="12" t="inlineStr">
        <is>
          <t>Security Audit Sandbox</t>
        </is>
      </c>
      <c r="N42" s="12" t="inlineStr">
        <is>
          <t>Defensive Security Audit Engine</t>
        </is>
      </c>
      <c r="O42" s="12" t="inlineStr">
        <is>
          <t>Screen-specific baseline case for Onboarding Primary Goal Screen</t>
        </is>
      </c>
    </row>
    <row r="43" ht="36" customHeight="1">
      <c r="A43" s="11" t="inlineStr">
        <is>
          <t>TC-042</t>
        </is>
      </c>
      <c r="B43" s="12" t="inlineStr">
        <is>
          <t>SelectScreen</t>
        </is>
      </c>
      <c r="C43" s="12" t="inlineStr">
        <is>
          <t>Safe Vulnerability &amp; Security Checks</t>
        </is>
      </c>
      <c r="D43" s="12" t="inlineStr">
        <is>
          <t>Role-Based Authorization &amp; IDOR Check on Onboarding Primary Goal Screen</t>
        </is>
      </c>
      <c r="E43" s="12" t="inlineStr">
        <is>
          <t>1. Launch test runner in Security Audit Sandbox.
2. Navigate to Onboarding Primary Goal Screen (SelectScreen).
3. Attempt querying secondary user private records on SelectScreen using guest JWT.
4. Verify expected results and log evidence.</t>
        </is>
      </c>
      <c r="F43" s="12" t="inlineStr">
        <is>
          <t>IDOR Payload: SelectScreen_user_999</t>
        </is>
      </c>
      <c r="G43" s="12" t="inlineStr">
        <is>
          <t>Database and API reject request with HTTP 403 Forbidden.</t>
        </is>
      </c>
      <c r="H43" s="12" t="inlineStr">
        <is>
          <t>Pending Execution</t>
        </is>
      </c>
      <c r="I43" s="13" t="inlineStr">
        <is>
          <t>Not Executed</t>
        </is>
      </c>
      <c r="J43" s="11" t="inlineStr">
        <is>
          <t>High</t>
        </is>
      </c>
      <c r="K43" s="11" t="inlineStr">
        <is>
          <t>Critical</t>
        </is>
      </c>
      <c r="L43" s="11" t="inlineStr">
        <is>
          <t>Script Ready</t>
        </is>
      </c>
      <c r="M43" s="12" t="inlineStr">
        <is>
          <t>Security Audit Sandbox</t>
        </is>
      </c>
      <c r="N43" s="12" t="inlineStr">
        <is>
          <t>Defensive Security Audit Engine</t>
        </is>
      </c>
      <c r="O43" s="12" t="inlineStr">
        <is>
          <t>Screen-specific baseline case for Onboarding Primary Goal Screen</t>
        </is>
      </c>
    </row>
    <row r="44" ht="36" customHeight="1">
      <c r="A44" s="11" t="inlineStr">
        <is>
          <t>TC-043</t>
        </is>
      </c>
      <c r="B44" s="12" t="inlineStr">
        <is>
          <t>SelectScreen</t>
        </is>
      </c>
      <c r="C44" s="12" t="inlineStr">
        <is>
          <t>Safe Vulnerability &amp; Security Checks</t>
        </is>
      </c>
      <c r="D44" s="12" t="inlineStr">
        <is>
          <t>Session Token Expiration &amp; Revocation on Onboarding Primary Goal Screen</t>
        </is>
      </c>
      <c r="E44" s="12" t="inlineStr">
        <is>
          <t>1. Launch test runner in Security Audit Sandbox.
2. Navigate to Onboarding Primary Goal Screen (SelectScreen).
3. Present expired JWT token to SelectScreen API endpoint, attempt data fetch.
4. Verify expected results and log evidence.</t>
        </is>
      </c>
      <c r="F44" s="12" t="inlineStr">
        <is>
          <t>JWT Token: Expired/Revoked</t>
        </is>
      </c>
      <c r="G44" s="12" t="inlineStr">
        <is>
          <t>API gateway invalidates session and redirects to login view.</t>
        </is>
      </c>
      <c r="H44" s="12" t="inlineStr">
        <is>
          <t>Pending Execution</t>
        </is>
      </c>
      <c r="I44" s="13" t="inlineStr">
        <is>
          <t>Not Executed</t>
        </is>
      </c>
      <c r="J44" s="11" t="inlineStr">
        <is>
          <t>Medium</t>
        </is>
      </c>
      <c r="K44" s="11" t="inlineStr">
        <is>
          <t>Moderate</t>
        </is>
      </c>
      <c r="L44" s="11" t="inlineStr">
        <is>
          <t>Script Ready</t>
        </is>
      </c>
      <c r="M44" s="12" t="inlineStr">
        <is>
          <t>Security Audit Sandbox</t>
        </is>
      </c>
      <c r="N44" s="12" t="inlineStr">
        <is>
          <t>Defensive Security Audit Engine</t>
        </is>
      </c>
      <c r="O44" s="12" t="inlineStr">
        <is>
          <t>Screen-specific baseline case for Onboarding Primary Goal Screen</t>
        </is>
      </c>
    </row>
    <row r="45" ht="36" customHeight="1">
      <c r="A45" s="11" t="inlineStr">
        <is>
          <t>TC-044</t>
        </is>
      </c>
      <c r="B45" s="12" t="inlineStr">
        <is>
          <t>SelectScreen</t>
        </is>
      </c>
      <c r="C45" s="12" t="inlineStr">
        <is>
          <t>Safe Vulnerability &amp; Security Checks</t>
        </is>
      </c>
      <c r="D45" s="12" t="inlineStr">
        <is>
          <t>Safe SQL Injection Input Defense on Onboarding Primary Goal Screen</t>
        </is>
      </c>
      <c r="E45" s="12" t="inlineStr">
        <is>
          <t>1. Launch test runner in Security Audit Sandbox.
2. Navigate to Onboarding Primary Goal Screen (SelectScreen).
3. Submit safe SQLi payload `' OR '1'='1` into text input fields on SelectScreen.
4. Verify expected results and log evidence.</t>
        </is>
      </c>
      <c r="F45" s="12" t="inlineStr">
        <is>
          <t>Payload: `' OR '1'='1`</t>
        </is>
      </c>
      <c r="G45" s="12" t="inlineStr">
        <is>
          <t>Input is parameterized/escaped cleanly; no SQL error occurs.</t>
        </is>
      </c>
      <c r="H45" s="12" t="inlineStr">
        <is>
          <t>Pending Execution</t>
        </is>
      </c>
      <c r="I45" s="13" t="inlineStr">
        <is>
          <t>Not Executed</t>
        </is>
      </c>
      <c r="J45" s="11" t="inlineStr">
        <is>
          <t>Medium</t>
        </is>
      </c>
      <c r="K45" s="11" t="inlineStr">
        <is>
          <t>Major</t>
        </is>
      </c>
      <c r="L45" s="11" t="inlineStr">
        <is>
          <t>Script Ready</t>
        </is>
      </c>
      <c r="M45" s="12" t="inlineStr">
        <is>
          <t>Security Audit Sandbox</t>
        </is>
      </c>
      <c r="N45" s="12" t="inlineStr">
        <is>
          <t>Defensive Security Audit Engine</t>
        </is>
      </c>
      <c r="O45" s="12" t="inlineStr">
        <is>
          <t>Screen-specific baseline case for Onboarding Primary Goal Screen</t>
        </is>
      </c>
    </row>
    <row r="46" ht="36" customHeight="1">
      <c r="A46" s="11" t="inlineStr">
        <is>
          <t>TC-045</t>
        </is>
      </c>
      <c r="B46" s="12" t="inlineStr">
        <is>
          <t>SelectScreen</t>
        </is>
      </c>
      <c r="C46" s="12" t="inlineStr">
        <is>
          <t>Safe Vulnerability &amp; Security Checks</t>
        </is>
      </c>
      <c r="D46" s="12" t="inlineStr">
        <is>
          <t>Safe XSS Script Escaping Validation on Onboarding Primary Goal Screen</t>
        </is>
      </c>
      <c r="E46" s="12" t="inlineStr">
        <is>
          <t>1. Launch test runner in Security Audit Sandbox.
2. Navigate to Onboarding Primary Goal Screen (SelectScreen).
3. Submit safe script payload `&lt;script&gt;alert(1)&lt;/script&gt;` into SelectScreen fields.
4. Verify expected results and log evidence.</t>
        </is>
      </c>
      <c r="F46" s="12" t="inlineStr">
        <is>
          <t>Payload: `&lt;script&gt;alert(1)&lt;/script&gt;`</t>
        </is>
      </c>
      <c r="G46" s="12" t="inlineStr">
        <is>
          <t>Payload renders as plain text string; script does not execute.</t>
        </is>
      </c>
      <c r="H46" s="12" t="inlineStr">
        <is>
          <t>Pending Execution</t>
        </is>
      </c>
      <c r="I46" s="13" t="inlineStr">
        <is>
          <t>Not Executed</t>
        </is>
      </c>
      <c r="J46" s="11" t="inlineStr">
        <is>
          <t>High</t>
        </is>
      </c>
      <c r="K46" s="11" t="inlineStr">
        <is>
          <t>Moderate</t>
        </is>
      </c>
      <c r="L46" s="11" t="inlineStr">
        <is>
          <t>Script Ready</t>
        </is>
      </c>
      <c r="M46" s="12" t="inlineStr">
        <is>
          <t>Security Audit Sandbox</t>
        </is>
      </c>
      <c r="N46" s="12" t="inlineStr">
        <is>
          <t>Defensive Security Audit Engine</t>
        </is>
      </c>
      <c r="O46" s="12" t="inlineStr">
        <is>
          <t>Screen-specific baseline case for Onboarding Primary Goal Screen</t>
        </is>
      </c>
    </row>
    <row r="47" ht="36" customHeight="1">
      <c r="A47" s="11" t="inlineStr">
        <is>
          <t>TC-046</t>
        </is>
      </c>
      <c r="B47" s="12" t="inlineStr">
        <is>
          <t>SelectScreen</t>
        </is>
      </c>
      <c r="C47" s="12" t="inlineStr">
        <is>
          <t>Safe Vulnerability &amp; Security Checks</t>
        </is>
      </c>
      <c r="D47" s="12" t="inlineStr">
        <is>
          <t>TLS 1.3 Transport Encryption Enforcement on Onboarding Primary Goal Screen</t>
        </is>
      </c>
      <c r="E47" s="12" t="inlineStr">
        <is>
          <t>1. Launch test runner in Security Audit Sandbox.
2. Navigate to Onboarding Primary Goal Screen (SelectScreen).
3. Inspect outbound network traffic for SelectScreen using passive OWASP proxy.
4. Verify expected results and log evidence.</t>
        </is>
      </c>
      <c r="F47" s="12" t="inlineStr">
        <is>
          <t>Protocol: TLS 1.3 / HTTPS</t>
        </is>
      </c>
      <c r="G47" s="12" t="inlineStr">
        <is>
          <t>All HTTP connections upgrade to TLS 1.3; unencrypted HTTP blocked.</t>
        </is>
      </c>
      <c r="H47" s="12" t="inlineStr">
        <is>
          <t>Pending Execution</t>
        </is>
      </c>
      <c r="I47" s="13" t="inlineStr">
        <is>
          <t>Not Executed</t>
        </is>
      </c>
      <c r="J47" s="11" t="inlineStr">
        <is>
          <t>Medium</t>
        </is>
      </c>
      <c r="K47" s="11" t="inlineStr">
        <is>
          <t>Major</t>
        </is>
      </c>
      <c r="L47" s="11" t="inlineStr">
        <is>
          <t>Script Ready</t>
        </is>
      </c>
      <c r="M47" s="12" t="inlineStr">
        <is>
          <t>Security Audit Sandbox</t>
        </is>
      </c>
      <c r="N47" s="12" t="inlineStr">
        <is>
          <t>Defensive Security Audit Engine</t>
        </is>
      </c>
      <c r="O47" s="12" t="inlineStr">
        <is>
          <t>Screen-specific baseline case for Onboarding Primary Goal Screen</t>
        </is>
      </c>
    </row>
    <row r="48" ht="36" customHeight="1">
      <c r="A48" s="11" t="inlineStr">
        <is>
          <t>TC-047</t>
        </is>
      </c>
      <c r="B48" s="12" t="inlineStr">
        <is>
          <t>SelectScreen</t>
        </is>
      </c>
      <c r="C48" s="12" t="inlineStr">
        <is>
          <t>Safe Vulnerability &amp; Security Checks</t>
        </is>
      </c>
      <c r="D48" s="12" t="inlineStr">
        <is>
          <t>API Rate Limiting 429 Response Check on Onboarding Primary Goal Screen</t>
        </is>
      </c>
      <c r="E48" s="12" t="inlineStr">
        <is>
          <t>1. Launch test runner in Security Audit Sandbox.
2. Navigate to Onboarding Primary Goal Screen (SelectScreen).
3. Send 100 rapid requests within 5 seconds to SelectScreen public endpoints.
4. Verify expected results and log evidence.</t>
        </is>
      </c>
      <c r="F48" s="12" t="inlineStr">
        <is>
          <t>Requests: 100 in 5s</t>
        </is>
      </c>
      <c r="G48" s="12" t="inlineStr">
        <is>
          <t>Rate limiter triggers HTTP 429 Too Many Requests response.</t>
        </is>
      </c>
      <c r="H48" s="12" t="inlineStr">
        <is>
          <t>Pending Execution</t>
        </is>
      </c>
      <c r="I48" s="13" t="inlineStr">
        <is>
          <t>Not Executed</t>
        </is>
      </c>
      <c r="J48" s="11" t="inlineStr">
        <is>
          <t>Medium</t>
        </is>
      </c>
      <c r="K48" s="11" t="inlineStr">
        <is>
          <t>Moderate</t>
        </is>
      </c>
      <c r="L48" s="11" t="inlineStr">
        <is>
          <t>Script Ready</t>
        </is>
      </c>
      <c r="M48" s="12" t="inlineStr">
        <is>
          <t>Security Audit Sandbox</t>
        </is>
      </c>
      <c r="N48" s="12" t="inlineStr">
        <is>
          <t>Defensive Security Audit Engine</t>
        </is>
      </c>
      <c r="O48" s="12" t="inlineStr">
        <is>
          <t>Screen-specific baseline case for Onboarding Primary Goal Screen</t>
        </is>
      </c>
    </row>
    <row r="49" ht="36" customHeight="1">
      <c r="A49" s="11" t="inlineStr">
        <is>
          <t>TC-048</t>
        </is>
      </c>
      <c r="B49" s="12" t="inlineStr">
        <is>
          <t>SelectScreen</t>
        </is>
      </c>
      <c r="C49" s="12" t="inlineStr">
        <is>
          <t>Safe Vulnerability &amp; Security Checks</t>
        </is>
      </c>
      <c r="D49" s="12" t="inlineStr">
        <is>
          <t>Supabase Row Level Security (RLS) Audit on Onboarding Primary Goal Screen</t>
        </is>
      </c>
      <c r="E49" s="12" t="inlineStr">
        <is>
          <t>1. Launch test runner in Security Audit Sandbox.
2. Navigate to Onboarding Primary Goal Screen (SelectScreen).
3. Query Supabase PostgreSQL table for SelectScreen without auth header.
4. Verify expected results and log evidence.</t>
        </is>
      </c>
      <c r="F49" s="12" t="inlineStr">
        <is>
          <t>RLS Check: SelectScreen_table</t>
        </is>
      </c>
      <c r="G49" s="12" t="inlineStr">
        <is>
          <t>Supabase RLS policy blocks unauthorized row query access.</t>
        </is>
      </c>
      <c r="H49" s="12" t="inlineStr">
        <is>
          <t>Pending Execution</t>
        </is>
      </c>
      <c r="I49" s="13" t="inlineStr">
        <is>
          <t>Not Executed</t>
        </is>
      </c>
      <c r="J49" s="11" t="inlineStr">
        <is>
          <t>High</t>
        </is>
      </c>
      <c r="K49" s="11" t="inlineStr">
        <is>
          <t>Major</t>
        </is>
      </c>
      <c r="L49" s="11" t="inlineStr">
        <is>
          <t>Script Ready</t>
        </is>
      </c>
      <c r="M49" s="12" t="inlineStr">
        <is>
          <t>Security Audit Sandbox</t>
        </is>
      </c>
      <c r="N49" s="12" t="inlineStr">
        <is>
          <t>Defensive Security Audit Engine</t>
        </is>
      </c>
      <c r="O49" s="12" t="inlineStr">
        <is>
          <t>Screen-specific baseline case for Onboarding Primary Goal Screen</t>
        </is>
      </c>
    </row>
    <row r="50" ht="36" customHeight="1">
      <c r="A50" s="11" t="inlineStr">
        <is>
          <t>TC-049</t>
        </is>
      </c>
      <c r="B50" s="12" t="inlineStr">
        <is>
          <t>SelectScreen</t>
        </is>
      </c>
      <c r="C50" s="12" t="inlineStr">
        <is>
          <t>Safe Vulnerability &amp; Security Checks</t>
        </is>
      </c>
      <c r="D50" s="12" t="inlineStr">
        <is>
          <t>Privileged Route Guard Verification on Onboarding Primary Goal Screen</t>
        </is>
      </c>
      <c r="E50" s="12" t="inlineStr">
        <is>
          <t>1. Launch test runner in Security Audit Sandbox.
2. Navigate to Onboarding Primary Goal Screen (SelectScreen).
3. Attempt deep linking directly to restricted SelectScreen view as unauthenticated user.
4. Verify expected results and log evidence.</t>
        </is>
      </c>
      <c r="F50" s="12" t="inlineStr">
        <is>
          <t>Route: /SelectScreen_admin</t>
        </is>
      </c>
      <c r="G50" s="12" t="inlineStr">
        <is>
          <t>Router guard intercepts request and redirects to login screen.</t>
        </is>
      </c>
      <c r="H50" s="12" t="inlineStr">
        <is>
          <t>Pending Execution</t>
        </is>
      </c>
      <c r="I50" s="13" t="inlineStr">
        <is>
          <t>Not Executed</t>
        </is>
      </c>
      <c r="J50" s="11" t="inlineStr">
        <is>
          <t>Medium</t>
        </is>
      </c>
      <c r="K50" s="11" t="inlineStr">
        <is>
          <t>Critical</t>
        </is>
      </c>
      <c r="L50" s="11" t="inlineStr">
        <is>
          <t>Script Ready</t>
        </is>
      </c>
      <c r="M50" s="12" t="inlineStr">
        <is>
          <t>Security Audit Sandbox</t>
        </is>
      </c>
      <c r="N50" s="12" t="inlineStr">
        <is>
          <t>Defensive Security Audit Engine</t>
        </is>
      </c>
      <c r="O50" s="12" t="inlineStr">
        <is>
          <t>Screen-specific baseline case for Onboarding Primary Goal Screen</t>
        </is>
      </c>
    </row>
    <row r="51" ht="36" customHeight="1">
      <c r="A51" s="11" t="inlineStr">
        <is>
          <t>TC-050</t>
        </is>
      </c>
      <c r="B51" s="12" t="inlineStr">
        <is>
          <t>SelectScreen</t>
        </is>
      </c>
      <c r="C51" s="12" t="inlineStr">
        <is>
          <t>Safe Vulnerability &amp; Security Checks</t>
        </is>
      </c>
      <c r="D51" s="12" t="inlineStr">
        <is>
          <t>Sensitive Data Masking &amp; Log Leak Check on Onboarding Primary Goal Screen</t>
        </is>
      </c>
      <c r="E51" s="12" t="inlineStr">
        <is>
          <t>1. Launch test runner in Security Audit Sandbox.
2. Navigate to Onboarding Primary Goal Screen (SelectScreen).
3. Audit application log files and network payloads for exposed SelectScreen secrets.
4. Verify expected results and log evidence.</t>
        </is>
      </c>
      <c r="F51" s="12" t="inlineStr">
        <is>
          <t>Audit: Password/Token fields</t>
        </is>
      </c>
      <c r="G51" s="12" t="inlineStr">
        <is>
          <t>Sensitive credentials and PII are masked or omitted from logs.</t>
        </is>
      </c>
      <c r="H51" s="12" t="inlineStr">
        <is>
          <t>Pending Execution</t>
        </is>
      </c>
      <c r="I51" s="13" t="inlineStr">
        <is>
          <t>Not Executed</t>
        </is>
      </c>
      <c r="J51" s="11" t="inlineStr">
        <is>
          <t>Low</t>
        </is>
      </c>
      <c r="K51" s="11" t="inlineStr">
        <is>
          <t>Major</t>
        </is>
      </c>
      <c r="L51" s="11" t="inlineStr">
        <is>
          <t>Script Ready</t>
        </is>
      </c>
      <c r="M51" s="12" t="inlineStr">
        <is>
          <t>Security Audit Sandbox</t>
        </is>
      </c>
      <c r="N51" s="12" t="inlineStr">
        <is>
          <t>Defensive Security Audit Engine</t>
        </is>
      </c>
      <c r="O51" s="12" t="inlineStr">
        <is>
          <t>Screen-specific baseline case for Onboarding Primary Goal Screen</t>
        </is>
      </c>
    </row>
    <row r="52" ht="36" customHeight="1">
      <c r="A52" s="11" t="inlineStr">
        <is>
          <t>TC-051</t>
        </is>
      </c>
      <c r="B52" s="12" t="inlineStr">
        <is>
          <t>GoalScreen</t>
        </is>
      </c>
      <c r="C52" s="12" t="inlineStr">
        <is>
          <t>Safe Vulnerability &amp; Security Checks</t>
        </is>
      </c>
      <c r="D52" s="12" t="inlineStr">
        <is>
          <t>Authentication Lockout &amp; Brute-Force on Fitness Target Goal Screen</t>
        </is>
      </c>
      <c r="E52" s="12" t="inlineStr">
        <is>
          <t>1. Launch test runner in Security Audit Sandbox.
2. Navigate to Fitness Target Goal Screen (GoalScreen).
3. Attempt 10 invalid authentication requests on GoalScreen in rapid succession.
4. Verify expected results and log evidence.</t>
        </is>
      </c>
      <c r="F52" s="12" t="inlineStr">
        <is>
          <t>Attempts: 10 invalid</t>
        </is>
      </c>
      <c r="G52" s="12" t="inlineStr">
        <is>
          <t>Account temporarily locks out after 5 failed attempts with 429 response.</t>
        </is>
      </c>
      <c r="H52" s="12" t="inlineStr">
        <is>
          <t>Pending Execution</t>
        </is>
      </c>
      <c r="I52" s="13" t="inlineStr">
        <is>
          <t>Not Executed</t>
        </is>
      </c>
      <c r="J52" s="11" t="inlineStr">
        <is>
          <t>High</t>
        </is>
      </c>
      <c r="K52" s="11" t="inlineStr">
        <is>
          <t>Moderate</t>
        </is>
      </c>
      <c r="L52" s="11" t="inlineStr">
        <is>
          <t>Script Ready</t>
        </is>
      </c>
      <c r="M52" s="12" t="inlineStr">
        <is>
          <t>Security Audit Sandbox</t>
        </is>
      </c>
      <c r="N52" s="12" t="inlineStr">
        <is>
          <t>Defensive Security Audit Engine</t>
        </is>
      </c>
      <c r="O52" s="12" t="inlineStr">
        <is>
          <t>Screen-specific baseline case for Fitness Target Goal Screen</t>
        </is>
      </c>
    </row>
    <row r="53" ht="36" customHeight="1">
      <c r="A53" s="11" t="inlineStr">
        <is>
          <t>TC-052</t>
        </is>
      </c>
      <c r="B53" s="12" t="inlineStr">
        <is>
          <t>GoalScreen</t>
        </is>
      </c>
      <c r="C53" s="12" t="inlineStr">
        <is>
          <t>Safe Vulnerability &amp; Security Checks</t>
        </is>
      </c>
      <c r="D53" s="12" t="inlineStr">
        <is>
          <t>Role-Based Authorization &amp; IDOR Check on Fitness Target Goal Screen</t>
        </is>
      </c>
      <c r="E53" s="12" t="inlineStr">
        <is>
          <t>1. Launch test runner in Security Audit Sandbox.
2. Navigate to Fitness Target Goal Screen (GoalScreen).
3. Attempt querying secondary user private records on GoalScreen using guest JWT.
4. Verify expected results and log evidence.</t>
        </is>
      </c>
      <c r="F53" s="12" t="inlineStr">
        <is>
          <t>IDOR Payload: GoalScreen_user_999</t>
        </is>
      </c>
      <c r="G53" s="12" t="inlineStr">
        <is>
          <t>Database and API reject request with HTTP 403 Forbidden.</t>
        </is>
      </c>
      <c r="H53" s="12" t="inlineStr">
        <is>
          <t>Pending Execution</t>
        </is>
      </c>
      <c r="I53" s="13" t="inlineStr">
        <is>
          <t>Not Executed</t>
        </is>
      </c>
      <c r="J53" s="11" t="inlineStr">
        <is>
          <t>Medium</t>
        </is>
      </c>
      <c r="K53" s="11" t="inlineStr">
        <is>
          <t>Major</t>
        </is>
      </c>
      <c r="L53" s="11" t="inlineStr">
        <is>
          <t>Script Ready</t>
        </is>
      </c>
      <c r="M53" s="12" t="inlineStr">
        <is>
          <t>Security Audit Sandbox</t>
        </is>
      </c>
      <c r="N53" s="12" t="inlineStr">
        <is>
          <t>Defensive Security Audit Engine</t>
        </is>
      </c>
      <c r="O53" s="12" t="inlineStr">
        <is>
          <t>Screen-specific baseline case for Fitness Target Goal Screen</t>
        </is>
      </c>
    </row>
    <row r="54" ht="36" customHeight="1">
      <c r="A54" s="11" t="inlineStr">
        <is>
          <t>TC-053</t>
        </is>
      </c>
      <c r="B54" s="12" t="inlineStr">
        <is>
          <t>GoalScreen</t>
        </is>
      </c>
      <c r="C54" s="12" t="inlineStr">
        <is>
          <t>Safe Vulnerability &amp; Security Checks</t>
        </is>
      </c>
      <c r="D54" s="12" t="inlineStr">
        <is>
          <t>Session Token Expiration &amp; Revocation on Fitness Target Goal Screen</t>
        </is>
      </c>
      <c r="E54" s="12" t="inlineStr">
        <is>
          <t>1. Launch test runner in Security Audit Sandbox.
2. Navigate to Fitness Target Goal Screen (GoalScreen).
3. Present expired JWT token to GoalScreen API endpoint, attempt data fetch.
4. Verify expected results and log evidence.</t>
        </is>
      </c>
      <c r="F54" s="12" t="inlineStr">
        <is>
          <t>JWT Token: Expired/Revoked</t>
        </is>
      </c>
      <c r="G54" s="12" t="inlineStr">
        <is>
          <t>API gateway invalidates session and redirects to login view.</t>
        </is>
      </c>
      <c r="H54" s="12" t="inlineStr">
        <is>
          <t>Pending Execution</t>
        </is>
      </c>
      <c r="I54" s="13" t="inlineStr">
        <is>
          <t>Not Executed</t>
        </is>
      </c>
      <c r="J54" s="11" t="inlineStr">
        <is>
          <t>Medium</t>
        </is>
      </c>
      <c r="K54" s="11" t="inlineStr">
        <is>
          <t>Moderate</t>
        </is>
      </c>
      <c r="L54" s="11" t="inlineStr">
        <is>
          <t>Script Ready</t>
        </is>
      </c>
      <c r="M54" s="12" t="inlineStr">
        <is>
          <t>Security Audit Sandbox</t>
        </is>
      </c>
      <c r="N54" s="12" t="inlineStr">
        <is>
          <t>Defensive Security Audit Engine</t>
        </is>
      </c>
      <c r="O54" s="12" t="inlineStr">
        <is>
          <t>Screen-specific baseline case for Fitness Target Goal Screen</t>
        </is>
      </c>
    </row>
    <row r="55" ht="36" customHeight="1">
      <c r="A55" s="11" t="inlineStr">
        <is>
          <t>TC-054</t>
        </is>
      </c>
      <c r="B55" s="12" t="inlineStr">
        <is>
          <t>GoalScreen</t>
        </is>
      </c>
      <c r="C55" s="12" t="inlineStr">
        <is>
          <t>Safe Vulnerability &amp; Security Checks</t>
        </is>
      </c>
      <c r="D55" s="12" t="inlineStr">
        <is>
          <t>Safe SQL Injection Input Defense on Fitness Target Goal Screen</t>
        </is>
      </c>
      <c r="E55" s="12" t="inlineStr">
        <is>
          <t>1. Launch test runner in Security Audit Sandbox.
2. Navigate to Fitness Target Goal Screen (GoalScreen).
3. Submit safe SQLi payload `' OR '1'='1` into text input fields on GoalScreen.
4. Verify expected results and log evidence.</t>
        </is>
      </c>
      <c r="F55" s="12" t="inlineStr">
        <is>
          <t>Payload: `' OR '1'='1`</t>
        </is>
      </c>
      <c r="G55" s="12" t="inlineStr">
        <is>
          <t>Input is parameterized/escaped cleanly; no SQL error occurs.</t>
        </is>
      </c>
      <c r="H55" s="12" t="inlineStr">
        <is>
          <t>Pending Execution</t>
        </is>
      </c>
      <c r="I55" s="13" t="inlineStr">
        <is>
          <t>Not Executed</t>
        </is>
      </c>
      <c r="J55" s="11" t="inlineStr">
        <is>
          <t>High</t>
        </is>
      </c>
      <c r="K55" s="11" t="inlineStr">
        <is>
          <t>Major</t>
        </is>
      </c>
      <c r="L55" s="11" t="inlineStr">
        <is>
          <t>Script Ready</t>
        </is>
      </c>
      <c r="M55" s="12" t="inlineStr">
        <is>
          <t>Security Audit Sandbox</t>
        </is>
      </c>
      <c r="N55" s="12" t="inlineStr">
        <is>
          <t>Defensive Security Audit Engine</t>
        </is>
      </c>
      <c r="O55" s="12" t="inlineStr">
        <is>
          <t>Screen-specific baseline case for Fitness Target Goal Screen</t>
        </is>
      </c>
    </row>
    <row r="56" ht="36" customHeight="1">
      <c r="A56" s="11" t="inlineStr">
        <is>
          <t>TC-055</t>
        </is>
      </c>
      <c r="B56" s="12" t="inlineStr">
        <is>
          <t>GoalScreen</t>
        </is>
      </c>
      <c r="C56" s="12" t="inlineStr">
        <is>
          <t>Safe Vulnerability &amp; Security Checks</t>
        </is>
      </c>
      <c r="D56" s="12" t="inlineStr">
        <is>
          <t>Safe XSS Script Escaping Validation on Fitness Target Goal Screen</t>
        </is>
      </c>
      <c r="E56" s="12" t="inlineStr">
        <is>
          <t>1. Launch test runner in Security Audit Sandbox.
2. Navigate to Fitness Target Goal Screen (GoalScreen).
3. Submit safe script payload `&lt;script&gt;alert(1)&lt;/script&gt;` into GoalScreen fields.
4. Verify expected results and log evidence.</t>
        </is>
      </c>
      <c r="F56" s="12" t="inlineStr">
        <is>
          <t>Payload: `&lt;script&gt;alert(1)&lt;/script&gt;`</t>
        </is>
      </c>
      <c r="G56" s="12" t="inlineStr">
        <is>
          <t>Payload renders as plain text string; script does not execute.</t>
        </is>
      </c>
      <c r="H56" s="12" t="inlineStr">
        <is>
          <t>Pending Execution</t>
        </is>
      </c>
      <c r="I56" s="13" t="inlineStr">
        <is>
          <t>Not Executed</t>
        </is>
      </c>
      <c r="J56" s="11" t="inlineStr">
        <is>
          <t>Low</t>
        </is>
      </c>
      <c r="K56" s="11" t="inlineStr">
        <is>
          <t>Moderate</t>
        </is>
      </c>
      <c r="L56" s="11" t="inlineStr">
        <is>
          <t>Script Ready</t>
        </is>
      </c>
      <c r="M56" s="12" t="inlineStr">
        <is>
          <t>Security Audit Sandbox</t>
        </is>
      </c>
      <c r="N56" s="12" t="inlineStr">
        <is>
          <t>Defensive Security Audit Engine</t>
        </is>
      </c>
      <c r="O56" s="12" t="inlineStr">
        <is>
          <t>Screen-specific baseline case for Fitness Target Goal Screen</t>
        </is>
      </c>
    </row>
    <row r="57" ht="36" customHeight="1">
      <c r="A57" s="11" t="inlineStr">
        <is>
          <t>TC-056</t>
        </is>
      </c>
      <c r="B57" s="12" t="inlineStr">
        <is>
          <t>GoalScreen</t>
        </is>
      </c>
      <c r="C57" s="12" t="inlineStr">
        <is>
          <t>Safe Vulnerability &amp; Security Checks</t>
        </is>
      </c>
      <c r="D57" s="12" t="inlineStr">
        <is>
          <t>TLS 1.3 Transport Encryption Enforcement on Fitness Target Goal Screen</t>
        </is>
      </c>
      <c r="E57" s="12" t="inlineStr">
        <is>
          <t>1. Launch test runner in Security Audit Sandbox.
2. Navigate to Fitness Target Goal Screen (GoalScreen).
3. Inspect outbound network traffic for GoalScreen using passive OWASP proxy.
4. Verify expected results and log evidence.</t>
        </is>
      </c>
      <c r="F57" s="12" t="inlineStr">
        <is>
          <t>Protocol: TLS 1.3 / HTTPS</t>
        </is>
      </c>
      <c r="G57" s="12" t="inlineStr">
        <is>
          <t>All HTTP connections upgrade to TLS 1.3; unencrypted HTTP blocked.</t>
        </is>
      </c>
      <c r="H57" s="12" t="inlineStr">
        <is>
          <t>Pending Execution</t>
        </is>
      </c>
      <c r="I57" s="13" t="inlineStr">
        <is>
          <t>Not Executed</t>
        </is>
      </c>
      <c r="J57" s="11" t="inlineStr">
        <is>
          <t>Medium</t>
        </is>
      </c>
      <c r="K57" s="11" t="inlineStr">
        <is>
          <t>Critical</t>
        </is>
      </c>
      <c r="L57" s="11" t="inlineStr">
        <is>
          <t>Script Ready</t>
        </is>
      </c>
      <c r="M57" s="12" t="inlineStr">
        <is>
          <t>Security Audit Sandbox</t>
        </is>
      </c>
      <c r="N57" s="12" t="inlineStr">
        <is>
          <t>Defensive Security Audit Engine</t>
        </is>
      </c>
      <c r="O57" s="12" t="inlineStr">
        <is>
          <t>Screen-specific baseline case for Fitness Target Goal Screen</t>
        </is>
      </c>
    </row>
    <row r="58" ht="36" customHeight="1">
      <c r="A58" s="11" t="inlineStr">
        <is>
          <t>TC-057</t>
        </is>
      </c>
      <c r="B58" s="12" t="inlineStr">
        <is>
          <t>GoalScreen</t>
        </is>
      </c>
      <c r="C58" s="12" t="inlineStr">
        <is>
          <t>Safe Vulnerability &amp; Security Checks</t>
        </is>
      </c>
      <c r="D58" s="12" t="inlineStr">
        <is>
          <t>API Rate Limiting 429 Response Check on Fitness Target Goal Screen</t>
        </is>
      </c>
      <c r="E58" s="12" t="inlineStr">
        <is>
          <t>1. Launch test runner in Security Audit Sandbox.
2. Navigate to Fitness Target Goal Screen (GoalScreen).
3. Send 100 rapid requests within 5 seconds to GoalScreen public endpoints.
4. Verify expected results and log evidence.</t>
        </is>
      </c>
      <c r="F58" s="12" t="inlineStr">
        <is>
          <t>Requests: 100 in 5s</t>
        </is>
      </c>
      <c r="G58" s="12" t="inlineStr">
        <is>
          <t>Rate limiter triggers HTTP 429 Too Many Requests response.</t>
        </is>
      </c>
      <c r="H58" s="12" t="inlineStr">
        <is>
          <t>Pending Execution</t>
        </is>
      </c>
      <c r="I58" s="13" t="inlineStr">
        <is>
          <t>Not Executed</t>
        </is>
      </c>
      <c r="J58" s="11" t="inlineStr">
        <is>
          <t>High</t>
        </is>
      </c>
      <c r="K58" s="11" t="inlineStr">
        <is>
          <t>Moderate</t>
        </is>
      </c>
      <c r="L58" s="11" t="inlineStr">
        <is>
          <t>Script Ready</t>
        </is>
      </c>
      <c r="M58" s="12" t="inlineStr">
        <is>
          <t>Security Audit Sandbox</t>
        </is>
      </c>
      <c r="N58" s="12" t="inlineStr">
        <is>
          <t>Defensive Security Audit Engine</t>
        </is>
      </c>
      <c r="O58" s="12" t="inlineStr">
        <is>
          <t>Screen-specific baseline case for Fitness Target Goal Screen</t>
        </is>
      </c>
    </row>
    <row r="59" ht="36" customHeight="1">
      <c r="A59" s="11" t="inlineStr">
        <is>
          <t>TC-058</t>
        </is>
      </c>
      <c r="B59" s="12" t="inlineStr">
        <is>
          <t>GoalScreen</t>
        </is>
      </c>
      <c r="C59" s="12" t="inlineStr">
        <is>
          <t>Safe Vulnerability &amp; Security Checks</t>
        </is>
      </c>
      <c r="D59" s="12" t="inlineStr">
        <is>
          <t>Supabase Row Level Security (RLS) Audit on Fitness Target Goal Screen</t>
        </is>
      </c>
      <c r="E59" s="12" t="inlineStr">
        <is>
          <t>1. Launch test runner in Security Audit Sandbox.
2. Navigate to Fitness Target Goal Screen (GoalScreen).
3. Query Supabase PostgreSQL table for GoalScreen without auth header.
4. Verify expected results and log evidence.</t>
        </is>
      </c>
      <c r="F59" s="12" t="inlineStr">
        <is>
          <t>RLS Check: GoalScreen_table</t>
        </is>
      </c>
      <c r="G59" s="12" t="inlineStr">
        <is>
          <t>Supabase RLS policy blocks unauthorized row query access.</t>
        </is>
      </c>
      <c r="H59" s="12" t="inlineStr">
        <is>
          <t>Pending Execution</t>
        </is>
      </c>
      <c r="I59" s="13" t="inlineStr">
        <is>
          <t>Not Executed</t>
        </is>
      </c>
      <c r="J59" s="11" t="inlineStr">
        <is>
          <t>Medium</t>
        </is>
      </c>
      <c r="K59" s="11" t="inlineStr">
        <is>
          <t>Major</t>
        </is>
      </c>
      <c r="L59" s="11" t="inlineStr">
        <is>
          <t>Script Ready</t>
        </is>
      </c>
      <c r="M59" s="12" t="inlineStr">
        <is>
          <t>Security Audit Sandbox</t>
        </is>
      </c>
      <c r="N59" s="12" t="inlineStr">
        <is>
          <t>Defensive Security Audit Engine</t>
        </is>
      </c>
      <c r="O59" s="12" t="inlineStr">
        <is>
          <t>Screen-specific baseline case for Fitness Target Goal Screen</t>
        </is>
      </c>
    </row>
    <row r="60" ht="36" customHeight="1">
      <c r="A60" s="11" t="inlineStr">
        <is>
          <t>TC-059</t>
        </is>
      </c>
      <c r="B60" s="12" t="inlineStr">
        <is>
          <t>GoalScreen</t>
        </is>
      </c>
      <c r="C60" s="12" t="inlineStr">
        <is>
          <t>Safe Vulnerability &amp; Security Checks</t>
        </is>
      </c>
      <c r="D60" s="12" t="inlineStr">
        <is>
          <t>Privileged Route Guard Verification on Fitness Target Goal Screen</t>
        </is>
      </c>
      <c r="E60" s="12" t="inlineStr">
        <is>
          <t>1. Launch test runner in Security Audit Sandbox.
2. Navigate to Fitness Target Goal Screen (GoalScreen).
3. Attempt deep linking directly to restricted GoalScreen view as unauthenticated user.
4. Verify expected results and log evidence.</t>
        </is>
      </c>
      <c r="F60" s="12" t="inlineStr">
        <is>
          <t>Route: /GoalScreen_admin</t>
        </is>
      </c>
      <c r="G60" s="12" t="inlineStr">
        <is>
          <t>Router guard intercepts request and redirects to login screen.</t>
        </is>
      </c>
      <c r="H60" s="12" t="inlineStr">
        <is>
          <t>Pending Execution</t>
        </is>
      </c>
      <c r="I60" s="13" t="inlineStr">
        <is>
          <t>Not Executed</t>
        </is>
      </c>
      <c r="J60" s="11" t="inlineStr">
        <is>
          <t>Medium</t>
        </is>
      </c>
      <c r="K60" s="11" t="inlineStr">
        <is>
          <t>Moderate</t>
        </is>
      </c>
      <c r="L60" s="11" t="inlineStr">
        <is>
          <t>Script Ready</t>
        </is>
      </c>
      <c r="M60" s="12" t="inlineStr">
        <is>
          <t>Security Audit Sandbox</t>
        </is>
      </c>
      <c r="N60" s="12" t="inlineStr">
        <is>
          <t>Defensive Security Audit Engine</t>
        </is>
      </c>
      <c r="O60" s="12" t="inlineStr">
        <is>
          <t>Screen-specific baseline case for Fitness Target Goal Screen</t>
        </is>
      </c>
    </row>
    <row r="61" ht="36" customHeight="1">
      <c r="A61" s="11" t="inlineStr">
        <is>
          <t>TC-060</t>
        </is>
      </c>
      <c r="B61" s="12" t="inlineStr">
        <is>
          <t>GoalScreen</t>
        </is>
      </c>
      <c r="C61" s="12" t="inlineStr">
        <is>
          <t>Safe Vulnerability &amp; Security Checks</t>
        </is>
      </c>
      <c r="D61" s="12" t="inlineStr">
        <is>
          <t>Sensitive Data Masking &amp; Log Leak Check on Fitness Target Goal Screen</t>
        </is>
      </c>
      <c r="E61" s="12" t="inlineStr">
        <is>
          <t>1. Launch test runner in Security Audit Sandbox.
2. Navigate to Fitness Target Goal Screen (GoalScreen).
3. Audit application log files and network payloads for exposed GoalScreen secrets.
4. Verify expected results and log evidence.</t>
        </is>
      </c>
      <c r="F61" s="12" t="inlineStr">
        <is>
          <t>Audit: Password/Token fields</t>
        </is>
      </c>
      <c r="G61" s="12" t="inlineStr">
        <is>
          <t>Sensitive credentials and PII are masked or omitted from logs.</t>
        </is>
      </c>
      <c r="H61" s="12" t="inlineStr">
        <is>
          <t>Pending Execution</t>
        </is>
      </c>
      <c r="I61" s="13" t="inlineStr">
        <is>
          <t>Not Executed</t>
        </is>
      </c>
      <c r="J61" s="11" t="inlineStr">
        <is>
          <t>High</t>
        </is>
      </c>
      <c r="K61" s="11" t="inlineStr">
        <is>
          <t>Major</t>
        </is>
      </c>
      <c r="L61" s="11" t="inlineStr">
        <is>
          <t>Script Ready</t>
        </is>
      </c>
      <c r="M61" s="12" t="inlineStr">
        <is>
          <t>Security Audit Sandbox</t>
        </is>
      </c>
      <c r="N61" s="12" t="inlineStr">
        <is>
          <t>Defensive Security Audit Engine</t>
        </is>
      </c>
      <c r="O61" s="12" t="inlineStr">
        <is>
          <t>Screen-specific baseline case for Fitness Target Goal Screen</t>
        </is>
      </c>
    </row>
    <row r="62" ht="36" customHeight="1">
      <c r="A62" s="11" t="inlineStr">
        <is>
          <t>TC-061</t>
        </is>
      </c>
      <c r="B62" s="12" t="inlineStr">
        <is>
          <t>GenderScreen</t>
        </is>
      </c>
      <c r="C62" s="12" t="inlineStr">
        <is>
          <t>Safe Vulnerability &amp; Security Checks</t>
        </is>
      </c>
      <c r="D62" s="12" t="inlineStr">
        <is>
          <t>Authentication Lockout &amp; Brute-Force on Demographics &amp; Gender Screen</t>
        </is>
      </c>
      <c r="E62" s="12" t="inlineStr">
        <is>
          <t>1. Launch test runner in Security Audit Sandbox.
2. Navigate to Demographics &amp; Gender Screen (GenderScreen).
3. Attempt 10 invalid authentication requests on GenderScreen in rapid succession.
4. Verify expected results and log evidence.</t>
        </is>
      </c>
      <c r="F62" s="12" t="inlineStr">
        <is>
          <t>Attempts: 10 invalid</t>
        </is>
      </c>
      <c r="G62" s="12" t="inlineStr">
        <is>
          <t>Account temporarily locks out after 5 failed attempts with 429 response.</t>
        </is>
      </c>
      <c r="H62" s="12" t="inlineStr">
        <is>
          <t>Pending Execution</t>
        </is>
      </c>
      <c r="I62" s="13" t="inlineStr">
        <is>
          <t>Not Executed</t>
        </is>
      </c>
      <c r="J62" s="11" t="inlineStr">
        <is>
          <t>Medium</t>
        </is>
      </c>
      <c r="K62" s="11" t="inlineStr">
        <is>
          <t>Moderate</t>
        </is>
      </c>
      <c r="L62" s="11" t="inlineStr">
        <is>
          <t>Script Ready</t>
        </is>
      </c>
      <c r="M62" s="12" t="inlineStr">
        <is>
          <t>Security Audit Sandbox</t>
        </is>
      </c>
      <c r="N62" s="12" t="inlineStr">
        <is>
          <t>Defensive Security Audit Engine</t>
        </is>
      </c>
      <c r="O62" s="12" t="inlineStr">
        <is>
          <t>Screen-specific baseline case for Demographics &amp; Gender Screen</t>
        </is>
      </c>
    </row>
    <row r="63" ht="36" customHeight="1">
      <c r="A63" s="11" t="inlineStr">
        <is>
          <t>TC-062</t>
        </is>
      </c>
      <c r="B63" s="12" t="inlineStr">
        <is>
          <t>GenderScreen</t>
        </is>
      </c>
      <c r="C63" s="12" t="inlineStr">
        <is>
          <t>Safe Vulnerability &amp; Security Checks</t>
        </is>
      </c>
      <c r="D63" s="12" t="inlineStr">
        <is>
          <t>Role-Based Authorization &amp; IDOR Check on Demographics &amp; Gender Screen</t>
        </is>
      </c>
      <c r="E63" s="12" t="inlineStr">
        <is>
          <t>1. Launch test runner in Security Audit Sandbox.
2. Navigate to Demographics &amp; Gender Screen (GenderScreen).
3. Attempt querying secondary user private records on GenderScreen using guest JWT.
4. Verify expected results and log evidence.</t>
        </is>
      </c>
      <c r="F63" s="12" t="inlineStr">
        <is>
          <t>IDOR Payload: GenderScreen_user_999</t>
        </is>
      </c>
      <c r="G63" s="12" t="inlineStr">
        <is>
          <t>Database and API reject request with HTTP 403 Forbidden.</t>
        </is>
      </c>
      <c r="H63" s="12" t="inlineStr">
        <is>
          <t>Pending Execution</t>
        </is>
      </c>
      <c r="I63" s="13" t="inlineStr">
        <is>
          <t>Not Executed</t>
        </is>
      </c>
      <c r="J63" s="11" t="inlineStr">
        <is>
          <t>Medium</t>
        </is>
      </c>
      <c r="K63" s="11" t="inlineStr">
        <is>
          <t>Major</t>
        </is>
      </c>
      <c r="L63" s="11" t="inlineStr">
        <is>
          <t>Script Ready</t>
        </is>
      </c>
      <c r="M63" s="12" t="inlineStr">
        <is>
          <t>Security Audit Sandbox</t>
        </is>
      </c>
      <c r="N63" s="12" t="inlineStr">
        <is>
          <t>Defensive Security Audit Engine</t>
        </is>
      </c>
      <c r="O63" s="12" t="inlineStr">
        <is>
          <t>Screen-specific baseline case for Demographics &amp; Gender Screen</t>
        </is>
      </c>
    </row>
    <row r="64" ht="36" customHeight="1">
      <c r="A64" s="11" t="inlineStr">
        <is>
          <t>TC-063</t>
        </is>
      </c>
      <c r="B64" s="12" t="inlineStr">
        <is>
          <t>GenderScreen</t>
        </is>
      </c>
      <c r="C64" s="12" t="inlineStr">
        <is>
          <t>Safe Vulnerability &amp; Security Checks</t>
        </is>
      </c>
      <c r="D64" s="12" t="inlineStr">
        <is>
          <t>Session Token Expiration &amp; Revocation on Demographics &amp; Gender Screen</t>
        </is>
      </c>
      <c r="E64" s="12" t="inlineStr">
        <is>
          <t>1. Launch test runner in Security Audit Sandbox.
2. Navigate to Demographics &amp; Gender Screen (GenderScreen).
3. Present expired JWT token to GenderScreen API endpoint, attempt data fetch.
4. Verify expected results and log evidence.</t>
        </is>
      </c>
      <c r="F64" s="12" t="inlineStr">
        <is>
          <t>JWT Token: Expired/Revoked</t>
        </is>
      </c>
      <c r="G64" s="12" t="inlineStr">
        <is>
          <t>API gateway invalidates session and redirects to login view.</t>
        </is>
      </c>
      <c r="H64" s="12" t="inlineStr">
        <is>
          <t>Pending Execution</t>
        </is>
      </c>
      <c r="I64" s="13" t="inlineStr">
        <is>
          <t>Not Executed</t>
        </is>
      </c>
      <c r="J64" s="11" t="inlineStr">
        <is>
          <t>High</t>
        </is>
      </c>
      <c r="K64" s="11" t="inlineStr">
        <is>
          <t>Critical</t>
        </is>
      </c>
      <c r="L64" s="11" t="inlineStr">
        <is>
          <t>Script Ready</t>
        </is>
      </c>
      <c r="M64" s="12" t="inlineStr">
        <is>
          <t>Security Audit Sandbox</t>
        </is>
      </c>
      <c r="N64" s="12" t="inlineStr">
        <is>
          <t>Defensive Security Audit Engine</t>
        </is>
      </c>
      <c r="O64" s="12" t="inlineStr">
        <is>
          <t>Screen-specific baseline case for Demographics &amp; Gender Screen</t>
        </is>
      </c>
    </row>
    <row r="65" ht="36" customHeight="1">
      <c r="A65" s="11" t="inlineStr">
        <is>
          <t>TC-064</t>
        </is>
      </c>
      <c r="B65" s="12" t="inlineStr">
        <is>
          <t>GenderScreen</t>
        </is>
      </c>
      <c r="C65" s="12" t="inlineStr">
        <is>
          <t>Safe Vulnerability &amp; Security Checks</t>
        </is>
      </c>
      <c r="D65" s="12" t="inlineStr">
        <is>
          <t>Safe SQL Injection Input Defense on Demographics &amp; Gender Screen</t>
        </is>
      </c>
      <c r="E65" s="12" t="inlineStr">
        <is>
          <t>1. Launch test runner in Security Audit Sandbox.
2. Navigate to Demographics &amp; Gender Screen (GenderScreen).
3. Submit safe SQLi payload `' OR '1'='1` into text input fields on GenderScreen.
4. Verify expected results and log evidence.</t>
        </is>
      </c>
      <c r="F65" s="12" t="inlineStr">
        <is>
          <t>Payload: `' OR '1'='1`</t>
        </is>
      </c>
      <c r="G65" s="12" t="inlineStr">
        <is>
          <t>Input is parameterized/escaped cleanly; no SQL error occurs.</t>
        </is>
      </c>
      <c r="H65" s="12" t="inlineStr">
        <is>
          <t>Pending Execution</t>
        </is>
      </c>
      <c r="I65" s="13" t="inlineStr">
        <is>
          <t>Not Executed</t>
        </is>
      </c>
      <c r="J65" s="11" t="inlineStr">
        <is>
          <t>Medium</t>
        </is>
      </c>
      <c r="K65" s="11" t="inlineStr">
        <is>
          <t>Major</t>
        </is>
      </c>
      <c r="L65" s="11" t="inlineStr">
        <is>
          <t>Script Ready</t>
        </is>
      </c>
      <c r="M65" s="12" t="inlineStr">
        <is>
          <t>Security Audit Sandbox</t>
        </is>
      </c>
      <c r="N65" s="12" t="inlineStr">
        <is>
          <t>Defensive Security Audit Engine</t>
        </is>
      </c>
      <c r="O65" s="12" t="inlineStr">
        <is>
          <t>Screen-specific baseline case for Demographics &amp; Gender Screen</t>
        </is>
      </c>
    </row>
    <row r="66" ht="36" customHeight="1">
      <c r="A66" s="11" t="inlineStr">
        <is>
          <t>TC-065</t>
        </is>
      </c>
      <c r="B66" s="12" t="inlineStr">
        <is>
          <t>GenderScreen</t>
        </is>
      </c>
      <c r="C66" s="12" t="inlineStr">
        <is>
          <t>Safe Vulnerability &amp; Security Checks</t>
        </is>
      </c>
      <c r="D66" s="12" t="inlineStr">
        <is>
          <t>Safe XSS Script Escaping Validation on Demographics &amp; Gender Screen</t>
        </is>
      </c>
      <c r="E66" s="12" t="inlineStr">
        <is>
          <t>1. Launch test runner in Security Audit Sandbox.
2. Navigate to Demographics &amp; Gender Screen (GenderScreen).
3. Submit safe script payload `&lt;script&gt;alert(1)&lt;/script&gt;` into GenderScreen fields.
4. Verify expected results and log evidence.</t>
        </is>
      </c>
      <c r="F66" s="12" t="inlineStr">
        <is>
          <t>Payload: `&lt;script&gt;alert(1)&lt;/script&gt;`</t>
        </is>
      </c>
      <c r="G66" s="12" t="inlineStr">
        <is>
          <t>Payload renders as plain text string; script does not execute.</t>
        </is>
      </c>
      <c r="H66" s="12" t="inlineStr">
        <is>
          <t>Pending Execution</t>
        </is>
      </c>
      <c r="I66" s="13" t="inlineStr">
        <is>
          <t>Not Executed</t>
        </is>
      </c>
      <c r="J66" s="11" t="inlineStr">
        <is>
          <t>Low</t>
        </is>
      </c>
      <c r="K66" s="11" t="inlineStr">
        <is>
          <t>Moderate</t>
        </is>
      </c>
      <c r="L66" s="11" t="inlineStr">
        <is>
          <t>Script Ready</t>
        </is>
      </c>
      <c r="M66" s="12" t="inlineStr">
        <is>
          <t>Security Audit Sandbox</t>
        </is>
      </c>
      <c r="N66" s="12" t="inlineStr">
        <is>
          <t>Defensive Security Audit Engine</t>
        </is>
      </c>
      <c r="O66" s="12" t="inlineStr">
        <is>
          <t>Screen-specific baseline case for Demographics &amp; Gender Screen</t>
        </is>
      </c>
    </row>
    <row r="67" ht="36" customHeight="1">
      <c r="A67" s="11" t="inlineStr">
        <is>
          <t>TC-066</t>
        </is>
      </c>
      <c r="B67" s="12" t="inlineStr">
        <is>
          <t>GenderScreen</t>
        </is>
      </c>
      <c r="C67" s="12" t="inlineStr">
        <is>
          <t>Safe Vulnerability &amp; Security Checks</t>
        </is>
      </c>
      <c r="D67" s="12" t="inlineStr">
        <is>
          <t>TLS 1.3 Transport Encryption Enforcement on Demographics &amp; Gender Screen</t>
        </is>
      </c>
      <c r="E67" s="12" t="inlineStr">
        <is>
          <t>1. Launch test runner in Security Audit Sandbox.
2. Navigate to Demographics &amp; Gender Screen (GenderScreen).
3. Inspect outbound network traffic for GenderScreen using passive OWASP proxy.
4. Verify expected results and log evidence.</t>
        </is>
      </c>
      <c r="F67" s="12" t="inlineStr">
        <is>
          <t>Protocol: TLS 1.3 / HTTPS</t>
        </is>
      </c>
      <c r="G67" s="12" t="inlineStr">
        <is>
          <t>All HTTP connections upgrade to TLS 1.3; unencrypted HTTP blocked.</t>
        </is>
      </c>
      <c r="H67" s="12" t="inlineStr">
        <is>
          <t>Pending Execution</t>
        </is>
      </c>
      <c r="I67" s="13" t="inlineStr">
        <is>
          <t>Not Executed</t>
        </is>
      </c>
      <c r="J67" s="11" t="inlineStr">
        <is>
          <t>High</t>
        </is>
      </c>
      <c r="K67" s="11" t="inlineStr">
        <is>
          <t>Major</t>
        </is>
      </c>
      <c r="L67" s="11" t="inlineStr">
        <is>
          <t>Script Ready</t>
        </is>
      </c>
      <c r="M67" s="12" t="inlineStr">
        <is>
          <t>Security Audit Sandbox</t>
        </is>
      </c>
      <c r="N67" s="12" t="inlineStr">
        <is>
          <t>Defensive Security Audit Engine</t>
        </is>
      </c>
      <c r="O67" s="12" t="inlineStr">
        <is>
          <t>Screen-specific baseline case for Demographics &amp; Gender Screen</t>
        </is>
      </c>
    </row>
    <row r="68" ht="36" customHeight="1">
      <c r="A68" s="11" t="inlineStr">
        <is>
          <t>TC-067</t>
        </is>
      </c>
      <c r="B68" s="12" t="inlineStr">
        <is>
          <t>GenderScreen</t>
        </is>
      </c>
      <c r="C68" s="12" t="inlineStr">
        <is>
          <t>Safe Vulnerability &amp; Security Checks</t>
        </is>
      </c>
      <c r="D68" s="12" t="inlineStr">
        <is>
          <t>API Rate Limiting 429 Response Check on Demographics &amp; Gender Screen</t>
        </is>
      </c>
      <c r="E68" s="12" t="inlineStr">
        <is>
          <t>1. Launch test runner in Security Audit Sandbox.
2. Navigate to Demographics &amp; Gender Screen (GenderScreen).
3. Send 100 rapid requests within 5 seconds to GenderScreen public endpoints.
4. Verify expected results and log evidence.</t>
        </is>
      </c>
      <c r="F68" s="12" t="inlineStr">
        <is>
          <t>Requests: 100 in 5s</t>
        </is>
      </c>
      <c r="G68" s="12" t="inlineStr">
        <is>
          <t>Rate limiter triggers HTTP 429 Too Many Requests response.</t>
        </is>
      </c>
      <c r="H68" s="12" t="inlineStr">
        <is>
          <t>Pending Execution</t>
        </is>
      </c>
      <c r="I68" s="13" t="inlineStr">
        <is>
          <t>Not Executed</t>
        </is>
      </c>
      <c r="J68" s="11" t="inlineStr">
        <is>
          <t>Medium</t>
        </is>
      </c>
      <c r="K68" s="11" t="inlineStr">
        <is>
          <t>Moderate</t>
        </is>
      </c>
      <c r="L68" s="11" t="inlineStr">
        <is>
          <t>Script Ready</t>
        </is>
      </c>
      <c r="M68" s="12" t="inlineStr">
        <is>
          <t>Security Audit Sandbox</t>
        </is>
      </c>
      <c r="N68" s="12" t="inlineStr">
        <is>
          <t>Defensive Security Audit Engine</t>
        </is>
      </c>
      <c r="O68" s="12" t="inlineStr">
        <is>
          <t>Screen-specific baseline case for Demographics &amp; Gender Screen</t>
        </is>
      </c>
    </row>
    <row r="69" ht="36" customHeight="1">
      <c r="A69" s="11" t="inlineStr">
        <is>
          <t>TC-068</t>
        </is>
      </c>
      <c r="B69" s="12" t="inlineStr">
        <is>
          <t>GenderScreen</t>
        </is>
      </c>
      <c r="C69" s="12" t="inlineStr">
        <is>
          <t>Safe Vulnerability &amp; Security Checks</t>
        </is>
      </c>
      <c r="D69" s="12" t="inlineStr">
        <is>
          <t>Supabase Row Level Security (RLS) Audit on Demographics &amp; Gender Screen</t>
        </is>
      </c>
      <c r="E69" s="12" t="inlineStr">
        <is>
          <t>1. Launch test runner in Security Audit Sandbox.
2. Navigate to Demographics &amp; Gender Screen (GenderScreen).
3. Query Supabase PostgreSQL table for GenderScreen without auth header.
4. Verify expected results and log evidence.</t>
        </is>
      </c>
      <c r="F69" s="12" t="inlineStr">
        <is>
          <t>RLS Check: GenderScreen_table</t>
        </is>
      </c>
      <c r="G69" s="12" t="inlineStr">
        <is>
          <t>Supabase RLS policy blocks unauthorized row query access.</t>
        </is>
      </c>
      <c r="H69" s="12" t="inlineStr">
        <is>
          <t>Pending Execution</t>
        </is>
      </c>
      <c r="I69" s="13" t="inlineStr">
        <is>
          <t>Not Executed</t>
        </is>
      </c>
      <c r="J69" s="11" t="inlineStr">
        <is>
          <t>Medium</t>
        </is>
      </c>
      <c r="K69" s="11" t="inlineStr">
        <is>
          <t>Major</t>
        </is>
      </c>
      <c r="L69" s="11" t="inlineStr">
        <is>
          <t>Script Ready</t>
        </is>
      </c>
      <c r="M69" s="12" t="inlineStr">
        <is>
          <t>Security Audit Sandbox</t>
        </is>
      </c>
      <c r="N69" s="12" t="inlineStr">
        <is>
          <t>Defensive Security Audit Engine</t>
        </is>
      </c>
      <c r="O69" s="12" t="inlineStr">
        <is>
          <t>Screen-specific baseline case for Demographics &amp; Gender Screen</t>
        </is>
      </c>
    </row>
    <row r="70" ht="36" customHeight="1">
      <c r="A70" s="11" t="inlineStr">
        <is>
          <t>TC-069</t>
        </is>
      </c>
      <c r="B70" s="12" t="inlineStr">
        <is>
          <t>GenderScreen</t>
        </is>
      </c>
      <c r="C70" s="12" t="inlineStr">
        <is>
          <t>Safe Vulnerability &amp; Security Checks</t>
        </is>
      </c>
      <c r="D70" s="12" t="inlineStr">
        <is>
          <t>Privileged Route Guard Verification on Demographics &amp; Gender Screen</t>
        </is>
      </c>
      <c r="E70" s="12" t="inlineStr">
        <is>
          <t>1. Launch test runner in Security Audit Sandbox.
2. Navigate to Demographics &amp; Gender Screen (GenderScreen).
3. Attempt deep linking directly to restricted GenderScreen view as unauthenticated user.
4. Verify expected results and log evidence.</t>
        </is>
      </c>
      <c r="F70" s="12" t="inlineStr">
        <is>
          <t>Route: /GenderScreen_admin</t>
        </is>
      </c>
      <c r="G70" s="12" t="inlineStr">
        <is>
          <t>Router guard intercepts request and redirects to login screen.</t>
        </is>
      </c>
      <c r="H70" s="12" t="inlineStr">
        <is>
          <t>Pending Execution</t>
        </is>
      </c>
      <c r="I70" s="13" t="inlineStr">
        <is>
          <t>Not Executed</t>
        </is>
      </c>
      <c r="J70" s="11" t="inlineStr">
        <is>
          <t>High</t>
        </is>
      </c>
      <c r="K70" s="11" t="inlineStr">
        <is>
          <t>Moderate</t>
        </is>
      </c>
      <c r="L70" s="11" t="inlineStr">
        <is>
          <t>Script Ready</t>
        </is>
      </c>
      <c r="M70" s="12" t="inlineStr">
        <is>
          <t>Security Audit Sandbox</t>
        </is>
      </c>
      <c r="N70" s="12" t="inlineStr">
        <is>
          <t>Defensive Security Audit Engine</t>
        </is>
      </c>
      <c r="O70" s="12" t="inlineStr">
        <is>
          <t>Screen-specific baseline case for Demographics &amp; Gender Screen</t>
        </is>
      </c>
    </row>
    <row r="71" ht="36" customHeight="1">
      <c r="A71" s="11" t="inlineStr">
        <is>
          <t>TC-070</t>
        </is>
      </c>
      <c r="B71" s="12" t="inlineStr">
        <is>
          <t>GenderScreen</t>
        </is>
      </c>
      <c r="C71" s="12" t="inlineStr">
        <is>
          <t>Safe Vulnerability &amp; Security Checks</t>
        </is>
      </c>
      <c r="D71" s="12" t="inlineStr">
        <is>
          <t>Sensitive Data Masking &amp; Log Leak Check on Demographics &amp; Gender Screen</t>
        </is>
      </c>
      <c r="E71" s="12" t="inlineStr">
        <is>
          <t>1. Launch test runner in Security Audit Sandbox.
2. Navigate to Demographics &amp; Gender Screen (GenderScreen).
3. Audit application log files and network payloads for exposed GenderScreen secrets.
4. Verify expected results and log evidence.</t>
        </is>
      </c>
      <c r="F71" s="12" t="inlineStr">
        <is>
          <t>Audit: Password/Token fields</t>
        </is>
      </c>
      <c r="G71" s="12" t="inlineStr">
        <is>
          <t>Sensitive credentials and PII are masked or omitted from logs.</t>
        </is>
      </c>
      <c r="H71" s="12" t="inlineStr">
        <is>
          <t>Pending Execution</t>
        </is>
      </c>
      <c r="I71" s="13" t="inlineStr">
        <is>
          <t>Not Executed</t>
        </is>
      </c>
      <c r="J71" s="11" t="inlineStr">
        <is>
          <t>Low</t>
        </is>
      </c>
      <c r="K71" s="11" t="inlineStr">
        <is>
          <t>Critical</t>
        </is>
      </c>
      <c r="L71" s="11" t="inlineStr">
        <is>
          <t>Script Ready</t>
        </is>
      </c>
      <c r="M71" s="12" t="inlineStr">
        <is>
          <t>Security Audit Sandbox</t>
        </is>
      </c>
      <c r="N71" s="12" t="inlineStr">
        <is>
          <t>Defensive Security Audit Engine</t>
        </is>
      </c>
      <c r="O71" s="12" t="inlineStr">
        <is>
          <t>Screen-specific baseline case for Demographics &amp; Gender Screen</t>
        </is>
      </c>
    </row>
    <row r="72" ht="36" customHeight="1">
      <c r="A72" s="11" t="inlineStr">
        <is>
          <t>TC-071</t>
        </is>
      </c>
      <c r="B72" s="12" t="inlineStr">
        <is>
          <t>FoodScreen</t>
        </is>
      </c>
      <c r="C72" s="12" t="inlineStr">
        <is>
          <t>Safe Vulnerability &amp; Security Checks</t>
        </is>
      </c>
      <c r="D72" s="12" t="inlineStr">
        <is>
          <t>Authentication Lockout &amp; Brute-Force on Dietary Preference &amp; Food Screen</t>
        </is>
      </c>
      <c r="E72" s="12" t="inlineStr">
        <is>
          <t>1. Launch test runner in Security Audit Sandbox.
2. Navigate to Dietary Preference &amp; Food Screen (FoodScreen).
3. Attempt 10 invalid authentication requests on FoodScreen in rapid succession.
4. Verify expected results and log evidence.</t>
        </is>
      </c>
      <c r="F72" s="12" t="inlineStr">
        <is>
          <t>Attempts: 10 invalid</t>
        </is>
      </c>
      <c r="G72" s="12" t="inlineStr">
        <is>
          <t>Account temporarily locks out after 5 failed attempts with 429 response.</t>
        </is>
      </c>
      <c r="H72" s="12" t="inlineStr">
        <is>
          <t>Pending Execution</t>
        </is>
      </c>
      <c r="I72" s="13" t="inlineStr">
        <is>
          <t>Not Executed</t>
        </is>
      </c>
      <c r="J72" s="11" t="inlineStr">
        <is>
          <t>Medium</t>
        </is>
      </c>
      <c r="K72" s="11" t="inlineStr">
        <is>
          <t>Moderate</t>
        </is>
      </c>
      <c r="L72" s="11" t="inlineStr">
        <is>
          <t>Script Ready</t>
        </is>
      </c>
      <c r="M72" s="12" t="inlineStr">
        <is>
          <t>Security Audit Sandbox</t>
        </is>
      </c>
      <c r="N72" s="12" t="inlineStr">
        <is>
          <t>Defensive Security Audit Engine</t>
        </is>
      </c>
      <c r="O72" s="12" t="inlineStr">
        <is>
          <t>Screen-specific baseline case for Dietary Preference &amp; Food Screen</t>
        </is>
      </c>
    </row>
    <row r="73" ht="36" customHeight="1">
      <c r="A73" s="11" t="inlineStr">
        <is>
          <t>TC-072</t>
        </is>
      </c>
      <c r="B73" s="12" t="inlineStr">
        <is>
          <t>FoodScreen</t>
        </is>
      </c>
      <c r="C73" s="12" t="inlineStr">
        <is>
          <t>Safe Vulnerability &amp; Security Checks</t>
        </is>
      </c>
      <c r="D73" s="12" t="inlineStr">
        <is>
          <t>Role-Based Authorization &amp; IDOR Check on Dietary Preference &amp; Food Screen</t>
        </is>
      </c>
      <c r="E73" s="12" t="inlineStr">
        <is>
          <t>1. Launch test runner in Security Audit Sandbox.
2. Navigate to Dietary Preference &amp; Food Screen (FoodScreen).
3. Attempt querying secondary user private records on FoodScreen using guest JWT.
4. Verify expected results and log evidence.</t>
        </is>
      </c>
      <c r="F73" s="12" t="inlineStr">
        <is>
          <t>IDOR Payload: FoodScreen_user_999</t>
        </is>
      </c>
      <c r="G73" s="12" t="inlineStr">
        <is>
          <t>Database and API reject request with HTTP 403 Forbidden.</t>
        </is>
      </c>
      <c r="H73" s="12" t="inlineStr">
        <is>
          <t>Pending Execution</t>
        </is>
      </c>
      <c r="I73" s="13" t="inlineStr">
        <is>
          <t>Not Executed</t>
        </is>
      </c>
      <c r="J73" s="11" t="inlineStr">
        <is>
          <t>High</t>
        </is>
      </c>
      <c r="K73" s="11" t="inlineStr">
        <is>
          <t>Major</t>
        </is>
      </c>
      <c r="L73" s="11" t="inlineStr">
        <is>
          <t>Script Ready</t>
        </is>
      </c>
      <c r="M73" s="12" t="inlineStr">
        <is>
          <t>Security Audit Sandbox</t>
        </is>
      </c>
      <c r="N73" s="12" t="inlineStr">
        <is>
          <t>Defensive Security Audit Engine</t>
        </is>
      </c>
      <c r="O73" s="12" t="inlineStr">
        <is>
          <t>Screen-specific baseline case for Dietary Preference &amp; Food Screen</t>
        </is>
      </c>
    </row>
    <row r="74" ht="36" customHeight="1">
      <c r="A74" s="11" t="inlineStr">
        <is>
          <t>TC-073</t>
        </is>
      </c>
      <c r="B74" s="12" t="inlineStr">
        <is>
          <t>FoodScreen</t>
        </is>
      </c>
      <c r="C74" s="12" t="inlineStr">
        <is>
          <t>Safe Vulnerability &amp; Security Checks</t>
        </is>
      </c>
      <c r="D74" s="12" t="inlineStr">
        <is>
          <t>Session Token Expiration &amp; Revocation on Dietary Preference &amp; Food Screen</t>
        </is>
      </c>
      <c r="E74" s="12" t="inlineStr">
        <is>
          <t>1. Launch test runner in Security Audit Sandbox.
2. Navigate to Dietary Preference &amp; Food Screen (FoodScreen).
3. Present expired JWT token to FoodScreen API endpoint, attempt data fetch.
4. Verify expected results and log evidence.</t>
        </is>
      </c>
      <c r="F74" s="12" t="inlineStr">
        <is>
          <t>JWT Token: Expired/Revoked</t>
        </is>
      </c>
      <c r="G74" s="12" t="inlineStr">
        <is>
          <t>API gateway invalidates session and redirects to login view.</t>
        </is>
      </c>
      <c r="H74" s="12" t="inlineStr">
        <is>
          <t>Pending Execution</t>
        </is>
      </c>
      <c r="I74" s="13" t="inlineStr">
        <is>
          <t>Not Executed</t>
        </is>
      </c>
      <c r="J74" s="11" t="inlineStr">
        <is>
          <t>Medium</t>
        </is>
      </c>
      <c r="K74" s="11" t="inlineStr">
        <is>
          <t>Moderate</t>
        </is>
      </c>
      <c r="L74" s="11" t="inlineStr">
        <is>
          <t>Script Ready</t>
        </is>
      </c>
      <c r="M74" s="12" t="inlineStr">
        <is>
          <t>Security Audit Sandbox</t>
        </is>
      </c>
      <c r="N74" s="12" t="inlineStr">
        <is>
          <t>Defensive Security Audit Engine</t>
        </is>
      </c>
      <c r="O74" s="12" t="inlineStr">
        <is>
          <t>Screen-specific baseline case for Dietary Preference &amp; Food Screen</t>
        </is>
      </c>
    </row>
    <row r="75" ht="36" customHeight="1">
      <c r="A75" s="11" t="inlineStr">
        <is>
          <t>TC-074</t>
        </is>
      </c>
      <c r="B75" s="12" t="inlineStr">
        <is>
          <t>FoodScreen</t>
        </is>
      </c>
      <c r="C75" s="12" t="inlineStr">
        <is>
          <t>Safe Vulnerability &amp; Security Checks</t>
        </is>
      </c>
      <c r="D75" s="12" t="inlineStr">
        <is>
          <t>Safe SQL Injection Input Defense on Dietary Preference &amp; Food Screen</t>
        </is>
      </c>
      <c r="E75" s="12" t="inlineStr">
        <is>
          <t>1. Launch test runner in Security Audit Sandbox.
2. Navigate to Dietary Preference &amp; Food Screen (FoodScreen).
3. Submit safe SQLi payload `' OR '1'='1` into text input fields on FoodScreen.
4. Verify expected results and log evidence.</t>
        </is>
      </c>
      <c r="F75" s="12" t="inlineStr">
        <is>
          <t>Payload: `' OR '1'='1`</t>
        </is>
      </c>
      <c r="G75" s="12" t="inlineStr">
        <is>
          <t>Input is parameterized/escaped cleanly; no SQL error occurs.</t>
        </is>
      </c>
      <c r="H75" s="12" t="inlineStr">
        <is>
          <t>Pending Execution</t>
        </is>
      </c>
      <c r="I75" s="13" t="inlineStr">
        <is>
          <t>Not Executed</t>
        </is>
      </c>
      <c r="J75" s="11" t="inlineStr">
        <is>
          <t>Medium</t>
        </is>
      </c>
      <c r="K75" s="11" t="inlineStr">
        <is>
          <t>Major</t>
        </is>
      </c>
      <c r="L75" s="11" t="inlineStr">
        <is>
          <t>Script Ready</t>
        </is>
      </c>
      <c r="M75" s="12" t="inlineStr">
        <is>
          <t>Security Audit Sandbox</t>
        </is>
      </c>
      <c r="N75" s="12" t="inlineStr">
        <is>
          <t>Defensive Security Audit Engine</t>
        </is>
      </c>
      <c r="O75" s="12" t="inlineStr">
        <is>
          <t>Screen-specific baseline case for Dietary Preference &amp; Food Screen</t>
        </is>
      </c>
    </row>
    <row r="76" ht="36" customHeight="1">
      <c r="A76" s="11" t="inlineStr">
        <is>
          <t>TC-075</t>
        </is>
      </c>
      <c r="B76" s="12" t="inlineStr">
        <is>
          <t>FoodScreen</t>
        </is>
      </c>
      <c r="C76" s="12" t="inlineStr">
        <is>
          <t>Safe Vulnerability &amp; Security Checks</t>
        </is>
      </c>
      <c r="D76" s="12" t="inlineStr">
        <is>
          <t>Safe XSS Script Escaping Validation on Dietary Preference &amp; Food Screen</t>
        </is>
      </c>
      <c r="E76" s="12" t="inlineStr">
        <is>
          <t>1. Launch test runner in Security Audit Sandbox.
2. Navigate to Dietary Preference &amp; Food Screen (FoodScreen).
3. Submit safe script payload `&lt;script&gt;alert(1)&lt;/script&gt;` into FoodScreen fields.
4. Verify expected results and log evidence.</t>
        </is>
      </c>
      <c r="F76" s="12" t="inlineStr">
        <is>
          <t>Payload: `&lt;script&gt;alert(1)&lt;/script&gt;`</t>
        </is>
      </c>
      <c r="G76" s="12" t="inlineStr">
        <is>
          <t>Payload renders as plain text string; script does not execute.</t>
        </is>
      </c>
      <c r="H76" s="12" t="inlineStr">
        <is>
          <t>Pending Execution</t>
        </is>
      </c>
      <c r="I76" s="13" t="inlineStr">
        <is>
          <t>Not Executed</t>
        </is>
      </c>
      <c r="J76" s="11" t="inlineStr">
        <is>
          <t>High</t>
        </is>
      </c>
      <c r="K76" s="11" t="inlineStr">
        <is>
          <t>Moderate</t>
        </is>
      </c>
      <c r="L76" s="11" t="inlineStr">
        <is>
          <t>Script Ready</t>
        </is>
      </c>
      <c r="M76" s="12" t="inlineStr">
        <is>
          <t>Security Audit Sandbox</t>
        </is>
      </c>
      <c r="N76" s="12" t="inlineStr">
        <is>
          <t>Defensive Security Audit Engine</t>
        </is>
      </c>
      <c r="O76" s="12" t="inlineStr">
        <is>
          <t>Screen-specific baseline case for Dietary Preference &amp; Food Screen</t>
        </is>
      </c>
    </row>
    <row r="77" ht="36" customHeight="1">
      <c r="A77" s="11" t="inlineStr">
        <is>
          <t>TC-076</t>
        </is>
      </c>
      <c r="B77" s="12" t="inlineStr">
        <is>
          <t>FoodScreen</t>
        </is>
      </c>
      <c r="C77" s="12" t="inlineStr">
        <is>
          <t>Safe Vulnerability &amp; Security Checks</t>
        </is>
      </c>
      <c r="D77" s="12" t="inlineStr">
        <is>
          <t>TLS 1.3 Transport Encryption Enforcement on Dietary Preference &amp; Food Screen</t>
        </is>
      </c>
      <c r="E77" s="12" t="inlineStr">
        <is>
          <t>1. Launch test runner in Security Audit Sandbox.
2. Navigate to Dietary Preference &amp; Food Screen (FoodScreen).
3. Inspect outbound network traffic for FoodScreen using passive OWASP proxy.
4. Verify expected results and log evidence.</t>
        </is>
      </c>
      <c r="F77" s="12" t="inlineStr">
        <is>
          <t>Protocol: TLS 1.3 / HTTPS</t>
        </is>
      </c>
      <c r="G77" s="12" t="inlineStr">
        <is>
          <t>All HTTP connections upgrade to TLS 1.3; unencrypted HTTP blocked.</t>
        </is>
      </c>
      <c r="H77" s="12" t="inlineStr">
        <is>
          <t>Pending Execution</t>
        </is>
      </c>
      <c r="I77" s="13" t="inlineStr">
        <is>
          <t>Not Executed</t>
        </is>
      </c>
      <c r="J77" s="11" t="inlineStr">
        <is>
          <t>Medium</t>
        </is>
      </c>
      <c r="K77" s="11" t="inlineStr">
        <is>
          <t>Major</t>
        </is>
      </c>
      <c r="L77" s="11" t="inlineStr">
        <is>
          <t>Script Ready</t>
        </is>
      </c>
      <c r="M77" s="12" t="inlineStr">
        <is>
          <t>Security Audit Sandbox</t>
        </is>
      </c>
      <c r="N77" s="12" t="inlineStr">
        <is>
          <t>Defensive Security Audit Engine</t>
        </is>
      </c>
      <c r="O77" s="12" t="inlineStr">
        <is>
          <t>Screen-specific baseline case for Dietary Preference &amp; Food Screen</t>
        </is>
      </c>
    </row>
    <row r="78" ht="36" customHeight="1">
      <c r="A78" s="11" t="inlineStr">
        <is>
          <t>TC-077</t>
        </is>
      </c>
      <c r="B78" s="12" t="inlineStr">
        <is>
          <t>FoodScreen</t>
        </is>
      </c>
      <c r="C78" s="12" t="inlineStr">
        <is>
          <t>Safe Vulnerability &amp; Security Checks</t>
        </is>
      </c>
      <c r="D78" s="12" t="inlineStr">
        <is>
          <t>API Rate Limiting 429 Response Check on Dietary Preference &amp; Food Screen</t>
        </is>
      </c>
      <c r="E78" s="12" t="inlineStr">
        <is>
          <t>1. Launch test runner in Security Audit Sandbox.
2. Navigate to Dietary Preference &amp; Food Screen (FoodScreen).
3. Send 100 rapid requests within 5 seconds to FoodScreen public endpoints.
4. Verify expected results and log evidence.</t>
        </is>
      </c>
      <c r="F78" s="12" t="inlineStr">
        <is>
          <t>Requests: 100 in 5s</t>
        </is>
      </c>
      <c r="G78" s="12" t="inlineStr">
        <is>
          <t>Rate limiter triggers HTTP 429 Too Many Requests response.</t>
        </is>
      </c>
      <c r="H78" s="12" t="inlineStr">
        <is>
          <t>Pending Execution</t>
        </is>
      </c>
      <c r="I78" s="13" t="inlineStr">
        <is>
          <t>Not Executed</t>
        </is>
      </c>
      <c r="J78" s="11" t="inlineStr">
        <is>
          <t>Medium</t>
        </is>
      </c>
      <c r="K78" s="11" t="inlineStr">
        <is>
          <t>Critical</t>
        </is>
      </c>
      <c r="L78" s="11" t="inlineStr">
        <is>
          <t>Script Ready</t>
        </is>
      </c>
      <c r="M78" s="12" t="inlineStr">
        <is>
          <t>Security Audit Sandbox</t>
        </is>
      </c>
      <c r="N78" s="12" t="inlineStr">
        <is>
          <t>Defensive Security Audit Engine</t>
        </is>
      </c>
      <c r="O78" s="12" t="inlineStr">
        <is>
          <t>Screen-specific baseline case for Dietary Preference &amp; Food Screen</t>
        </is>
      </c>
    </row>
    <row r="79" ht="36" customHeight="1">
      <c r="A79" s="11" t="inlineStr">
        <is>
          <t>TC-078</t>
        </is>
      </c>
      <c r="B79" s="12" t="inlineStr">
        <is>
          <t>FoodScreen</t>
        </is>
      </c>
      <c r="C79" s="12" t="inlineStr">
        <is>
          <t>Safe Vulnerability &amp; Security Checks</t>
        </is>
      </c>
      <c r="D79" s="12" t="inlineStr">
        <is>
          <t>Supabase Row Level Security (RLS) Audit on Dietary Preference &amp; Food Screen</t>
        </is>
      </c>
      <c r="E79" s="12" t="inlineStr">
        <is>
          <t>1. Launch test runner in Security Audit Sandbox.
2. Navigate to Dietary Preference &amp; Food Screen (FoodScreen).
3. Query Supabase PostgreSQL table for FoodScreen without auth header.
4. Verify expected results and log evidence.</t>
        </is>
      </c>
      <c r="F79" s="12" t="inlineStr">
        <is>
          <t>RLS Check: FoodScreen_table</t>
        </is>
      </c>
      <c r="G79" s="12" t="inlineStr">
        <is>
          <t>Supabase RLS policy blocks unauthorized row query access.</t>
        </is>
      </c>
      <c r="H79" s="12" t="inlineStr">
        <is>
          <t>Pending Execution</t>
        </is>
      </c>
      <c r="I79" s="13" t="inlineStr">
        <is>
          <t>Not Executed</t>
        </is>
      </c>
      <c r="J79" s="11" t="inlineStr">
        <is>
          <t>High</t>
        </is>
      </c>
      <c r="K79" s="11" t="inlineStr">
        <is>
          <t>Major</t>
        </is>
      </c>
      <c r="L79" s="11" t="inlineStr">
        <is>
          <t>Script Ready</t>
        </is>
      </c>
      <c r="M79" s="12" t="inlineStr">
        <is>
          <t>Security Audit Sandbox</t>
        </is>
      </c>
      <c r="N79" s="12" t="inlineStr">
        <is>
          <t>Defensive Security Audit Engine</t>
        </is>
      </c>
      <c r="O79" s="12" t="inlineStr">
        <is>
          <t>Screen-specific baseline case for Dietary Preference &amp; Food Screen</t>
        </is>
      </c>
    </row>
    <row r="80" ht="36" customHeight="1">
      <c r="A80" s="11" t="inlineStr">
        <is>
          <t>TC-079</t>
        </is>
      </c>
      <c r="B80" s="12" t="inlineStr">
        <is>
          <t>FoodScreen</t>
        </is>
      </c>
      <c r="C80" s="12" t="inlineStr">
        <is>
          <t>Safe Vulnerability &amp; Security Checks</t>
        </is>
      </c>
      <c r="D80" s="12" t="inlineStr">
        <is>
          <t>Privileged Route Guard Verification on Dietary Preference &amp; Food Screen</t>
        </is>
      </c>
      <c r="E80" s="12" t="inlineStr">
        <is>
          <t>1. Launch test runner in Security Audit Sandbox.
2. Navigate to Dietary Preference &amp; Food Screen (FoodScreen).
3. Attempt deep linking directly to restricted FoodScreen view as unauthenticated user.
4. Verify expected results and log evidence.</t>
        </is>
      </c>
      <c r="F80" s="12" t="inlineStr">
        <is>
          <t>Route: /FoodScreen_admin</t>
        </is>
      </c>
      <c r="G80" s="12" t="inlineStr">
        <is>
          <t>Router guard intercepts request and redirects to login screen.</t>
        </is>
      </c>
      <c r="H80" s="12" t="inlineStr">
        <is>
          <t>Pending Execution</t>
        </is>
      </c>
      <c r="I80" s="13" t="inlineStr">
        <is>
          <t>Not Executed</t>
        </is>
      </c>
      <c r="J80" s="11" t="inlineStr">
        <is>
          <t>Medium</t>
        </is>
      </c>
      <c r="K80" s="11" t="inlineStr">
        <is>
          <t>Moderate</t>
        </is>
      </c>
      <c r="L80" s="11" t="inlineStr">
        <is>
          <t>Script Ready</t>
        </is>
      </c>
      <c r="M80" s="12" t="inlineStr">
        <is>
          <t>Security Audit Sandbox</t>
        </is>
      </c>
      <c r="N80" s="12" t="inlineStr">
        <is>
          <t>Defensive Security Audit Engine</t>
        </is>
      </c>
      <c r="O80" s="12" t="inlineStr">
        <is>
          <t>Screen-specific baseline case for Dietary Preference &amp; Food Screen</t>
        </is>
      </c>
    </row>
    <row r="81" ht="36" customHeight="1">
      <c r="A81" s="11" t="inlineStr">
        <is>
          <t>TC-080</t>
        </is>
      </c>
      <c r="B81" s="12" t="inlineStr">
        <is>
          <t>FoodScreen</t>
        </is>
      </c>
      <c r="C81" s="12" t="inlineStr">
        <is>
          <t>Safe Vulnerability &amp; Security Checks</t>
        </is>
      </c>
      <c r="D81" s="12" t="inlineStr">
        <is>
          <t>Sensitive Data Masking &amp; Log Leak Check on Dietary Preference &amp; Food Screen</t>
        </is>
      </c>
      <c r="E81" s="12" t="inlineStr">
        <is>
          <t>1. Launch test runner in Security Audit Sandbox.
2. Navigate to Dietary Preference &amp; Food Screen (FoodScreen).
3. Audit application log files and network payloads for exposed FoodScreen secrets.
4. Verify expected results and log evidence.</t>
        </is>
      </c>
      <c r="F81" s="12" t="inlineStr">
        <is>
          <t>Audit: Password/Token fields</t>
        </is>
      </c>
      <c r="G81" s="12" t="inlineStr">
        <is>
          <t>Sensitive credentials and PII are masked or omitted from logs.</t>
        </is>
      </c>
      <c r="H81" s="12" t="inlineStr">
        <is>
          <t>Pending Execution</t>
        </is>
      </c>
      <c r="I81" s="13" t="inlineStr">
        <is>
          <t>Not Executed</t>
        </is>
      </c>
      <c r="J81" s="11" t="inlineStr">
        <is>
          <t>Low</t>
        </is>
      </c>
      <c r="K81" s="11" t="inlineStr">
        <is>
          <t>Major</t>
        </is>
      </c>
      <c r="L81" s="11" t="inlineStr">
        <is>
          <t>Script Ready</t>
        </is>
      </c>
      <c r="M81" s="12" t="inlineStr">
        <is>
          <t>Security Audit Sandbox</t>
        </is>
      </c>
      <c r="N81" s="12" t="inlineStr">
        <is>
          <t>Defensive Security Audit Engine</t>
        </is>
      </c>
      <c r="O81" s="12" t="inlineStr">
        <is>
          <t>Screen-specific baseline case for Dietary Preference &amp; Food Screen</t>
        </is>
      </c>
    </row>
    <row r="82" ht="36" customHeight="1">
      <c r="A82" s="11" t="inlineStr">
        <is>
          <t>TC-081</t>
        </is>
      </c>
      <c r="B82" s="12" t="inlineStr">
        <is>
          <t>LocationScreen</t>
        </is>
      </c>
      <c r="C82" s="12" t="inlineStr">
        <is>
          <t>Safe Vulnerability &amp; Security Checks</t>
        </is>
      </c>
      <c r="D82" s="12" t="inlineStr">
        <is>
          <t>Authentication Lockout &amp; Brute-Force on User Location &amp; Region Screen</t>
        </is>
      </c>
      <c r="E82" s="12" t="inlineStr">
        <is>
          <t>1. Launch test runner in Security Audit Sandbox.
2. Navigate to User Location &amp; Region Screen (LocationScreen).
3. Attempt 10 invalid authentication requests on LocationScreen in rapid succession.
4. Verify expected results and log evidence.</t>
        </is>
      </c>
      <c r="F82" s="12" t="inlineStr">
        <is>
          <t>Attempts: 10 invalid</t>
        </is>
      </c>
      <c r="G82" s="12" t="inlineStr">
        <is>
          <t>Account temporarily locks out after 5 failed attempts with 429 response.</t>
        </is>
      </c>
      <c r="H82" s="12" t="inlineStr">
        <is>
          <t>Pending Execution</t>
        </is>
      </c>
      <c r="I82" s="13" t="inlineStr">
        <is>
          <t>Not Executed</t>
        </is>
      </c>
      <c r="J82" s="11" t="inlineStr">
        <is>
          <t>High</t>
        </is>
      </c>
      <c r="K82" s="11" t="inlineStr">
        <is>
          <t>Moderate</t>
        </is>
      </c>
      <c r="L82" s="11" t="inlineStr">
        <is>
          <t>Script Ready</t>
        </is>
      </c>
      <c r="M82" s="12" t="inlineStr">
        <is>
          <t>Security Audit Sandbox</t>
        </is>
      </c>
      <c r="N82" s="12" t="inlineStr">
        <is>
          <t>Defensive Security Audit Engine</t>
        </is>
      </c>
      <c r="O82" s="12" t="inlineStr">
        <is>
          <t>Screen-specific baseline case for User Location &amp; Region Screen</t>
        </is>
      </c>
    </row>
    <row r="83" ht="36" customHeight="1">
      <c r="A83" s="11" t="inlineStr">
        <is>
          <t>TC-082</t>
        </is>
      </c>
      <c r="B83" s="12" t="inlineStr">
        <is>
          <t>LocationScreen</t>
        </is>
      </c>
      <c r="C83" s="12" t="inlineStr">
        <is>
          <t>Safe Vulnerability &amp; Security Checks</t>
        </is>
      </c>
      <c r="D83" s="12" t="inlineStr">
        <is>
          <t>Role-Based Authorization &amp; IDOR Check on User Location &amp; Region Screen</t>
        </is>
      </c>
      <c r="E83" s="12" t="inlineStr">
        <is>
          <t>1. Launch test runner in Security Audit Sandbox.
2. Navigate to User Location &amp; Region Screen (LocationScreen).
3. Attempt querying secondary user private records on LocationScreen using guest JWT.
4. Verify expected results and log evidence.</t>
        </is>
      </c>
      <c r="F83" s="12" t="inlineStr">
        <is>
          <t>IDOR Payload: LocationScreen_user_999</t>
        </is>
      </c>
      <c r="G83" s="12" t="inlineStr">
        <is>
          <t>Database and API reject request with HTTP 403 Forbidden.</t>
        </is>
      </c>
      <c r="H83" s="12" t="inlineStr">
        <is>
          <t>Pending Execution</t>
        </is>
      </c>
      <c r="I83" s="13" t="inlineStr">
        <is>
          <t>Not Executed</t>
        </is>
      </c>
      <c r="J83" s="11" t="inlineStr">
        <is>
          <t>Medium</t>
        </is>
      </c>
      <c r="K83" s="11" t="inlineStr">
        <is>
          <t>Major</t>
        </is>
      </c>
      <c r="L83" s="11" t="inlineStr">
        <is>
          <t>Script Ready</t>
        </is>
      </c>
      <c r="M83" s="12" t="inlineStr">
        <is>
          <t>Security Audit Sandbox</t>
        </is>
      </c>
      <c r="N83" s="12" t="inlineStr">
        <is>
          <t>Defensive Security Audit Engine</t>
        </is>
      </c>
      <c r="O83" s="12" t="inlineStr">
        <is>
          <t>Screen-specific baseline case for User Location &amp; Region Screen</t>
        </is>
      </c>
    </row>
    <row r="84" ht="36" customHeight="1">
      <c r="A84" s="11" t="inlineStr">
        <is>
          <t>TC-083</t>
        </is>
      </c>
      <c r="B84" s="12" t="inlineStr">
        <is>
          <t>LocationScreen</t>
        </is>
      </c>
      <c r="C84" s="12" t="inlineStr">
        <is>
          <t>Safe Vulnerability &amp; Security Checks</t>
        </is>
      </c>
      <c r="D84" s="12" t="inlineStr">
        <is>
          <t>Session Token Expiration &amp; Revocation on User Location &amp; Region Screen</t>
        </is>
      </c>
      <c r="E84" s="12" t="inlineStr">
        <is>
          <t>1. Launch test runner in Security Audit Sandbox.
2. Navigate to User Location &amp; Region Screen (LocationScreen).
3. Present expired JWT token to LocationScreen API endpoint, attempt data fetch.
4. Verify expected results and log evidence.</t>
        </is>
      </c>
      <c r="F84" s="12" t="inlineStr">
        <is>
          <t>JWT Token: Expired/Revoked</t>
        </is>
      </c>
      <c r="G84" s="12" t="inlineStr">
        <is>
          <t>API gateway invalidates session and redirects to login view.</t>
        </is>
      </c>
      <c r="H84" s="12" t="inlineStr">
        <is>
          <t>Pending Execution</t>
        </is>
      </c>
      <c r="I84" s="13" t="inlineStr">
        <is>
          <t>Not Executed</t>
        </is>
      </c>
      <c r="J84" s="11" t="inlineStr">
        <is>
          <t>Medium</t>
        </is>
      </c>
      <c r="K84" s="11" t="inlineStr">
        <is>
          <t>Moderate</t>
        </is>
      </c>
      <c r="L84" s="11" t="inlineStr">
        <is>
          <t>Script Ready</t>
        </is>
      </c>
      <c r="M84" s="12" t="inlineStr">
        <is>
          <t>Security Audit Sandbox</t>
        </is>
      </c>
      <c r="N84" s="12" t="inlineStr">
        <is>
          <t>Defensive Security Audit Engine</t>
        </is>
      </c>
      <c r="O84" s="12" t="inlineStr">
        <is>
          <t>Screen-specific baseline case for User Location &amp; Region Screen</t>
        </is>
      </c>
    </row>
    <row r="85" ht="36" customHeight="1">
      <c r="A85" s="11" t="inlineStr">
        <is>
          <t>TC-084</t>
        </is>
      </c>
      <c r="B85" s="12" t="inlineStr">
        <is>
          <t>LocationScreen</t>
        </is>
      </c>
      <c r="C85" s="12" t="inlineStr">
        <is>
          <t>Safe Vulnerability &amp; Security Checks</t>
        </is>
      </c>
      <c r="D85" s="12" t="inlineStr">
        <is>
          <t>Safe SQL Injection Input Defense on User Location &amp; Region Screen</t>
        </is>
      </c>
      <c r="E85" s="12" t="inlineStr">
        <is>
          <t>1. Launch test runner in Security Audit Sandbox.
2. Navigate to User Location &amp; Region Screen (LocationScreen).
3. Submit safe SQLi payload `' OR '1'='1` into text input fields on LocationScreen.
4. Verify expected results and log evidence.</t>
        </is>
      </c>
      <c r="F85" s="12" t="inlineStr">
        <is>
          <t>Payload: `' OR '1'='1`</t>
        </is>
      </c>
      <c r="G85" s="12" t="inlineStr">
        <is>
          <t>Input is parameterized/escaped cleanly; no SQL error occurs.</t>
        </is>
      </c>
      <c r="H85" s="12" t="inlineStr">
        <is>
          <t>Pending Execution</t>
        </is>
      </c>
      <c r="I85" s="13" t="inlineStr">
        <is>
          <t>Not Executed</t>
        </is>
      </c>
      <c r="J85" s="11" t="inlineStr">
        <is>
          <t>High</t>
        </is>
      </c>
      <c r="K85" s="11" t="inlineStr">
        <is>
          <t>Critical</t>
        </is>
      </c>
      <c r="L85" s="11" t="inlineStr">
        <is>
          <t>Script Ready</t>
        </is>
      </c>
      <c r="M85" s="12" t="inlineStr">
        <is>
          <t>Security Audit Sandbox</t>
        </is>
      </c>
      <c r="N85" s="12" t="inlineStr">
        <is>
          <t>Defensive Security Audit Engine</t>
        </is>
      </c>
      <c r="O85" s="12" t="inlineStr">
        <is>
          <t>Screen-specific baseline case for User Location &amp; Region Screen</t>
        </is>
      </c>
    </row>
    <row r="86" ht="36" customHeight="1">
      <c r="A86" s="11" t="inlineStr">
        <is>
          <t>TC-085</t>
        </is>
      </c>
      <c r="B86" s="12" t="inlineStr">
        <is>
          <t>LocationScreen</t>
        </is>
      </c>
      <c r="C86" s="12" t="inlineStr">
        <is>
          <t>Safe Vulnerability &amp; Security Checks</t>
        </is>
      </c>
      <c r="D86" s="12" t="inlineStr">
        <is>
          <t>Safe XSS Script Escaping Validation on User Location &amp; Region Screen</t>
        </is>
      </c>
      <c r="E86" s="12" t="inlineStr">
        <is>
          <t>1. Launch test runner in Security Audit Sandbox.
2. Navigate to User Location &amp; Region Screen (LocationScreen).
3. Submit safe script payload `&lt;script&gt;alert(1)&lt;/script&gt;` into LocationScreen fields.
4. Verify expected results and log evidence.</t>
        </is>
      </c>
      <c r="F86" s="12" t="inlineStr">
        <is>
          <t>Payload: `&lt;script&gt;alert(1)&lt;/script&gt;`</t>
        </is>
      </c>
      <c r="G86" s="12" t="inlineStr">
        <is>
          <t>Payload renders as plain text string; script does not execute.</t>
        </is>
      </c>
      <c r="H86" s="12" t="inlineStr">
        <is>
          <t>Pending Execution</t>
        </is>
      </c>
      <c r="I86" s="13" t="inlineStr">
        <is>
          <t>Not Executed</t>
        </is>
      </c>
      <c r="J86" s="11" t="inlineStr">
        <is>
          <t>Low</t>
        </is>
      </c>
      <c r="K86" s="11" t="inlineStr">
        <is>
          <t>Moderate</t>
        </is>
      </c>
      <c r="L86" s="11" t="inlineStr">
        <is>
          <t>Script Ready</t>
        </is>
      </c>
      <c r="M86" s="12" t="inlineStr">
        <is>
          <t>Security Audit Sandbox</t>
        </is>
      </c>
      <c r="N86" s="12" t="inlineStr">
        <is>
          <t>Defensive Security Audit Engine</t>
        </is>
      </c>
      <c r="O86" s="12" t="inlineStr">
        <is>
          <t>Screen-specific baseline case for User Location &amp; Region Screen</t>
        </is>
      </c>
    </row>
    <row r="87" ht="36" customHeight="1">
      <c r="A87" s="11" t="inlineStr">
        <is>
          <t>TC-086</t>
        </is>
      </c>
      <c r="B87" s="12" t="inlineStr">
        <is>
          <t>LocationScreen</t>
        </is>
      </c>
      <c r="C87" s="12" t="inlineStr">
        <is>
          <t>Safe Vulnerability &amp; Security Checks</t>
        </is>
      </c>
      <c r="D87" s="12" t="inlineStr">
        <is>
          <t>TLS 1.3 Transport Encryption Enforcement on User Location &amp; Region Screen</t>
        </is>
      </c>
      <c r="E87" s="12" t="inlineStr">
        <is>
          <t>1. Launch test runner in Security Audit Sandbox.
2. Navigate to User Location &amp; Region Screen (LocationScreen).
3. Inspect outbound network traffic for LocationScreen using passive OWASP proxy.
4. Verify expected results and log evidence.</t>
        </is>
      </c>
      <c r="F87" s="12" t="inlineStr">
        <is>
          <t>Protocol: TLS 1.3 / HTTPS</t>
        </is>
      </c>
      <c r="G87" s="12" t="inlineStr">
        <is>
          <t>All HTTP connections upgrade to TLS 1.3; unencrypted HTTP blocked.</t>
        </is>
      </c>
      <c r="H87" s="12" t="inlineStr">
        <is>
          <t>Pending Execution</t>
        </is>
      </c>
      <c r="I87" s="13" t="inlineStr">
        <is>
          <t>Not Executed</t>
        </is>
      </c>
      <c r="J87" s="11" t="inlineStr">
        <is>
          <t>Medium</t>
        </is>
      </c>
      <c r="K87" s="11" t="inlineStr">
        <is>
          <t>Major</t>
        </is>
      </c>
      <c r="L87" s="11" t="inlineStr">
        <is>
          <t>Script Ready</t>
        </is>
      </c>
      <c r="M87" s="12" t="inlineStr">
        <is>
          <t>Security Audit Sandbox</t>
        </is>
      </c>
      <c r="N87" s="12" t="inlineStr">
        <is>
          <t>Defensive Security Audit Engine</t>
        </is>
      </c>
      <c r="O87" s="12" t="inlineStr">
        <is>
          <t>Screen-specific baseline case for User Location &amp; Region Screen</t>
        </is>
      </c>
    </row>
    <row r="88" ht="36" customHeight="1">
      <c r="A88" s="11" t="inlineStr">
        <is>
          <t>TC-087</t>
        </is>
      </c>
      <c r="B88" s="12" t="inlineStr">
        <is>
          <t>LocationScreen</t>
        </is>
      </c>
      <c r="C88" s="12" t="inlineStr">
        <is>
          <t>Safe Vulnerability &amp; Security Checks</t>
        </is>
      </c>
      <c r="D88" s="12" t="inlineStr">
        <is>
          <t>API Rate Limiting 429 Response Check on User Location &amp; Region Screen</t>
        </is>
      </c>
      <c r="E88" s="12" t="inlineStr">
        <is>
          <t>1. Launch test runner in Security Audit Sandbox.
2. Navigate to User Location &amp; Region Screen (LocationScreen).
3. Send 100 rapid requests within 5 seconds to LocationScreen public endpoints.
4. Verify expected results and log evidence.</t>
        </is>
      </c>
      <c r="F88" s="12" t="inlineStr">
        <is>
          <t>Requests: 100 in 5s</t>
        </is>
      </c>
      <c r="G88" s="12" t="inlineStr">
        <is>
          <t>Rate limiter triggers HTTP 429 Too Many Requests response.</t>
        </is>
      </c>
      <c r="H88" s="12" t="inlineStr">
        <is>
          <t>Pending Execution</t>
        </is>
      </c>
      <c r="I88" s="13" t="inlineStr">
        <is>
          <t>Not Executed</t>
        </is>
      </c>
      <c r="J88" s="11" t="inlineStr">
        <is>
          <t>High</t>
        </is>
      </c>
      <c r="K88" s="11" t="inlineStr">
        <is>
          <t>Moderate</t>
        </is>
      </c>
      <c r="L88" s="11" t="inlineStr">
        <is>
          <t>Script Ready</t>
        </is>
      </c>
      <c r="M88" s="12" t="inlineStr">
        <is>
          <t>Security Audit Sandbox</t>
        </is>
      </c>
      <c r="N88" s="12" t="inlineStr">
        <is>
          <t>Defensive Security Audit Engine</t>
        </is>
      </c>
      <c r="O88" s="12" t="inlineStr">
        <is>
          <t>Screen-specific baseline case for User Location &amp; Region Screen</t>
        </is>
      </c>
    </row>
    <row r="89" ht="36" customHeight="1">
      <c r="A89" s="11" t="inlineStr">
        <is>
          <t>TC-088</t>
        </is>
      </c>
      <c r="B89" s="12" t="inlineStr">
        <is>
          <t>LocationScreen</t>
        </is>
      </c>
      <c r="C89" s="12" t="inlineStr">
        <is>
          <t>Safe Vulnerability &amp; Security Checks</t>
        </is>
      </c>
      <c r="D89" s="12" t="inlineStr">
        <is>
          <t>Supabase Row Level Security (RLS) Audit on User Location &amp; Region Screen</t>
        </is>
      </c>
      <c r="E89" s="12" t="inlineStr">
        <is>
          <t>1. Launch test runner in Security Audit Sandbox.
2. Navigate to User Location &amp; Region Screen (LocationScreen).
3. Query Supabase PostgreSQL table for LocationScreen without auth header.
4. Verify expected results and log evidence.</t>
        </is>
      </c>
      <c r="F89" s="12" t="inlineStr">
        <is>
          <t>RLS Check: LocationScreen_table</t>
        </is>
      </c>
      <c r="G89" s="12" t="inlineStr">
        <is>
          <t>Supabase RLS policy blocks unauthorized row query access.</t>
        </is>
      </c>
      <c r="H89" s="12" t="inlineStr">
        <is>
          <t>Pending Execution</t>
        </is>
      </c>
      <c r="I89" s="13" t="inlineStr">
        <is>
          <t>Not Executed</t>
        </is>
      </c>
      <c r="J89" s="11" t="inlineStr">
        <is>
          <t>Medium</t>
        </is>
      </c>
      <c r="K89" s="11" t="inlineStr">
        <is>
          <t>Major</t>
        </is>
      </c>
      <c r="L89" s="11" t="inlineStr">
        <is>
          <t>Script Ready</t>
        </is>
      </c>
      <c r="M89" s="12" t="inlineStr">
        <is>
          <t>Security Audit Sandbox</t>
        </is>
      </c>
      <c r="N89" s="12" t="inlineStr">
        <is>
          <t>Defensive Security Audit Engine</t>
        </is>
      </c>
      <c r="O89" s="12" t="inlineStr">
        <is>
          <t>Screen-specific baseline case for User Location &amp; Region Screen</t>
        </is>
      </c>
    </row>
    <row r="90" ht="36" customHeight="1">
      <c r="A90" s="11" t="inlineStr">
        <is>
          <t>TC-089</t>
        </is>
      </c>
      <c r="B90" s="12" t="inlineStr">
        <is>
          <t>LocationScreen</t>
        </is>
      </c>
      <c r="C90" s="12" t="inlineStr">
        <is>
          <t>Safe Vulnerability &amp; Security Checks</t>
        </is>
      </c>
      <c r="D90" s="12" t="inlineStr">
        <is>
          <t>Privileged Route Guard Verification on User Location &amp; Region Screen</t>
        </is>
      </c>
      <c r="E90" s="12" t="inlineStr">
        <is>
          <t>1. Launch test runner in Security Audit Sandbox.
2. Navigate to User Location &amp; Region Screen (LocationScreen).
3. Attempt deep linking directly to restricted LocationScreen view as unauthenticated user.
4. Verify expected results and log evidence.</t>
        </is>
      </c>
      <c r="F90" s="12" t="inlineStr">
        <is>
          <t>Route: /LocationScreen_admin</t>
        </is>
      </c>
      <c r="G90" s="12" t="inlineStr">
        <is>
          <t>Router guard intercepts request and redirects to login screen.</t>
        </is>
      </c>
      <c r="H90" s="12" t="inlineStr">
        <is>
          <t>Pending Execution</t>
        </is>
      </c>
      <c r="I90" s="13" t="inlineStr">
        <is>
          <t>Not Executed</t>
        </is>
      </c>
      <c r="J90" s="11" t="inlineStr">
        <is>
          <t>Medium</t>
        </is>
      </c>
      <c r="K90" s="11" t="inlineStr">
        <is>
          <t>Moderate</t>
        </is>
      </c>
      <c r="L90" s="11" t="inlineStr">
        <is>
          <t>Script Ready</t>
        </is>
      </c>
      <c r="M90" s="12" t="inlineStr">
        <is>
          <t>Security Audit Sandbox</t>
        </is>
      </c>
      <c r="N90" s="12" t="inlineStr">
        <is>
          <t>Defensive Security Audit Engine</t>
        </is>
      </c>
      <c r="O90" s="12" t="inlineStr">
        <is>
          <t>Screen-specific baseline case for User Location &amp; Region Screen</t>
        </is>
      </c>
    </row>
    <row r="91" ht="36" customHeight="1">
      <c r="A91" s="11" t="inlineStr">
        <is>
          <t>TC-090</t>
        </is>
      </c>
      <c r="B91" s="12" t="inlineStr">
        <is>
          <t>LocationScreen</t>
        </is>
      </c>
      <c r="C91" s="12" t="inlineStr">
        <is>
          <t>Safe Vulnerability &amp; Security Checks</t>
        </is>
      </c>
      <c r="D91" s="12" t="inlineStr">
        <is>
          <t>Sensitive Data Masking &amp; Log Leak Check on User Location &amp; Region Screen</t>
        </is>
      </c>
      <c r="E91" s="12" t="inlineStr">
        <is>
          <t>1. Launch test runner in Security Audit Sandbox.
2. Navigate to User Location &amp; Region Screen (LocationScreen).
3. Audit application log files and network payloads for exposed LocationScreen secrets.
4. Verify expected results and log evidence.</t>
        </is>
      </c>
      <c r="F91" s="12" t="inlineStr">
        <is>
          <t>Audit: Password/Token fields</t>
        </is>
      </c>
      <c r="G91" s="12" t="inlineStr">
        <is>
          <t>Sensitive credentials and PII are masked or omitted from logs.</t>
        </is>
      </c>
      <c r="H91" s="12" t="inlineStr">
        <is>
          <t>Pending Execution</t>
        </is>
      </c>
      <c r="I91" s="13" t="inlineStr">
        <is>
          <t>Not Executed</t>
        </is>
      </c>
      <c r="J91" s="11" t="inlineStr">
        <is>
          <t>High</t>
        </is>
      </c>
      <c r="K91" s="11" t="inlineStr">
        <is>
          <t>Major</t>
        </is>
      </c>
      <c r="L91" s="11" t="inlineStr">
        <is>
          <t>Script Ready</t>
        </is>
      </c>
      <c r="M91" s="12" t="inlineStr">
        <is>
          <t>Security Audit Sandbox</t>
        </is>
      </c>
      <c r="N91" s="12" t="inlineStr">
        <is>
          <t>Defensive Security Audit Engine</t>
        </is>
      </c>
      <c r="O91" s="12" t="inlineStr">
        <is>
          <t>Screen-specific baseline case for User Location &amp; Region Screen</t>
        </is>
      </c>
    </row>
    <row r="92" ht="36" customHeight="1">
      <c r="A92" s="11" t="inlineStr">
        <is>
          <t>TC-091</t>
        </is>
      </c>
      <c r="B92" s="12" t="inlineStr">
        <is>
          <t>NumberScreen</t>
        </is>
      </c>
      <c r="C92" s="12" t="inlineStr">
        <is>
          <t>Safe Vulnerability &amp; Security Checks</t>
        </is>
      </c>
      <c r="D92" s="12" t="inlineStr">
        <is>
          <t>Authentication Lockout &amp; Brute-Force on Body Metrics &amp; Measurements Screen</t>
        </is>
      </c>
      <c r="E92" s="12" t="inlineStr">
        <is>
          <t>1. Launch test runner in Security Audit Sandbox.
2. Navigate to Body Metrics &amp; Measurements Screen (NumberScreen).
3. Attempt 10 invalid authentication requests on NumberScreen in rapid succession.
4. Verify expected results and log evidence.</t>
        </is>
      </c>
      <c r="F92" s="12" t="inlineStr">
        <is>
          <t>Attempts: 10 invalid</t>
        </is>
      </c>
      <c r="G92" s="12" t="inlineStr">
        <is>
          <t>Account temporarily locks out after 5 failed attempts with 429 response.</t>
        </is>
      </c>
      <c r="H92" s="12" t="inlineStr">
        <is>
          <t>Pending Execution</t>
        </is>
      </c>
      <c r="I92" s="13" t="inlineStr">
        <is>
          <t>Not Executed</t>
        </is>
      </c>
      <c r="J92" s="11" t="inlineStr">
        <is>
          <t>Medium</t>
        </is>
      </c>
      <c r="K92" s="11" t="inlineStr">
        <is>
          <t>Critical</t>
        </is>
      </c>
      <c r="L92" s="11" t="inlineStr">
        <is>
          <t>Script Ready</t>
        </is>
      </c>
      <c r="M92" s="12" t="inlineStr">
        <is>
          <t>Security Audit Sandbox</t>
        </is>
      </c>
      <c r="N92" s="12" t="inlineStr">
        <is>
          <t>Defensive Security Audit Engine</t>
        </is>
      </c>
      <c r="O92" s="12" t="inlineStr">
        <is>
          <t>Screen-specific baseline case for Body Metrics &amp; Measurements Screen</t>
        </is>
      </c>
    </row>
    <row r="93" ht="36" customHeight="1">
      <c r="A93" s="11" t="inlineStr">
        <is>
          <t>TC-092</t>
        </is>
      </c>
      <c r="B93" s="12" t="inlineStr">
        <is>
          <t>NumberScreen</t>
        </is>
      </c>
      <c r="C93" s="12" t="inlineStr">
        <is>
          <t>Safe Vulnerability &amp; Security Checks</t>
        </is>
      </c>
      <c r="D93" s="12" t="inlineStr">
        <is>
          <t>Role-Based Authorization &amp; IDOR Check on Body Metrics &amp; Measurements Screen</t>
        </is>
      </c>
      <c r="E93" s="12" t="inlineStr">
        <is>
          <t>1. Launch test runner in Security Audit Sandbox.
2. Navigate to Body Metrics &amp; Measurements Screen (NumberScreen).
3. Attempt querying secondary user private records on NumberScreen using guest JWT.
4. Verify expected results and log evidence.</t>
        </is>
      </c>
      <c r="F93" s="12" t="inlineStr">
        <is>
          <t>IDOR Payload: NumberScreen_user_999</t>
        </is>
      </c>
      <c r="G93" s="12" t="inlineStr">
        <is>
          <t>Database and API reject request with HTTP 403 Forbidden.</t>
        </is>
      </c>
      <c r="H93" s="12" t="inlineStr">
        <is>
          <t>Pending Execution</t>
        </is>
      </c>
      <c r="I93" s="13" t="inlineStr">
        <is>
          <t>Not Executed</t>
        </is>
      </c>
      <c r="J93" s="11" t="inlineStr">
        <is>
          <t>Medium</t>
        </is>
      </c>
      <c r="K93" s="11" t="inlineStr">
        <is>
          <t>Major</t>
        </is>
      </c>
      <c r="L93" s="11" t="inlineStr">
        <is>
          <t>Script Ready</t>
        </is>
      </c>
      <c r="M93" s="12" t="inlineStr">
        <is>
          <t>Security Audit Sandbox</t>
        </is>
      </c>
      <c r="N93" s="12" t="inlineStr">
        <is>
          <t>Defensive Security Audit Engine</t>
        </is>
      </c>
      <c r="O93" s="12" t="inlineStr">
        <is>
          <t>Screen-specific baseline case for Body Metrics &amp; Measurements Screen</t>
        </is>
      </c>
    </row>
    <row r="94" ht="36" customHeight="1">
      <c r="A94" s="11" t="inlineStr">
        <is>
          <t>TC-093</t>
        </is>
      </c>
      <c r="B94" s="12" t="inlineStr">
        <is>
          <t>NumberScreen</t>
        </is>
      </c>
      <c r="C94" s="12" t="inlineStr">
        <is>
          <t>Safe Vulnerability &amp; Security Checks</t>
        </is>
      </c>
      <c r="D94" s="12" t="inlineStr">
        <is>
          <t>Session Token Expiration &amp; Revocation on Body Metrics &amp; Measurements Screen</t>
        </is>
      </c>
      <c r="E94" s="12" t="inlineStr">
        <is>
          <t>1. Launch test runner in Security Audit Sandbox.
2. Navigate to Body Metrics &amp; Measurements Screen (NumberScreen).
3. Present expired JWT token to NumberScreen API endpoint, attempt data fetch.
4. Verify expected results and log evidence.</t>
        </is>
      </c>
      <c r="F94" s="12" t="inlineStr">
        <is>
          <t>JWT Token: Expired/Revoked</t>
        </is>
      </c>
      <c r="G94" s="12" t="inlineStr">
        <is>
          <t>API gateway invalidates session and redirects to login view.</t>
        </is>
      </c>
      <c r="H94" s="12" t="inlineStr">
        <is>
          <t>Pending Execution</t>
        </is>
      </c>
      <c r="I94" s="13" t="inlineStr">
        <is>
          <t>Not Executed</t>
        </is>
      </c>
      <c r="J94" s="11" t="inlineStr">
        <is>
          <t>High</t>
        </is>
      </c>
      <c r="K94" s="11" t="inlineStr">
        <is>
          <t>Moderate</t>
        </is>
      </c>
      <c r="L94" s="11" t="inlineStr">
        <is>
          <t>Script Ready</t>
        </is>
      </c>
      <c r="M94" s="12" t="inlineStr">
        <is>
          <t>Security Audit Sandbox</t>
        </is>
      </c>
      <c r="N94" s="12" t="inlineStr">
        <is>
          <t>Defensive Security Audit Engine</t>
        </is>
      </c>
      <c r="O94" s="12" t="inlineStr">
        <is>
          <t>Screen-specific baseline case for Body Metrics &amp; Measurements Screen</t>
        </is>
      </c>
    </row>
    <row r="95" ht="36" customHeight="1">
      <c r="A95" s="11" t="inlineStr">
        <is>
          <t>TC-094</t>
        </is>
      </c>
      <c r="B95" s="12" t="inlineStr">
        <is>
          <t>NumberScreen</t>
        </is>
      </c>
      <c r="C95" s="12" t="inlineStr">
        <is>
          <t>Safe Vulnerability &amp; Security Checks</t>
        </is>
      </c>
      <c r="D95" s="12" t="inlineStr">
        <is>
          <t>Safe SQL Injection Input Defense on Body Metrics &amp; Measurements Screen</t>
        </is>
      </c>
      <c r="E95" s="12" t="inlineStr">
        <is>
          <t>1. Launch test runner in Security Audit Sandbox.
2. Navigate to Body Metrics &amp; Measurements Screen (NumberScreen).
3. Submit safe SQLi payload `' OR '1'='1` into text input fields on NumberScreen.
4. Verify expected results and log evidence.</t>
        </is>
      </c>
      <c r="F95" s="12" t="inlineStr">
        <is>
          <t>Payload: `' OR '1'='1`</t>
        </is>
      </c>
      <c r="G95" s="12" t="inlineStr">
        <is>
          <t>Input is parameterized/escaped cleanly; no SQL error occurs.</t>
        </is>
      </c>
      <c r="H95" s="12" t="inlineStr">
        <is>
          <t>Pending Execution</t>
        </is>
      </c>
      <c r="I95" s="13" t="inlineStr">
        <is>
          <t>Not Executed</t>
        </is>
      </c>
      <c r="J95" s="11" t="inlineStr">
        <is>
          <t>Medium</t>
        </is>
      </c>
      <c r="K95" s="11" t="inlineStr">
        <is>
          <t>Major</t>
        </is>
      </c>
      <c r="L95" s="11" t="inlineStr">
        <is>
          <t>Script Ready</t>
        </is>
      </c>
      <c r="M95" s="12" t="inlineStr">
        <is>
          <t>Security Audit Sandbox</t>
        </is>
      </c>
      <c r="N95" s="12" t="inlineStr">
        <is>
          <t>Defensive Security Audit Engine</t>
        </is>
      </c>
      <c r="O95" s="12" t="inlineStr">
        <is>
          <t>Screen-specific baseline case for Body Metrics &amp; Measurements Screen</t>
        </is>
      </c>
    </row>
    <row r="96" ht="36" customHeight="1">
      <c r="A96" s="11" t="inlineStr">
        <is>
          <t>TC-095</t>
        </is>
      </c>
      <c r="B96" s="12" t="inlineStr">
        <is>
          <t>NumberScreen</t>
        </is>
      </c>
      <c r="C96" s="12" t="inlineStr">
        <is>
          <t>Safe Vulnerability &amp; Security Checks</t>
        </is>
      </c>
      <c r="D96" s="12" t="inlineStr">
        <is>
          <t>Safe XSS Script Escaping Validation on Body Metrics &amp; Measurements Screen</t>
        </is>
      </c>
      <c r="E96" s="12" t="inlineStr">
        <is>
          <t>1. Launch test runner in Security Audit Sandbox.
2. Navigate to Body Metrics &amp; Measurements Screen (NumberScreen).
3. Submit safe script payload `&lt;script&gt;alert(1)&lt;/script&gt;` into NumberScreen fields.
4. Verify expected results and log evidence.</t>
        </is>
      </c>
      <c r="F96" s="12" t="inlineStr">
        <is>
          <t>Payload: `&lt;script&gt;alert(1)&lt;/script&gt;`</t>
        </is>
      </c>
      <c r="G96" s="12" t="inlineStr">
        <is>
          <t>Payload renders as plain text string; script does not execute.</t>
        </is>
      </c>
      <c r="H96" s="12" t="inlineStr">
        <is>
          <t>Pending Execution</t>
        </is>
      </c>
      <c r="I96" s="13" t="inlineStr">
        <is>
          <t>Not Executed</t>
        </is>
      </c>
      <c r="J96" s="11" t="inlineStr">
        <is>
          <t>Low</t>
        </is>
      </c>
      <c r="K96" s="11" t="inlineStr">
        <is>
          <t>Moderate</t>
        </is>
      </c>
      <c r="L96" s="11" t="inlineStr">
        <is>
          <t>Script Ready</t>
        </is>
      </c>
      <c r="M96" s="12" t="inlineStr">
        <is>
          <t>Security Audit Sandbox</t>
        </is>
      </c>
      <c r="N96" s="12" t="inlineStr">
        <is>
          <t>Defensive Security Audit Engine</t>
        </is>
      </c>
      <c r="O96" s="12" t="inlineStr">
        <is>
          <t>Screen-specific baseline case for Body Metrics &amp; Measurements Screen</t>
        </is>
      </c>
    </row>
    <row r="97" ht="36" customHeight="1">
      <c r="A97" s="11" t="inlineStr">
        <is>
          <t>TC-096</t>
        </is>
      </c>
      <c r="B97" s="12" t="inlineStr">
        <is>
          <t>NumberScreen</t>
        </is>
      </c>
      <c r="C97" s="12" t="inlineStr">
        <is>
          <t>Safe Vulnerability &amp; Security Checks</t>
        </is>
      </c>
      <c r="D97" s="12" t="inlineStr">
        <is>
          <t>TLS 1.3 Transport Encryption Enforcement on Body Metrics &amp; Measurements Screen</t>
        </is>
      </c>
      <c r="E97" s="12" t="inlineStr">
        <is>
          <t>1. Launch test runner in Security Audit Sandbox.
2. Navigate to Body Metrics &amp; Measurements Screen (NumberScreen).
3. Inspect outbound network traffic for NumberScreen using passive OWASP proxy.
4. Verify expected results and log evidence.</t>
        </is>
      </c>
      <c r="F97" s="12" t="inlineStr">
        <is>
          <t>Protocol: TLS 1.3 / HTTPS</t>
        </is>
      </c>
      <c r="G97" s="12" t="inlineStr">
        <is>
          <t>All HTTP connections upgrade to TLS 1.3; unencrypted HTTP blocked.</t>
        </is>
      </c>
      <c r="H97" s="12" t="inlineStr">
        <is>
          <t>Pending Execution</t>
        </is>
      </c>
      <c r="I97" s="13" t="inlineStr">
        <is>
          <t>Not Executed</t>
        </is>
      </c>
      <c r="J97" s="11" t="inlineStr">
        <is>
          <t>High</t>
        </is>
      </c>
      <c r="K97" s="11" t="inlineStr">
        <is>
          <t>Major</t>
        </is>
      </c>
      <c r="L97" s="11" t="inlineStr">
        <is>
          <t>Script Ready</t>
        </is>
      </c>
      <c r="M97" s="12" t="inlineStr">
        <is>
          <t>Security Audit Sandbox</t>
        </is>
      </c>
      <c r="N97" s="12" t="inlineStr">
        <is>
          <t>Defensive Security Audit Engine</t>
        </is>
      </c>
      <c r="O97" s="12" t="inlineStr">
        <is>
          <t>Screen-specific baseline case for Body Metrics &amp; Measurements Screen</t>
        </is>
      </c>
    </row>
    <row r="98" ht="36" customHeight="1">
      <c r="A98" s="11" t="inlineStr">
        <is>
          <t>TC-097</t>
        </is>
      </c>
      <c r="B98" s="12" t="inlineStr">
        <is>
          <t>NumberScreen</t>
        </is>
      </c>
      <c r="C98" s="12" t="inlineStr">
        <is>
          <t>Safe Vulnerability &amp; Security Checks</t>
        </is>
      </c>
      <c r="D98" s="12" t="inlineStr">
        <is>
          <t>API Rate Limiting 429 Response Check on Body Metrics &amp; Measurements Screen</t>
        </is>
      </c>
      <c r="E98" s="12" t="inlineStr">
        <is>
          <t>1. Launch test runner in Security Audit Sandbox.
2. Navigate to Body Metrics &amp; Measurements Screen (NumberScreen).
3. Send 100 rapid requests within 5 seconds to NumberScreen public endpoints.
4. Verify expected results and log evidence.</t>
        </is>
      </c>
      <c r="F98" s="12" t="inlineStr">
        <is>
          <t>Requests: 100 in 5s</t>
        </is>
      </c>
      <c r="G98" s="12" t="inlineStr">
        <is>
          <t>Rate limiter triggers HTTP 429 Too Many Requests response.</t>
        </is>
      </c>
      <c r="H98" s="12" t="inlineStr">
        <is>
          <t>Pending Execution</t>
        </is>
      </c>
      <c r="I98" s="13" t="inlineStr">
        <is>
          <t>Not Executed</t>
        </is>
      </c>
      <c r="J98" s="11" t="inlineStr">
        <is>
          <t>Medium</t>
        </is>
      </c>
      <c r="K98" s="11" t="inlineStr">
        <is>
          <t>Moderate</t>
        </is>
      </c>
      <c r="L98" s="11" t="inlineStr">
        <is>
          <t>Script Ready</t>
        </is>
      </c>
      <c r="M98" s="12" t="inlineStr">
        <is>
          <t>Security Audit Sandbox</t>
        </is>
      </c>
      <c r="N98" s="12" t="inlineStr">
        <is>
          <t>Defensive Security Audit Engine</t>
        </is>
      </c>
      <c r="O98" s="12" t="inlineStr">
        <is>
          <t>Screen-specific baseline case for Body Metrics &amp; Measurements Screen</t>
        </is>
      </c>
    </row>
    <row r="99" ht="36" customHeight="1">
      <c r="A99" s="11" t="inlineStr">
        <is>
          <t>TC-098</t>
        </is>
      </c>
      <c r="B99" s="12" t="inlineStr">
        <is>
          <t>NumberScreen</t>
        </is>
      </c>
      <c r="C99" s="12" t="inlineStr">
        <is>
          <t>Safe Vulnerability &amp; Security Checks</t>
        </is>
      </c>
      <c r="D99" s="12" t="inlineStr">
        <is>
          <t>Supabase Row Level Security (RLS) Audit on Body Metrics &amp; Measurements Screen</t>
        </is>
      </c>
      <c r="E99" s="12" t="inlineStr">
        <is>
          <t>1. Launch test runner in Security Audit Sandbox.
2. Navigate to Body Metrics &amp; Measurements Screen (NumberScreen).
3. Query Supabase PostgreSQL table for NumberScreen without auth header.
4. Verify expected results and log evidence.</t>
        </is>
      </c>
      <c r="F99" s="12" t="inlineStr">
        <is>
          <t>RLS Check: NumberScreen_table</t>
        </is>
      </c>
      <c r="G99" s="12" t="inlineStr">
        <is>
          <t>Supabase RLS policy blocks unauthorized row query access.</t>
        </is>
      </c>
      <c r="H99" s="12" t="inlineStr">
        <is>
          <t>Pending Execution</t>
        </is>
      </c>
      <c r="I99" s="13" t="inlineStr">
        <is>
          <t>Not Executed</t>
        </is>
      </c>
      <c r="J99" s="11" t="inlineStr">
        <is>
          <t>Medium</t>
        </is>
      </c>
      <c r="K99" s="11" t="inlineStr">
        <is>
          <t>Critical</t>
        </is>
      </c>
      <c r="L99" s="11" t="inlineStr">
        <is>
          <t>Script Ready</t>
        </is>
      </c>
      <c r="M99" s="12" t="inlineStr">
        <is>
          <t>Security Audit Sandbox</t>
        </is>
      </c>
      <c r="N99" s="12" t="inlineStr">
        <is>
          <t>Defensive Security Audit Engine</t>
        </is>
      </c>
      <c r="O99" s="12" t="inlineStr">
        <is>
          <t>Screen-specific baseline case for Body Metrics &amp; Measurements Screen</t>
        </is>
      </c>
    </row>
    <row r="100" ht="36" customHeight="1">
      <c r="A100" s="11" t="inlineStr">
        <is>
          <t>TC-099</t>
        </is>
      </c>
      <c r="B100" s="12" t="inlineStr">
        <is>
          <t>NumberScreen</t>
        </is>
      </c>
      <c r="C100" s="12" t="inlineStr">
        <is>
          <t>Safe Vulnerability &amp; Security Checks</t>
        </is>
      </c>
      <c r="D100" s="12" t="inlineStr">
        <is>
          <t>Privileged Route Guard Verification on Body Metrics &amp; Measurements Screen</t>
        </is>
      </c>
      <c r="E100" s="12" t="inlineStr">
        <is>
          <t>1. Launch test runner in Security Audit Sandbox.
2. Navigate to Body Metrics &amp; Measurements Screen (NumberScreen).
3. Attempt deep linking directly to restricted NumberScreen view as unauthenticated user.
4. Verify expected results and log evidence.</t>
        </is>
      </c>
      <c r="F100" s="12" t="inlineStr">
        <is>
          <t>Route: /NumberScreen_admin</t>
        </is>
      </c>
      <c r="G100" s="12" t="inlineStr">
        <is>
          <t>Router guard intercepts request and redirects to login screen.</t>
        </is>
      </c>
      <c r="H100" s="12" t="inlineStr">
        <is>
          <t>Pending Execution</t>
        </is>
      </c>
      <c r="I100" s="13" t="inlineStr">
        <is>
          <t>Not Executed</t>
        </is>
      </c>
      <c r="J100" s="11" t="inlineStr">
        <is>
          <t>High</t>
        </is>
      </c>
      <c r="K100" s="11" t="inlineStr">
        <is>
          <t>Moderate</t>
        </is>
      </c>
      <c r="L100" s="11" t="inlineStr">
        <is>
          <t>Script Ready</t>
        </is>
      </c>
      <c r="M100" s="12" t="inlineStr">
        <is>
          <t>Security Audit Sandbox</t>
        </is>
      </c>
      <c r="N100" s="12" t="inlineStr">
        <is>
          <t>Defensive Security Audit Engine</t>
        </is>
      </c>
      <c r="O100" s="12" t="inlineStr">
        <is>
          <t>Screen-specific baseline case for Body Metrics &amp; Measurements Screen</t>
        </is>
      </c>
    </row>
    <row r="101" ht="36" customHeight="1">
      <c r="A101" s="11" t="inlineStr">
        <is>
          <t>TC-100</t>
        </is>
      </c>
      <c r="B101" s="12" t="inlineStr">
        <is>
          <t>NumberScreen</t>
        </is>
      </c>
      <c r="C101" s="12" t="inlineStr">
        <is>
          <t>Safe Vulnerability &amp; Security Checks</t>
        </is>
      </c>
      <c r="D101" s="12" t="inlineStr">
        <is>
          <t>Sensitive Data Masking &amp; Log Leak Check on Body Metrics &amp; Measurements Screen</t>
        </is>
      </c>
      <c r="E101" s="12" t="inlineStr">
        <is>
          <t>1. Launch test runner in Security Audit Sandbox.
2. Navigate to Body Metrics &amp; Measurements Screen (NumberScreen).
3. Audit application log files and network payloads for exposed NumberScreen secrets.
4. Verify expected results and log evidence.</t>
        </is>
      </c>
      <c r="F101" s="12" t="inlineStr">
        <is>
          <t>Audit: Password/Token fields</t>
        </is>
      </c>
      <c r="G101" s="12" t="inlineStr">
        <is>
          <t>Sensitive credentials and PII are masked or omitted from logs.</t>
        </is>
      </c>
      <c r="H101" s="12" t="inlineStr">
        <is>
          <t>Pending Execution</t>
        </is>
      </c>
      <c r="I101" s="13" t="inlineStr">
        <is>
          <t>Not Executed</t>
        </is>
      </c>
      <c r="J101" s="11" t="inlineStr">
        <is>
          <t>Low</t>
        </is>
      </c>
      <c r="K101" s="11" t="inlineStr">
        <is>
          <t>Major</t>
        </is>
      </c>
      <c r="L101" s="11" t="inlineStr">
        <is>
          <t>Script Ready</t>
        </is>
      </c>
      <c r="M101" s="12" t="inlineStr">
        <is>
          <t>Security Audit Sandbox</t>
        </is>
      </c>
      <c r="N101" s="12" t="inlineStr">
        <is>
          <t>Defensive Security Audit Engine</t>
        </is>
      </c>
      <c r="O101" s="12" t="inlineStr">
        <is>
          <t>Screen-specific baseline case for Body Metrics &amp; Measurements Screen</t>
        </is>
      </c>
    </row>
    <row r="102" ht="36" customHeight="1">
      <c r="A102" s="11" t="inlineStr">
        <is>
          <t>TC-101</t>
        </is>
      </c>
      <c r="B102" s="12" t="inlineStr">
        <is>
          <t>DashboardScreen</t>
        </is>
      </c>
      <c r="C102" s="12" t="inlineStr">
        <is>
          <t>Safe Vulnerability &amp; Security Checks</t>
        </is>
      </c>
      <c r="D102" s="12" t="inlineStr">
        <is>
          <t>Authentication Lockout &amp; Brute-Force on Main Dashboard &amp; Navigation Shell</t>
        </is>
      </c>
      <c r="E102" s="12" t="inlineStr">
        <is>
          <t>1. Launch test runner in Security Audit Sandbox.
2. Navigate to Main Dashboard &amp; Navigation Shell (DashboardScreen).
3. Attempt 10 invalid authentication requests on DashboardScreen in rapid succession.
4. Verify expected results and log evidence.</t>
        </is>
      </c>
      <c r="F102" s="12" t="inlineStr">
        <is>
          <t>Attempts: 10 invalid</t>
        </is>
      </c>
      <c r="G102" s="12" t="inlineStr">
        <is>
          <t>Account temporarily locks out after 5 failed attempts with 429 response.</t>
        </is>
      </c>
      <c r="H102" s="12" t="inlineStr">
        <is>
          <t>Pending Execution</t>
        </is>
      </c>
      <c r="I102" s="13" t="inlineStr">
        <is>
          <t>Not Executed</t>
        </is>
      </c>
      <c r="J102" s="11" t="inlineStr">
        <is>
          <t>Medium</t>
        </is>
      </c>
      <c r="K102" s="11" t="inlineStr">
        <is>
          <t>Moderate</t>
        </is>
      </c>
      <c r="L102" s="11" t="inlineStr">
        <is>
          <t>Script Ready</t>
        </is>
      </c>
      <c r="M102" s="12" t="inlineStr">
        <is>
          <t>Security Audit Sandbox</t>
        </is>
      </c>
      <c r="N102" s="12" t="inlineStr">
        <is>
          <t>Defensive Security Audit Engine</t>
        </is>
      </c>
      <c r="O102" s="12" t="inlineStr">
        <is>
          <t>Screen-specific baseline case for Main Dashboard &amp; Navigation Shell</t>
        </is>
      </c>
    </row>
    <row r="103" ht="36" customHeight="1">
      <c r="A103" s="11" t="inlineStr">
        <is>
          <t>TC-102</t>
        </is>
      </c>
      <c r="B103" s="12" t="inlineStr">
        <is>
          <t>DashboardScreen</t>
        </is>
      </c>
      <c r="C103" s="12" t="inlineStr">
        <is>
          <t>Safe Vulnerability &amp; Security Checks</t>
        </is>
      </c>
      <c r="D103" s="12" t="inlineStr">
        <is>
          <t>Role-Based Authorization &amp; IDOR Check on Main Dashboard &amp; Navigation Shell</t>
        </is>
      </c>
      <c r="E103" s="12" t="inlineStr">
        <is>
          <t>1. Launch test runner in Security Audit Sandbox.
2. Navigate to Main Dashboard &amp; Navigation Shell (DashboardScreen).
3. Attempt querying secondary user private records on DashboardScreen using guest JWT.
4. Verify expected results and log evidence.</t>
        </is>
      </c>
      <c r="F103" s="12" t="inlineStr">
        <is>
          <t>IDOR Payload: DashboardScreen_user_999</t>
        </is>
      </c>
      <c r="G103" s="12" t="inlineStr">
        <is>
          <t>Database and API reject request with HTTP 403 Forbidden.</t>
        </is>
      </c>
      <c r="H103" s="12" t="inlineStr">
        <is>
          <t>Pending Execution</t>
        </is>
      </c>
      <c r="I103" s="13" t="inlineStr">
        <is>
          <t>Not Executed</t>
        </is>
      </c>
      <c r="J103" s="11" t="inlineStr">
        <is>
          <t>High</t>
        </is>
      </c>
      <c r="K103" s="11" t="inlineStr">
        <is>
          <t>Major</t>
        </is>
      </c>
      <c r="L103" s="11" t="inlineStr">
        <is>
          <t>Script Ready</t>
        </is>
      </c>
      <c r="M103" s="12" t="inlineStr">
        <is>
          <t>Security Audit Sandbox</t>
        </is>
      </c>
      <c r="N103" s="12" t="inlineStr">
        <is>
          <t>Defensive Security Audit Engine</t>
        </is>
      </c>
      <c r="O103" s="12" t="inlineStr">
        <is>
          <t>Screen-specific baseline case for Main Dashboard &amp; Navigation Shell</t>
        </is>
      </c>
    </row>
    <row r="104" ht="36" customHeight="1">
      <c r="A104" s="11" t="inlineStr">
        <is>
          <t>TC-103</t>
        </is>
      </c>
      <c r="B104" s="12" t="inlineStr">
        <is>
          <t>DashboardScreen</t>
        </is>
      </c>
      <c r="C104" s="12" t="inlineStr">
        <is>
          <t>Safe Vulnerability &amp; Security Checks</t>
        </is>
      </c>
      <c r="D104" s="12" t="inlineStr">
        <is>
          <t>Session Token Expiration &amp; Revocation on Main Dashboard &amp; Navigation Shell</t>
        </is>
      </c>
      <c r="E104" s="12" t="inlineStr">
        <is>
          <t>1. Launch test runner in Security Audit Sandbox.
2. Navigate to Main Dashboard &amp; Navigation Shell (DashboardScreen).
3. Present expired JWT token to DashboardScreen API endpoint, attempt data fetch.
4. Verify expected results and log evidence.</t>
        </is>
      </c>
      <c r="F104" s="12" t="inlineStr">
        <is>
          <t>JWT Token: Expired/Revoked</t>
        </is>
      </c>
      <c r="G104" s="12" t="inlineStr">
        <is>
          <t>API gateway invalidates session and redirects to login view.</t>
        </is>
      </c>
      <c r="H104" s="12" t="inlineStr">
        <is>
          <t>Pending Execution</t>
        </is>
      </c>
      <c r="I104" s="13" t="inlineStr">
        <is>
          <t>Not Executed</t>
        </is>
      </c>
      <c r="J104" s="11" t="inlineStr">
        <is>
          <t>Medium</t>
        </is>
      </c>
      <c r="K104" s="11" t="inlineStr">
        <is>
          <t>Moderate</t>
        </is>
      </c>
      <c r="L104" s="11" t="inlineStr">
        <is>
          <t>Script Ready</t>
        </is>
      </c>
      <c r="M104" s="12" t="inlineStr">
        <is>
          <t>Security Audit Sandbox</t>
        </is>
      </c>
      <c r="N104" s="12" t="inlineStr">
        <is>
          <t>Defensive Security Audit Engine</t>
        </is>
      </c>
      <c r="O104" s="12" t="inlineStr">
        <is>
          <t>Screen-specific baseline case for Main Dashboard &amp; Navigation Shell</t>
        </is>
      </c>
    </row>
    <row r="105" ht="36" customHeight="1">
      <c r="A105" s="11" t="inlineStr">
        <is>
          <t>TC-104</t>
        </is>
      </c>
      <c r="B105" s="12" t="inlineStr">
        <is>
          <t>DashboardScreen</t>
        </is>
      </c>
      <c r="C105" s="12" t="inlineStr">
        <is>
          <t>Safe Vulnerability &amp; Security Checks</t>
        </is>
      </c>
      <c r="D105" s="12" t="inlineStr">
        <is>
          <t>Safe SQL Injection Input Defense on Main Dashboard &amp; Navigation Shell</t>
        </is>
      </c>
      <c r="E105" s="12" t="inlineStr">
        <is>
          <t>1. Launch test runner in Security Audit Sandbox.
2. Navigate to Main Dashboard &amp; Navigation Shell (DashboardScreen).
3. Submit safe SQLi payload `' OR '1'='1` into text input fields on DashboardScreen.
4. Verify expected results and log evidence.</t>
        </is>
      </c>
      <c r="F105" s="12" t="inlineStr">
        <is>
          <t>Payload: `' OR '1'='1`</t>
        </is>
      </c>
      <c r="G105" s="12" t="inlineStr">
        <is>
          <t>Input is parameterized/escaped cleanly; no SQL error occurs.</t>
        </is>
      </c>
      <c r="H105" s="12" t="inlineStr">
        <is>
          <t>Pending Execution</t>
        </is>
      </c>
      <c r="I105" s="13" t="inlineStr">
        <is>
          <t>Not Executed</t>
        </is>
      </c>
      <c r="J105" s="11" t="inlineStr">
        <is>
          <t>Medium</t>
        </is>
      </c>
      <c r="K105" s="11" t="inlineStr">
        <is>
          <t>Major</t>
        </is>
      </c>
      <c r="L105" s="11" t="inlineStr">
        <is>
          <t>Script Ready</t>
        </is>
      </c>
      <c r="M105" s="12" t="inlineStr">
        <is>
          <t>Security Audit Sandbox</t>
        </is>
      </c>
      <c r="N105" s="12" t="inlineStr">
        <is>
          <t>Defensive Security Audit Engine</t>
        </is>
      </c>
      <c r="O105" s="12" t="inlineStr">
        <is>
          <t>Screen-specific baseline case for Main Dashboard &amp; Navigation Shell</t>
        </is>
      </c>
    </row>
    <row r="106" ht="36" customHeight="1">
      <c r="A106" s="11" t="inlineStr">
        <is>
          <t>TC-105</t>
        </is>
      </c>
      <c r="B106" s="12" t="inlineStr">
        <is>
          <t>DashboardScreen</t>
        </is>
      </c>
      <c r="C106" s="12" t="inlineStr">
        <is>
          <t>Safe Vulnerability &amp; Security Checks</t>
        </is>
      </c>
      <c r="D106" s="12" t="inlineStr">
        <is>
          <t>Safe XSS Script Escaping Validation on Main Dashboard &amp; Navigation Shell</t>
        </is>
      </c>
      <c r="E106" s="12" t="inlineStr">
        <is>
          <t>1. Launch test runner in Security Audit Sandbox.
2. Navigate to Main Dashboard &amp; Navigation Shell (DashboardScreen).
3. Submit safe script payload `&lt;script&gt;alert(1)&lt;/script&gt;` into DashboardScreen fields.
4. Verify expected results and log evidence.</t>
        </is>
      </c>
      <c r="F106" s="12" t="inlineStr">
        <is>
          <t>Payload: `&lt;script&gt;alert(1)&lt;/script&gt;`</t>
        </is>
      </c>
      <c r="G106" s="12" t="inlineStr">
        <is>
          <t>Payload renders as plain text string; script does not execute.</t>
        </is>
      </c>
      <c r="H106" s="12" t="inlineStr">
        <is>
          <t>Pending Execution</t>
        </is>
      </c>
      <c r="I106" s="13" t="inlineStr">
        <is>
          <t>Not Executed</t>
        </is>
      </c>
      <c r="J106" s="11" t="inlineStr">
        <is>
          <t>High</t>
        </is>
      </c>
      <c r="K106" s="11" t="inlineStr">
        <is>
          <t>Critical</t>
        </is>
      </c>
      <c r="L106" s="11" t="inlineStr">
        <is>
          <t>Script Ready</t>
        </is>
      </c>
      <c r="M106" s="12" t="inlineStr">
        <is>
          <t>Security Audit Sandbox</t>
        </is>
      </c>
      <c r="N106" s="12" t="inlineStr">
        <is>
          <t>Defensive Security Audit Engine</t>
        </is>
      </c>
      <c r="O106" s="12" t="inlineStr">
        <is>
          <t>Screen-specific baseline case for Main Dashboard &amp; Navigation Shell</t>
        </is>
      </c>
    </row>
    <row r="107" ht="36" customHeight="1">
      <c r="A107" s="11" t="inlineStr">
        <is>
          <t>TC-106</t>
        </is>
      </c>
      <c r="B107" s="12" t="inlineStr">
        <is>
          <t>DashboardScreen</t>
        </is>
      </c>
      <c r="C107" s="12" t="inlineStr">
        <is>
          <t>Safe Vulnerability &amp; Security Checks</t>
        </is>
      </c>
      <c r="D107" s="12" t="inlineStr">
        <is>
          <t>TLS 1.3 Transport Encryption Enforcement on Main Dashboard &amp; Navigation Shell</t>
        </is>
      </c>
      <c r="E107" s="12" t="inlineStr">
        <is>
          <t>1. Launch test runner in Security Audit Sandbox.
2. Navigate to Main Dashboard &amp; Navigation Shell (DashboardScreen).
3. Inspect outbound network traffic for DashboardScreen using passive OWASP proxy.
4. Verify expected results and log evidence.</t>
        </is>
      </c>
      <c r="F107" s="12" t="inlineStr">
        <is>
          <t>Protocol: TLS 1.3 / HTTPS</t>
        </is>
      </c>
      <c r="G107" s="12" t="inlineStr">
        <is>
          <t>All HTTP connections upgrade to TLS 1.3; unencrypted HTTP blocked.</t>
        </is>
      </c>
      <c r="H107" s="12" t="inlineStr">
        <is>
          <t>Pending Execution</t>
        </is>
      </c>
      <c r="I107" s="13" t="inlineStr">
        <is>
          <t>Not Executed</t>
        </is>
      </c>
      <c r="J107" s="11" t="inlineStr">
        <is>
          <t>Medium</t>
        </is>
      </c>
      <c r="K107" s="11" t="inlineStr">
        <is>
          <t>Major</t>
        </is>
      </c>
      <c r="L107" s="11" t="inlineStr">
        <is>
          <t>Script Ready</t>
        </is>
      </c>
      <c r="M107" s="12" t="inlineStr">
        <is>
          <t>Security Audit Sandbox</t>
        </is>
      </c>
      <c r="N107" s="12" t="inlineStr">
        <is>
          <t>Defensive Security Audit Engine</t>
        </is>
      </c>
      <c r="O107" s="12" t="inlineStr">
        <is>
          <t>Screen-specific baseline case for Main Dashboard &amp; Navigation Shell</t>
        </is>
      </c>
    </row>
    <row r="108" ht="36" customHeight="1">
      <c r="A108" s="11" t="inlineStr">
        <is>
          <t>TC-107</t>
        </is>
      </c>
      <c r="B108" s="12" t="inlineStr">
        <is>
          <t>DashboardScreen</t>
        </is>
      </c>
      <c r="C108" s="12" t="inlineStr">
        <is>
          <t>Safe Vulnerability &amp; Security Checks</t>
        </is>
      </c>
      <c r="D108" s="12" t="inlineStr">
        <is>
          <t>API Rate Limiting 429 Response Check on Main Dashboard &amp; Navigation Shell</t>
        </is>
      </c>
      <c r="E108" s="12" t="inlineStr">
        <is>
          <t>1. Launch test runner in Security Audit Sandbox.
2. Navigate to Main Dashboard &amp; Navigation Shell (DashboardScreen).
3. Send 100 rapid requests within 5 seconds to DashboardScreen public endpoints.
4. Verify expected results and log evidence.</t>
        </is>
      </c>
      <c r="F108" s="12" t="inlineStr">
        <is>
          <t>Requests: 100 in 5s</t>
        </is>
      </c>
      <c r="G108" s="12" t="inlineStr">
        <is>
          <t>Rate limiter triggers HTTP 429 Too Many Requests response.</t>
        </is>
      </c>
      <c r="H108" s="12" t="inlineStr">
        <is>
          <t>Pending Execution</t>
        </is>
      </c>
      <c r="I108" s="13" t="inlineStr">
        <is>
          <t>Not Executed</t>
        </is>
      </c>
      <c r="J108" s="11" t="inlineStr">
        <is>
          <t>Medium</t>
        </is>
      </c>
      <c r="K108" s="11" t="inlineStr">
        <is>
          <t>Moderate</t>
        </is>
      </c>
      <c r="L108" s="11" t="inlineStr">
        <is>
          <t>Script Ready</t>
        </is>
      </c>
      <c r="M108" s="12" t="inlineStr">
        <is>
          <t>Security Audit Sandbox</t>
        </is>
      </c>
      <c r="N108" s="12" t="inlineStr">
        <is>
          <t>Defensive Security Audit Engine</t>
        </is>
      </c>
      <c r="O108" s="12" t="inlineStr">
        <is>
          <t>Screen-specific baseline case for Main Dashboard &amp; Navigation Shell</t>
        </is>
      </c>
    </row>
    <row r="109" ht="36" customHeight="1">
      <c r="A109" s="11" t="inlineStr">
        <is>
          <t>TC-108</t>
        </is>
      </c>
      <c r="B109" s="12" t="inlineStr">
        <is>
          <t>DashboardScreen</t>
        </is>
      </c>
      <c r="C109" s="12" t="inlineStr">
        <is>
          <t>Safe Vulnerability &amp; Security Checks</t>
        </is>
      </c>
      <c r="D109" s="12" t="inlineStr">
        <is>
          <t>Supabase Row Level Security (RLS) Audit on Main Dashboard &amp; Navigation Shell</t>
        </is>
      </c>
      <c r="E109" s="12" t="inlineStr">
        <is>
          <t>1. Launch test runner in Security Audit Sandbox.
2. Navigate to Main Dashboard &amp; Navigation Shell (DashboardScreen).
3. Query Supabase PostgreSQL table for DashboardScreen without auth header.
4. Verify expected results and log evidence.</t>
        </is>
      </c>
      <c r="F109" s="12" t="inlineStr">
        <is>
          <t>RLS Check: DashboardScreen_table</t>
        </is>
      </c>
      <c r="G109" s="12" t="inlineStr">
        <is>
          <t>Supabase RLS policy blocks unauthorized row query access.</t>
        </is>
      </c>
      <c r="H109" s="12" t="inlineStr">
        <is>
          <t>Pending Execution</t>
        </is>
      </c>
      <c r="I109" s="13" t="inlineStr">
        <is>
          <t>Not Executed</t>
        </is>
      </c>
      <c r="J109" s="11" t="inlineStr">
        <is>
          <t>High</t>
        </is>
      </c>
      <c r="K109" s="11" t="inlineStr">
        <is>
          <t>Major</t>
        </is>
      </c>
      <c r="L109" s="11" t="inlineStr">
        <is>
          <t>Script Ready</t>
        </is>
      </c>
      <c r="M109" s="12" t="inlineStr">
        <is>
          <t>Security Audit Sandbox</t>
        </is>
      </c>
      <c r="N109" s="12" t="inlineStr">
        <is>
          <t>Defensive Security Audit Engine</t>
        </is>
      </c>
      <c r="O109" s="12" t="inlineStr">
        <is>
          <t>Screen-specific baseline case for Main Dashboard &amp; Navigation Shell</t>
        </is>
      </c>
    </row>
    <row r="110" ht="36" customHeight="1">
      <c r="A110" s="11" t="inlineStr">
        <is>
          <t>TC-109</t>
        </is>
      </c>
      <c r="B110" s="12" t="inlineStr">
        <is>
          <t>DashboardScreen</t>
        </is>
      </c>
      <c r="C110" s="12" t="inlineStr">
        <is>
          <t>Safe Vulnerability &amp; Security Checks</t>
        </is>
      </c>
      <c r="D110" s="12" t="inlineStr">
        <is>
          <t>Privileged Route Guard Verification on Main Dashboard &amp; Navigation Shell</t>
        </is>
      </c>
      <c r="E110" s="12" t="inlineStr">
        <is>
          <t>1. Launch test runner in Security Audit Sandbox.
2. Navigate to Main Dashboard &amp; Navigation Shell (DashboardScreen).
3. Attempt deep linking directly to restricted DashboardScreen view as unauthenticated user.
4. Verify expected results and log evidence.</t>
        </is>
      </c>
      <c r="F110" s="12" t="inlineStr">
        <is>
          <t>Route: /DashboardScreen_admin</t>
        </is>
      </c>
      <c r="G110" s="12" t="inlineStr">
        <is>
          <t>Router guard intercepts request and redirects to login screen.</t>
        </is>
      </c>
      <c r="H110" s="12" t="inlineStr">
        <is>
          <t>Pending Execution</t>
        </is>
      </c>
      <c r="I110" s="13" t="inlineStr">
        <is>
          <t>Not Executed</t>
        </is>
      </c>
      <c r="J110" s="11" t="inlineStr">
        <is>
          <t>Medium</t>
        </is>
      </c>
      <c r="K110" s="11" t="inlineStr">
        <is>
          <t>Moderate</t>
        </is>
      </c>
      <c r="L110" s="11" t="inlineStr">
        <is>
          <t>Script Ready</t>
        </is>
      </c>
      <c r="M110" s="12" t="inlineStr">
        <is>
          <t>Security Audit Sandbox</t>
        </is>
      </c>
      <c r="N110" s="12" t="inlineStr">
        <is>
          <t>Defensive Security Audit Engine</t>
        </is>
      </c>
      <c r="O110" s="12" t="inlineStr">
        <is>
          <t>Screen-specific baseline case for Main Dashboard &amp; Navigation Shell</t>
        </is>
      </c>
    </row>
    <row r="111" ht="36" customHeight="1">
      <c r="A111" s="11" t="inlineStr">
        <is>
          <t>TC-110</t>
        </is>
      </c>
      <c r="B111" s="12" t="inlineStr">
        <is>
          <t>DashboardScreen</t>
        </is>
      </c>
      <c r="C111" s="12" t="inlineStr">
        <is>
          <t>Safe Vulnerability &amp; Security Checks</t>
        </is>
      </c>
      <c r="D111" s="12" t="inlineStr">
        <is>
          <t>Sensitive Data Masking &amp; Log Leak Check on Main Dashboard &amp; Navigation Shell</t>
        </is>
      </c>
      <c r="E111" s="12" t="inlineStr">
        <is>
          <t>1. Launch test runner in Security Audit Sandbox.
2. Navigate to Main Dashboard &amp; Navigation Shell (DashboardScreen).
3. Audit application log files and network payloads for exposed DashboardScreen secrets.
4. Verify expected results and log evidence.</t>
        </is>
      </c>
      <c r="F111" s="12" t="inlineStr">
        <is>
          <t>Audit: Password/Token fields</t>
        </is>
      </c>
      <c r="G111" s="12" t="inlineStr">
        <is>
          <t>Sensitive credentials and PII are masked or omitted from logs.</t>
        </is>
      </c>
      <c r="H111" s="12" t="inlineStr">
        <is>
          <t>Pending Execution</t>
        </is>
      </c>
      <c r="I111" s="13" t="inlineStr">
        <is>
          <t>Not Executed</t>
        </is>
      </c>
      <c r="J111" s="11" t="inlineStr">
        <is>
          <t>Low</t>
        </is>
      </c>
      <c r="K111" s="11" t="inlineStr">
        <is>
          <t>Major</t>
        </is>
      </c>
      <c r="L111" s="11" t="inlineStr">
        <is>
          <t>Script Ready</t>
        </is>
      </c>
      <c r="M111" s="12" t="inlineStr">
        <is>
          <t>Security Audit Sandbox</t>
        </is>
      </c>
      <c r="N111" s="12" t="inlineStr">
        <is>
          <t>Defensive Security Audit Engine</t>
        </is>
      </c>
      <c r="O111" s="12" t="inlineStr">
        <is>
          <t>Screen-specific baseline case for Main Dashboard &amp; Navigation Shell</t>
        </is>
      </c>
    </row>
    <row r="112" ht="36" customHeight="1">
      <c r="A112" s="11" t="inlineStr">
        <is>
          <t>TC-111</t>
        </is>
      </c>
      <c r="B112" s="12" t="inlineStr">
        <is>
          <t>HomeTab</t>
        </is>
      </c>
      <c r="C112" s="12" t="inlineStr">
        <is>
          <t>Safe Vulnerability &amp; Security Checks</t>
        </is>
      </c>
      <c r="D112" s="12" t="inlineStr">
        <is>
          <t>Authentication Lockout &amp; Brute-Force on Home Overview &amp; Daily Progress Tab</t>
        </is>
      </c>
      <c r="E112" s="12" t="inlineStr">
        <is>
          <t>1. Launch test runner in Security Audit Sandbox.
2. Navigate to Home Overview &amp; Daily Progress Tab (HomeTab).
3. Attempt 10 invalid authentication requests on HomeTab in rapid succession.
4. Verify expected results and log evidence.</t>
        </is>
      </c>
      <c r="F112" s="12" t="inlineStr">
        <is>
          <t>Attempts: 10 invalid</t>
        </is>
      </c>
      <c r="G112" s="12" t="inlineStr">
        <is>
          <t>Account temporarily locks out after 5 failed attempts with 429 response.</t>
        </is>
      </c>
      <c r="H112" s="12" t="inlineStr">
        <is>
          <t>Pending Execution</t>
        </is>
      </c>
      <c r="I112" s="13" t="inlineStr">
        <is>
          <t>Not Executed</t>
        </is>
      </c>
      <c r="J112" s="11" t="inlineStr">
        <is>
          <t>High</t>
        </is>
      </c>
      <c r="K112" s="11" t="inlineStr">
        <is>
          <t>Moderate</t>
        </is>
      </c>
      <c r="L112" s="11" t="inlineStr">
        <is>
          <t>Script Ready</t>
        </is>
      </c>
      <c r="M112" s="12" t="inlineStr">
        <is>
          <t>Security Audit Sandbox</t>
        </is>
      </c>
      <c r="N112" s="12" t="inlineStr">
        <is>
          <t>Defensive Security Audit Engine</t>
        </is>
      </c>
      <c r="O112" s="12" t="inlineStr">
        <is>
          <t>Screen-specific baseline case for Home Overview &amp; Daily Progress Tab</t>
        </is>
      </c>
    </row>
    <row r="113" ht="36" customHeight="1">
      <c r="A113" s="11" t="inlineStr">
        <is>
          <t>TC-112</t>
        </is>
      </c>
      <c r="B113" s="12" t="inlineStr">
        <is>
          <t>HomeTab</t>
        </is>
      </c>
      <c r="C113" s="12" t="inlineStr">
        <is>
          <t>Safe Vulnerability &amp; Security Checks</t>
        </is>
      </c>
      <c r="D113" s="12" t="inlineStr">
        <is>
          <t>Role-Based Authorization &amp; IDOR Check on Home Overview &amp; Daily Progress Tab</t>
        </is>
      </c>
      <c r="E113" s="12" t="inlineStr">
        <is>
          <t>1. Launch test runner in Security Audit Sandbox.
2. Navigate to Home Overview &amp; Daily Progress Tab (HomeTab).
3. Attempt querying secondary user private records on HomeTab using guest JWT.
4. Verify expected results and log evidence.</t>
        </is>
      </c>
      <c r="F113" s="12" t="inlineStr">
        <is>
          <t>IDOR Payload: HomeTab_user_999</t>
        </is>
      </c>
      <c r="G113" s="12" t="inlineStr">
        <is>
          <t>Database and API reject request with HTTP 403 Forbidden.</t>
        </is>
      </c>
      <c r="H113" s="12" t="inlineStr">
        <is>
          <t>Pending Execution</t>
        </is>
      </c>
      <c r="I113" s="13" t="inlineStr">
        <is>
          <t>Not Executed</t>
        </is>
      </c>
      <c r="J113" s="11" t="inlineStr">
        <is>
          <t>Medium</t>
        </is>
      </c>
      <c r="K113" s="11" t="inlineStr">
        <is>
          <t>Critical</t>
        </is>
      </c>
      <c r="L113" s="11" t="inlineStr">
        <is>
          <t>Script Ready</t>
        </is>
      </c>
      <c r="M113" s="12" t="inlineStr">
        <is>
          <t>Security Audit Sandbox</t>
        </is>
      </c>
      <c r="N113" s="12" t="inlineStr">
        <is>
          <t>Defensive Security Audit Engine</t>
        </is>
      </c>
      <c r="O113" s="12" t="inlineStr">
        <is>
          <t>Screen-specific baseline case for Home Overview &amp; Daily Progress Tab</t>
        </is>
      </c>
    </row>
    <row r="114" ht="36" customHeight="1">
      <c r="A114" s="11" t="inlineStr">
        <is>
          <t>TC-113</t>
        </is>
      </c>
      <c r="B114" s="12" t="inlineStr">
        <is>
          <t>HomeTab</t>
        </is>
      </c>
      <c r="C114" s="12" t="inlineStr">
        <is>
          <t>Safe Vulnerability &amp; Security Checks</t>
        </is>
      </c>
      <c r="D114" s="12" t="inlineStr">
        <is>
          <t>Session Token Expiration &amp; Revocation on Home Overview &amp; Daily Progress Tab</t>
        </is>
      </c>
      <c r="E114" s="12" t="inlineStr">
        <is>
          <t>1. Launch test runner in Security Audit Sandbox.
2. Navigate to Home Overview &amp; Daily Progress Tab (HomeTab).
3. Present expired JWT token to HomeTab API endpoint, attempt data fetch.
4. Verify expected results and log evidence.</t>
        </is>
      </c>
      <c r="F114" s="12" t="inlineStr">
        <is>
          <t>JWT Token: Expired/Revoked</t>
        </is>
      </c>
      <c r="G114" s="12" t="inlineStr">
        <is>
          <t>API gateway invalidates session and redirects to login view.</t>
        </is>
      </c>
      <c r="H114" s="12" t="inlineStr">
        <is>
          <t>Pending Execution</t>
        </is>
      </c>
      <c r="I114" s="13" t="inlineStr">
        <is>
          <t>Not Executed</t>
        </is>
      </c>
      <c r="J114" s="11" t="inlineStr">
        <is>
          <t>Medium</t>
        </is>
      </c>
      <c r="K114" s="11" t="inlineStr">
        <is>
          <t>Moderate</t>
        </is>
      </c>
      <c r="L114" s="11" t="inlineStr">
        <is>
          <t>Script Ready</t>
        </is>
      </c>
      <c r="M114" s="12" t="inlineStr">
        <is>
          <t>Security Audit Sandbox</t>
        </is>
      </c>
      <c r="N114" s="12" t="inlineStr">
        <is>
          <t>Defensive Security Audit Engine</t>
        </is>
      </c>
      <c r="O114" s="12" t="inlineStr">
        <is>
          <t>Screen-specific baseline case for Home Overview &amp; Daily Progress Tab</t>
        </is>
      </c>
    </row>
    <row r="115" ht="36" customHeight="1">
      <c r="A115" s="11" t="inlineStr">
        <is>
          <t>TC-114</t>
        </is>
      </c>
      <c r="B115" s="12" t="inlineStr">
        <is>
          <t>HomeTab</t>
        </is>
      </c>
      <c r="C115" s="12" t="inlineStr">
        <is>
          <t>Safe Vulnerability &amp; Security Checks</t>
        </is>
      </c>
      <c r="D115" s="12" t="inlineStr">
        <is>
          <t>Safe SQL Injection Input Defense on Home Overview &amp; Daily Progress Tab</t>
        </is>
      </c>
      <c r="E115" s="12" t="inlineStr">
        <is>
          <t>1. Launch test runner in Security Audit Sandbox.
2. Navigate to Home Overview &amp; Daily Progress Tab (HomeTab).
3. Submit safe SQLi payload `' OR '1'='1` into text input fields on HomeTab.
4. Verify expected results and log evidence.</t>
        </is>
      </c>
      <c r="F115" s="12" t="inlineStr">
        <is>
          <t>Payload: `' OR '1'='1`</t>
        </is>
      </c>
      <c r="G115" s="12" t="inlineStr">
        <is>
          <t>Input is parameterized/escaped cleanly; no SQL error occurs.</t>
        </is>
      </c>
      <c r="H115" s="12" t="inlineStr">
        <is>
          <t>Pending Execution</t>
        </is>
      </c>
      <c r="I115" s="13" t="inlineStr">
        <is>
          <t>Not Executed</t>
        </is>
      </c>
      <c r="J115" s="11" t="inlineStr">
        <is>
          <t>High</t>
        </is>
      </c>
      <c r="K115" s="11" t="inlineStr">
        <is>
          <t>Major</t>
        </is>
      </c>
      <c r="L115" s="11" t="inlineStr">
        <is>
          <t>Script Ready</t>
        </is>
      </c>
      <c r="M115" s="12" t="inlineStr">
        <is>
          <t>Security Audit Sandbox</t>
        </is>
      </c>
      <c r="N115" s="12" t="inlineStr">
        <is>
          <t>Defensive Security Audit Engine</t>
        </is>
      </c>
      <c r="O115" s="12" t="inlineStr">
        <is>
          <t>Screen-specific baseline case for Home Overview &amp; Daily Progress Tab</t>
        </is>
      </c>
    </row>
    <row r="116" ht="36" customHeight="1">
      <c r="A116" s="11" t="inlineStr">
        <is>
          <t>TC-115</t>
        </is>
      </c>
      <c r="B116" s="12" t="inlineStr">
        <is>
          <t>HomeTab</t>
        </is>
      </c>
      <c r="C116" s="12" t="inlineStr">
        <is>
          <t>Safe Vulnerability &amp; Security Checks</t>
        </is>
      </c>
      <c r="D116" s="12" t="inlineStr">
        <is>
          <t>Safe XSS Script Escaping Validation on Home Overview &amp; Daily Progress Tab</t>
        </is>
      </c>
      <c r="E116" s="12" t="inlineStr">
        <is>
          <t>1. Launch test runner in Security Audit Sandbox.
2. Navigate to Home Overview &amp; Daily Progress Tab (HomeTab).
3. Submit safe script payload `&lt;script&gt;alert(1)&lt;/script&gt;` into HomeTab fields.
4. Verify expected results and log evidence.</t>
        </is>
      </c>
      <c r="F116" s="12" t="inlineStr">
        <is>
          <t>Payload: `&lt;script&gt;alert(1)&lt;/script&gt;`</t>
        </is>
      </c>
      <c r="G116" s="12" t="inlineStr">
        <is>
          <t>Payload renders as plain text string; script does not execute.</t>
        </is>
      </c>
      <c r="H116" s="12" t="inlineStr">
        <is>
          <t>Pending Execution</t>
        </is>
      </c>
      <c r="I116" s="13" t="inlineStr">
        <is>
          <t>Not Executed</t>
        </is>
      </c>
      <c r="J116" s="11" t="inlineStr">
        <is>
          <t>Low</t>
        </is>
      </c>
      <c r="K116" s="11" t="inlineStr">
        <is>
          <t>Moderate</t>
        </is>
      </c>
      <c r="L116" s="11" t="inlineStr">
        <is>
          <t>Script Ready</t>
        </is>
      </c>
      <c r="M116" s="12" t="inlineStr">
        <is>
          <t>Security Audit Sandbox</t>
        </is>
      </c>
      <c r="N116" s="12" t="inlineStr">
        <is>
          <t>Defensive Security Audit Engine</t>
        </is>
      </c>
      <c r="O116" s="12" t="inlineStr">
        <is>
          <t>Screen-specific baseline case for Home Overview &amp; Daily Progress Tab</t>
        </is>
      </c>
    </row>
    <row r="117" ht="36" customHeight="1">
      <c r="A117" s="11" t="inlineStr">
        <is>
          <t>TC-116</t>
        </is>
      </c>
      <c r="B117" s="12" t="inlineStr">
        <is>
          <t>HomeTab</t>
        </is>
      </c>
      <c r="C117" s="12" t="inlineStr">
        <is>
          <t>Safe Vulnerability &amp; Security Checks</t>
        </is>
      </c>
      <c r="D117" s="12" t="inlineStr">
        <is>
          <t>TLS 1.3 Transport Encryption Enforcement on Home Overview &amp; Daily Progress Tab</t>
        </is>
      </c>
      <c r="E117" s="12" t="inlineStr">
        <is>
          <t>1. Launch test runner in Security Audit Sandbox.
2. Navigate to Home Overview &amp; Daily Progress Tab (HomeTab).
3. Inspect outbound network traffic for HomeTab using passive OWASP proxy.
4. Verify expected results and log evidence.</t>
        </is>
      </c>
      <c r="F117" s="12" t="inlineStr">
        <is>
          <t>Protocol: TLS 1.3 / HTTPS</t>
        </is>
      </c>
      <c r="G117" s="12" t="inlineStr">
        <is>
          <t>All HTTP connections upgrade to TLS 1.3; unencrypted HTTP blocked.</t>
        </is>
      </c>
      <c r="H117" s="12" t="inlineStr">
        <is>
          <t>Pending Execution</t>
        </is>
      </c>
      <c r="I117" s="13" t="inlineStr">
        <is>
          <t>Not Executed</t>
        </is>
      </c>
      <c r="J117" s="11" t="inlineStr">
        <is>
          <t>Medium</t>
        </is>
      </c>
      <c r="K117" s="11" t="inlineStr">
        <is>
          <t>Major</t>
        </is>
      </c>
      <c r="L117" s="11" t="inlineStr">
        <is>
          <t>Script Ready</t>
        </is>
      </c>
      <c r="M117" s="12" t="inlineStr">
        <is>
          <t>Security Audit Sandbox</t>
        </is>
      </c>
      <c r="N117" s="12" t="inlineStr">
        <is>
          <t>Defensive Security Audit Engine</t>
        </is>
      </c>
      <c r="O117" s="12" t="inlineStr">
        <is>
          <t>Screen-specific baseline case for Home Overview &amp; Daily Progress Tab</t>
        </is>
      </c>
    </row>
    <row r="118" ht="36" customHeight="1">
      <c r="A118" s="11" t="inlineStr">
        <is>
          <t>TC-117</t>
        </is>
      </c>
      <c r="B118" s="12" t="inlineStr">
        <is>
          <t>HomeTab</t>
        </is>
      </c>
      <c r="C118" s="12" t="inlineStr">
        <is>
          <t>Safe Vulnerability &amp; Security Checks</t>
        </is>
      </c>
      <c r="D118" s="12" t="inlineStr">
        <is>
          <t>API Rate Limiting 429 Response Check on Home Overview &amp; Daily Progress Tab</t>
        </is>
      </c>
      <c r="E118" s="12" t="inlineStr">
        <is>
          <t>1. Launch test runner in Security Audit Sandbox.
2. Navigate to Home Overview &amp; Daily Progress Tab (HomeTab).
3. Send 100 rapid requests within 5 seconds to HomeTab public endpoints.
4. Verify expected results and log evidence.</t>
        </is>
      </c>
      <c r="F118" s="12" t="inlineStr">
        <is>
          <t>Requests: 100 in 5s</t>
        </is>
      </c>
      <c r="G118" s="12" t="inlineStr">
        <is>
          <t>Rate limiter triggers HTTP 429 Too Many Requests response.</t>
        </is>
      </c>
      <c r="H118" s="12" t="inlineStr">
        <is>
          <t>Pending Execution</t>
        </is>
      </c>
      <c r="I118" s="13" t="inlineStr">
        <is>
          <t>Not Executed</t>
        </is>
      </c>
      <c r="J118" s="11" t="inlineStr">
        <is>
          <t>High</t>
        </is>
      </c>
      <c r="K118" s="11" t="inlineStr">
        <is>
          <t>Moderate</t>
        </is>
      </c>
      <c r="L118" s="11" t="inlineStr">
        <is>
          <t>Script Ready</t>
        </is>
      </c>
      <c r="M118" s="12" t="inlineStr">
        <is>
          <t>Security Audit Sandbox</t>
        </is>
      </c>
      <c r="N118" s="12" t="inlineStr">
        <is>
          <t>Defensive Security Audit Engine</t>
        </is>
      </c>
      <c r="O118" s="12" t="inlineStr">
        <is>
          <t>Screen-specific baseline case for Home Overview &amp; Daily Progress Tab</t>
        </is>
      </c>
    </row>
    <row r="119" ht="36" customHeight="1">
      <c r="A119" s="11" t="inlineStr">
        <is>
          <t>TC-118</t>
        </is>
      </c>
      <c r="B119" s="12" t="inlineStr">
        <is>
          <t>HomeTab</t>
        </is>
      </c>
      <c r="C119" s="12" t="inlineStr">
        <is>
          <t>Safe Vulnerability &amp; Security Checks</t>
        </is>
      </c>
      <c r="D119" s="12" t="inlineStr">
        <is>
          <t>Supabase Row Level Security (RLS) Audit on Home Overview &amp; Daily Progress Tab</t>
        </is>
      </c>
      <c r="E119" s="12" t="inlineStr">
        <is>
          <t>1. Launch test runner in Security Audit Sandbox.
2. Navigate to Home Overview &amp; Daily Progress Tab (HomeTab).
3. Query Supabase PostgreSQL table for HomeTab without auth header.
4. Verify expected results and log evidence.</t>
        </is>
      </c>
      <c r="F119" s="12" t="inlineStr">
        <is>
          <t>RLS Check: HomeTab_table</t>
        </is>
      </c>
      <c r="G119" s="12" t="inlineStr">
        <is>
          <t>Supabase RLS policy blocks unauthorized row query access.</t>
        </is>
      </c>
      <c r="H119" s="12" t="inlineStr">
        <is>
          <t>Pending Execution</t>
        </is>
      </c>
      <c r="I119" s="13" t="inlineStr">
        <is>
          <t>Not Executed</t>
        </is>
      </c>
      <c r="J119" s="11" t="inlineStr">
        <is>
          <t>Medium</t>
        </is>
      </c>
      <c r="K119" s="11" t="inlineStr">
        <is>
          <t>Major</t>
        </is>
      </c>
      <c r="L119" s="11" t="inlineStr">
        <is>
          <t>Script Ready</t>
        </is>
      </c>
      <c r="M119" s="12" t="inlineStr">
        <is>
          <t>Security Audit Sandbox</t>
        </is>
      </c>
      <c r="N119" s="12" t="inlineStr">
        <is>
          <t>Defensive Security Audit Engine</t>
        </is>
      </c>
      <c r="O119" s="12" t="inlineStr">
        <is>
          <t>Screen-specific baseline case for Home Overview &amp; Daily Progress Tab</t>
        </is>
      </c>
    </row>
    <row r="120" ht="36" customHeight="1">
      <c r="A120" s="11" t="inlineStr">
        <is>
          <t>TC-119</t>
        </is>
      </c>
      <c r="B120" s="12" t="inlineStr">
        <is>
          <t>HomeTab</t>
        </is>
      </c>
      <c r="C120" s="12" t="inlineStr">
        <is>
          <t>Safe Vulnerability &amp; Security Checks</t>
        </is>
      </c>
      <c r="D120" s="12" t="inlineStr">
        <is>
          <t>Privileged Route Guard Verification on Home Overview &amp; Daily Progress Tab</t>
        </is>
      </c>
      <c r="E120" s="12" t="inlineStr">
        <is>
          <t>1. Launch test runner in Security Audit Sandbox.
2. Navigate to Home Overview &amp; Daily Progress Tab (HomeTab).
3. Attempt deep linking directly to restricted HomeTab view as unauthenticated user.
4. Verify expected results and log evidence.</t>
        </is>
      </c>
      <c r="F120" s="12" t="inlineStr">
        <is>
          <t>Route: /HomeTab_admin</t>
        </is>
      </c>
      <c r="G120" s="12" t="inlineStr">
        <is>
          <t>Router guard intercepts request and redirects to login screen.</t>
        </is>
      </c>
      <c r="H120" s="12" t="inlineStr">
        <is>
          <t>Pending Execution</t>
        </is>
      </c>
      <c r="I120" s="13" t="inlineStr">
        <is>
          <t>Not Executed</t>
        </is>
      </c>
      <c r="J120" s="11" t="inlineStr">
        <is>
          <t>Medium</t>
        </is>
      </c>
      <c r="K120" s="11" t="inlineStr">
        <is>
          <t>Critical</t>
        </is>
      </c>
      <c r="L120" s="11" t="inlineStr">
        <is>
          <t>Script Ready</t>
        </is>
      </c>
      <c r="M120" s="12" t="inlineStr">
        <is>
          <t>Security Audit Sandbox</t>
        </is>
      </c>
      <c r="N120" s="12" t="inlineStr">
        <is>
          <t>Defensive Security Audit Engine</t>
        </is>
      </c>
      <c r="O120" s="12" t="inlineStr">
        <is>
          <t>Screen-specific baseline case for Home Overview &amp; Daily Progress Tab</t>
        </is>
      </c>
    </row>
    <row r="121" ht="36" customHeight="1">
      <c r="A121" s="11" t="inlineStr">
        <is>
          <t>TC-120</t>
        </is>
      </c>
      <c r="B121" s="12" t="inlineStr">
        <is>
          <t>HomeTab</t>
        </is>
      </c>
      <c r="C121" s="12" t="inlineStr">
        <is>
          <t>Safe Vulnerability &amp; Security Checks</t>
        </is>
      </c>
      <c r="D121" s="12" t="inlineStr">
        <is>
          <t>Sensitive Data Masking &amp; Log Leak Check on Home Overview &amp; Daily Progress Tab</t>
        </is>
      </c>
      <c r="E121" s="12" t="inlineStr">
        <is>
          <t>1. Launch test runner in Security Audit Sandbox.
2. Navigate to Home Overview &amp; Daily Progress Tab (HomeTab).
3. Audit application log files and network payloads for exposed HomeTab secrets.
4. Verify expected results and log evidence.</t>
        </is>
      </c>
      <c r="F121" s="12" t="inlineStr">
        <is>
          <t>Audit: Password/Token fields</t>
        </is>
      </c>
      <c r="G121" s="12" t="inlineStr">
        <is>
          <t>Sensitive credentials and PII are masked or omitted from logs.</t>
        </is>
      </c>
      <c r="H121" s="12" t="inlineStr">
        <is>
          <t>Pending Execution</t>
        </is>
      </c>
      <c r="I121" s="13" t="inlineStr">
        <is>
          <t>Not Executed</t>
        </is>
      </c>
      <c r="J121" s="11" t="inlineStr">
        <is>
          <t>High</t>
        </is>
      </c>
      <c r="K121" s="11" t="inlineStr">
        <is>
          <t>Major</t>
        </is>
      </c>
      <c r="L121" s="11" t="inlineStr">
        <is>
          <t>Script Ready</t>
        </is>
      </c>
      <c r="M121" s="12" t="inlineStr">
        <is>
          <t>Security Audit Sandbox</t>
        </is>
      </c>
      <c r="N121" s="12" t="inlineStr">
        <is>
          <t>Defensive Security Audit Engine</t>
        </is>
      </c>
      <c r="O121" s="12" t="inlineStr">
        <is>
          <t>Screen-specific baseline case for Home Overview &amp; Daily Progress Tab</t>
        </is>
      </c>
    </row>
    <row r="122" ht="36" customHeight="1">
      <c r="A122" s="11" t="inlineStr">
        <is>
          <t>TC-121</t>
        </is>
      </c>
      <c r="B122" s="12" t="inlineStr">
        <is>
          <t>HeroCard</t>
        </is>
      </c>
      <c r="C122" s="12" t="inlineStr">
        <is>
          <t>Safe Vulnerability &amp; Security Checks</t>
        </is>
      </c>
      <c r="D122" s="12" t="inlineStr">
        <is>
          <t>Authentication Lockout &amp; Brute-Force on Today Workout &amp; Hero Banner Section</t>
        </is>
      </c>
      <c r="E122" s="12" t="inlineStr">
        <is>
          <t>1. Launch test runner in Security Audit Sandbox.
2. Navigate to Today Workout &amp; Hero Banner Section (HeroCard).
3. Attempt 10 invalid authentication requests on HeroCard in rapid succession.
4. Verify expected results and log evidence.</t>
        </is>
      </c>
      <c r="F122" s="12" t="inlineStr">
        <is>
          <t>Attempts: 10 invalid</t>
        </is>
      </c>
      <c r="G122" s="12" t="inlineStr">
        <is>
          <t>Account temporarily locks out after 5 failed attempts with 429 response.</t>
        </is>
      </c>
      <c r="H122" s="12" t="inlineStr">
        <is>
          <t>Pending Execution</t>
        </is>
      </c>
      <c r="I122" s="13" t="inlineStr">
        <is>
          <t>Not Executed</t>
        </is>
      </c>
      <c r="J122" s="11" t="inlineStr">
        <is>
          <t>Medium</t>
        </is>
      </c>
      <c r="K122" s="11" t="inlineStr">
        <is>
          <t>Moderate</t>
        </is>
      </c>
      <c r="L122" s="11" t="inlineStr">
        <is>
          <t>Script Ready</t>
        </is>
      </c>
      <c r="M122" s="12" t="inlineStr">
        <is>
          <t>Security Audit Sandbox</t>
        </is>
      </c>
      <c r="N122" s="12" t="inlineStr">
        <is>
          <t>Defensive Security Audit Engine</t>
        </is>
      </c>
      <c r="O122" s="12" t="inlineStr">
        <is>
          <t>Screen-specific baseline case for Today Workout &amp; Hero Banner Section</t>
        </is>
      </c>
    </row>
    <row r="123" ht="36" customHeight="1">
      <c r="A123" s="11" t="inlineStr">
        <is>
          <t>TC-122</t>
        </is>
      </c>
      <c r="B123" s="12" t="inlineStr">
        <is>
          <t>HeroCard</t>
        </is>
      </c>
      <c r="C123" s="12" t="inlineStr">
        <is>
          <t>Safe Vulnerability &amp; Security Checks</t>
        </is>
      </c>
      <c r="D123" s="12" t="inlineStr">
        <is>
          <t>Role-Based Authorization &amp; IDOR Check on Today Workout &amp; Hero Banner Section</t>
        </is>
      </c>
      <c r="E123" s="12" t="inlineStr">
        <is>
          <t>1. Launch test runner in Security Audit Sandbox.
2. Navigate to Today Workout &amp; Hero Banner Section (HeroCard).
3. Attempt querying secondary user private records on HeroCard using guest JWT.
4. Verify expected results and log evidence.</t>
        </is>
      </c>
      <c r="F123" s="12" t="inlineStr">
        <is>
          <t>IDOR Payload: HeroCard_user_999</t>
        </is>
      </c>
      <c r="G123" s="12" t="inlineStr">
        <is>
          <t>Database and API reject request with HTTP 403 Forbidden.</t>
        </is>
      </c>
      <c r="H123" s="12" t="inlineStr">
        <is>
          <t>Pending Execution</t>
        </is>
      </c>
      <c r="I123" s="13" t="inlineStr">
        <is>
          <t>Not Executed</t>
        </is>
      </c>
      <c r="J123" s="11" t="inlineStr">
        <is>
          <t>Medium</t>
        </is>
      </c>
      <c r="K123" s="11" t="inlineStr">
        <is>
          <t>Major</t>
        </is>
      </c>
      <c r="L123" s="11" t="inlineStr">
        <is>
          <t>Script Ready</t>
        </is>
      </c>
      <c r="M123" s="12" t="inlineStr">
        <is>
          <t>Security Audit Sandbox</t>
        </is>
      </c>
      <c r="N123" s="12" t="inlineStr">
        <is>
          <t>Defensive Security Audit Engine</t>
        </is>
      </c>
      <c r="O123" s="12" t="inlineStr">
        <is>
          <t>Screen-specific baseline case for Today Workout &amp; Hero Banner Section</t>
        </is>
      </c>
    </row>
    <row r="124" ht="36" customHeight="1">
      <c r="A124" s="11" t="inlineStr">
        <is>
          <t>TC-123</t>
        </is>
      </c>
      <c r="B124" s="12" t="inlineStr">
        <is>
          <t>HeroCard</t>
        </is>
      </c>
      <c r="C124" s="12" t="inlineStr">
        <is>
          <t>Safe Vulnerability &amp; Security Checks</t>
        </is>
      </c>
      <c r="D124" s="12" t="inlineStr">
        <is>
          <t>Session Token Expiration &amp; Revocation on Today Workout &amp; Hero Banner Section</t>
        </is>
      </c>
      <c r="E124" s="12" t="inlineStr">
        <is>
          <t>1. Launch test runner in Security Audit Sandbox.
2. Navigate to Today Workout &amp; Hero Banner Section (HeroCard).
3. Present expired JWT token to HeroCard API endpoint, attempt data fetch.
4. Verify expected results and log evidence.</t>
        </is>
      </c>
      <c r="F124" s="12" t="inlineStr">
        <is>
          <t>JWT Token: Expired/Revoked</t>
        </is>
      </c>
      <c r="G124" s="12" t="inlineStr">
        <is>
          <t>API gateway invalidates session and redirects to login view.</t>
        </is>
      </c>
      <c r="H124" s="12" t="inlineStr">
        <is>
          <t>Pending Execution</t>
        </is>
      </c>
      <c r="I124" s="13" t="inlineStr">
        <is>
          <t>Not Executed</t>
        </is>
      </c>
      <c r="J124" s="11" t="inlineStr">
        <is>
          <t>High</t>
        </is>
      </c>
      <c r="K124" s="11" t="inlineStr">
        <is>
          <t>Moderate</t>
        </is>
      </c>
      <c r="L124" s="11" t="inlineStr">
        <is>
          <t>Script Ready</t>
        </is>
      </c>
      <c r="M124" s="12" t="inlineStr">
        <is>
          <t>Security Audit Sandbox</t>
        </is>
      </c>
      <c r="N124" s="12" t="inlineStr">
        <is>
          <t>Defensive Security Audit Engine</t>
        </is>
      </c>
      <c r="O124" s="12" t="inlineStr">
        <is>
          <t>Screen-specific baseline case for Today Workout &amp; Hero Banner Section</t>
        </is>
      </c>
    </row>
    <row r="125" ht="36" customHeight="1">
      <c r="A125" s="11" t="inlineStr">
        <is>
          <t>TC-124</t>
        </is>
      </c>
      <c r="B125" s="12" t="inlineStr">
        <is>
          <t>HeroCard</t>
        </is>
      </c>
      <c r="C125" s="12" t="inlineStr">
        <is>
          <t>Safe Vulnerability &amp; Security Checks</t>
        </is>
      </c>
      <c r="D125" s="12" t="inlineStr">
        <is>
          <t>Safe SQL Injection Input Defense on Today Workout &amp; Hero Banner Section</t>
        </is>
      </c>
      <c r="E125" s="12" t="inlineStr">
        <is>
          <t>1. Launch test runner in Security Audit Sandbox.
2. Navigate to Today Workout &amp; Hero Banner Section (HeroCard).
3. Submit safe SQLi payload `' OR '1'='1` into text input fields on HeroCard.
4. Verify expected results and log evidence.</t>
        </is>
      </c>
      <c r="F125" s="12" t="inlineStr">
        <is>
          <t>Payload: `' OR '1'='1`</t>
        </is>
      </c>
      <c r="G125" s="12" t="inlineStr">
        <is>
          <t>Input is parameterized/escaped cleanly; no SQL error occurs.</t>
        </is>
      </c>
      <c r="H125" s="12" t="inlineStr">
        <is>
          <t>Pending Execution</t>
        </is>
      </c>
      <c r="I125" s="13" t="inlineStr">
        <is>
          <t>Not Executed</t>
        </is>
      </c>
      <c r="J125" s="11" t="inlineStr">
        <is>
          <t>Medium</t>
        </is>
      </c>
      <c r="K125" s="11" t="inlineStr">
        <is>
          <t>Major</t>
        </is>
      </c>
      <c r="L125" s="11" t="inlineStr">
        <is>
          <t>Script Ready</t>
        </is>
      </c>
      <c r="M125" s="12" t="inlineStr">
        <is>
          <t>Security Audit Sandbox</t>
        </is>
      </c>
      <c r="N125" s="12" t="inlineStr">
        <is>
          <t>Defensive Security Audit Engine</t>
        </is>
      </c>
      <c r="O125" s="12" t="inlineStr">
        <is>
          <t>Screen-specific baseline case for Today Workout &amp; Hero Banner Section</t>
        </is>
      </c>
    </row>
    <row r="126" ht="36" customHeight="1">
      <c r="A126" s="11" t="inlineStr">
        <is>
          <t>TC-125</t>
        </is>
      </c>
      <c r="B126" s="12" t="inlineStr">
        <is>
          <t>HeroCard</t>
        </is>
      </c>
      <c r="C126" s="12" t="inlineStr">
        <is>
          <t>Safe Vulnerability &amp; Security Checks</t>
        </is>
      </c>
      <c r="D126" s="12" t="inlineStr">
        <is>
          <t>Safe XSS Script Escaping Validation on Today Workout &amp; Hero Banner Section</t>
        </is>
      </c>
      <c r="E126" s="12" t="inlineStr">
        <is>
          <t>1. Launch test runner in Security Audit Sandbox.
2. Navigate to Today Workout &amp; Hero Banner Section (HeroCard).
3. Submit safe script payload `&lt;script&gt;alert(1)&lt;/script&gt;` into HeroCard fields.
4. Verify expected results and log evidence.</t>
        </is>
      </c>
      <c r="F126" s="12" t="inlineStr">
        <is>
          <t>Payload: `&lt;script&gt;alert(1)&lt;/script&gt;`</t>
        </is>
      </c>
      <c r="G126" s="12" t="inlineStr">
        <is>
          <t>Payload renders as plain text string; script does not execute.</t>
        </is>
      </c>
      <c r="H126" s="12" t="inlineStr">
        <is>
          <t>Pending Execution</t>
        </is>
      </c>
      <c r="I126" s="13" t="inlineStr">
        <is>
          <t>Not Executed</t>
        </is>
      </c>
      <c r="J126" s="11" t="inlineStr">
        <is>
          <t>Low</t>
        </is>
      </c>
      <c r="K126" s="11" t="inlineStr">
        <is>
          <t>Moderate</t>
        </is>
      </c>
      <c r="L126" s="11" t="inlineStr">
        <is>
          <t>Script Ready</t>
        </is>
      </c>
      <c r="M126" s="12" t="inlineStr">
        <is>
          <t>Security Audit Sandbox</t>
        </is>
      </c>
      <c r="N126" s="12" t="inlineStr">
        <is>
          <t>Defensive Security Audit Engine</t>
        </is>
      </c>
      <c r="O126" s="12" t="inlineStr">
        <is>
          <t>Screen-specific baseline case for Today Workout &amp; Hero Banner Section</t>
        </is>
      </c>
    </row>
    <row r="127" ht="36" customHeight="1">
      <c r="A127" s="11" t="inlineStr">
        <is>
          <t>TC-126</t>
        </is>
      </c>
      <c r="B127" s="12" t="inlineStr">
        <is>
          <t>HeroCard</t>
        </is>
      </c>
      <c r="C127" s="12" t="inlineStr">
        <is>
          <t>Safe Vulnerability &amp; Security Checks</t>
        </is>
      </c>
      <c r="D127" s="12" t="inlineStr">
        <is>
          <t>TLS 1.3 Transport Encryption Enforcement on Today Workout &amp; Hero Banner Section</t>
        </is>
      </c>
      <c r="E127" s="12" t="inlineStr">
        <is>
          <t>1. Launch test runner in Security Audit Sandbox.
2. Navigate to Today Workout &amp; Hero Banner Section (HeroCard).
3. Inspect outbound network traffic for HeroCard using passive OWASP proxy.
4. Verify expected results and log evidence.</t>
        </is>
      </c>
      <c r="F127" s="12" t="inlineStr">
        <is>
          <t>Protocol: TLS 1.3 / HTTPS</t>
        </is>
      </c>
      <c r="G127" s="12" t="inlineStr">
        <is>
          <t>All HTTP connections upgrade to TLS 1.3; unencrypted HTTP blocked.</t>
        </is>
      </c>
      <c r="H127" s="12" t="inlineStr">
        <is>
          <t>Pending Execution</t>
        </is>
      </c>
      <c r="I127" s="13" t="inlineStr">
        <is>
          <t>Not Executed</t>
        </is>
      </c>
      <c r="J127" s="11" t="inlineStr">
        <is>
          <t>High</t>
        </is>
      </c>
      <c r="K127" s="11" t="inlineStr">
        <is>
          <t>Critical</t>
        </is>
      </c>
      <c r="L127" s="11" t="inlineStr">
        <is>
          <t>Script Ready</t>
        </is>
      </c>
      <c r="M127" s="12" t="inlineStr">
        <is>
          <t>Security Audit Sandbox</t>
        </is>
      </c>
      <c r="N127" s="12" t="inlineStr">
        <is>
          <t>Defensive Security Audit Engine</t>
        </is>
      </c>
      <c r="O127" s="12" t="inlineStr">
        <is>
          <t>Screen-specific baseline case for Today Workout &amp; Hero Banner Section</t>
        </is>
      </c>
    </row>
    <row r="128" ht="36" customHeight="1">
      <c r="A128" s="11" t="inlineStr">
        <is>
          <t>TC-127</t>
        </is>
      </c>
      <c r="B128" s="12" t="inlineStr">
        <is>
          <t>HeroCard</t>
        </is>
      </c>
      <c r="C128" s="12" t="inlineStr">
        <is>
          <t>Safe Vulnerability &amp; Security Checks</t>
        </is>
      </c>
      <c r="D128" s="12" t="inlineStr">
        <is>
          <t>API Rate Limiting 429 Response Check on Today Workout &amp; Hero Banner Section</t>
        </is>
      </c>
      <c r="E128" s="12" t="inlineStr">
        <is>
          <t>1. Launch test runner in Security Audit Sandbox.
2. Navigate to Today Workout &amp; Hero Banner Section (HeroCard).
3. Send 100 rapid requests within 5 seconds to HeroCard public endpoints.
4. Verify expected results and log evidence.</t>
        </is>
      </c>
      <c r="F128" s="12" t="inlineStr">
        <is>
          <t>Requests: 100 in 5s</t>
        </is>
      </c>
      <c r="G128" s="12" t="inlineStr">
        <is>
          <t>Rate limiter triggers HTTP 429 Too Many Requests response.</t>
        </is>
      </c>
      <c r="H128" s="12" t="inlineStr">
        <is>
          <t>Pending Execution</t>
        </is>
      </c>
      <c r="I128" s="13" t="inlineStr">
        <is>
          <t>Not Executed</t>
        </is>
      </c>
      <c r="J128" s="11" t="inlineStr">
        <is>
          <t>Medium</t>
        </is>
      </c>
      <c r="K128" s="11" t="inlineStr">
        <is>
          <t>Moderate</t>
        </is>
      </c>
      <c r="L128" s="11" t="inlineStr">
        <is>
          <t>Script Ready</t>
        </is>
      </c>
      <c r="M128" s="12" t="inlineStr">
        <is>
          <t>Security Audit Sandbox</t>
        </is>
      </c>
      <c r="N128" s="12" t="inlineStr">
        <is>
          <t>Defensive Security Audit Engine</t>
        </is>
      </c>
      <c r="O128" s="12" t="inlineStr">
        <is>
          <t>Screen-specific baseline case for Today Workout &amp; Hero Banner Section</t>
        </is>
      </c>
    </row>
    <row r="129" ht="36" customHeight="1">
      <c r="A129" s="11" t="inlineStr">
        <is>
          <t>TC-128</t>
        </is>
      </c>
      <c r="B129" s="12" t="inlineStr">
        <is>
          <t>HeroCard</t>
        </is>
      </c>
      <c r="C129" s="12" t="inlineStr">
        <is>
          <t>Safe Vulnerability &amp; Security Checks</t>
        </is>
      </c>
      <c r="D129" s="12" t="inlineStr">
        <is>
          <t>Supabase Row Level Security (RLS) Audit on Today Workout &amp; Hero Banner Section</t>
        </is>
      </c>
      <c r="E129" s="12" t="inlineStr">
        <is>
          <t>1. Launch test runner in Security Audit Sandbox.
2. Navigate to Today Workout &amp; Hero Banner Section (HeroCard).
3. Query Supabase PostgreSQL table for HeroCard without auth header.
4. Verify expected results and log evidence.</t>
        </is>
      </c>
      <c r="F129" s="12" t="inlineStr">
        <is>
          <t>RLS Check: HeroCard_table</t>
        </is>
      </c>
      <c r="G129" s="12" t="inlineStr">
        <is>
          <t>Supabase RLS policy blocks unauthorized row query access.</t>
        </is>
      </c>
      <c r="H129" s="12" t="inlineStr">
        <is>
          <t>Pending Execution</t>
        </is>
      </c>
      <c r="I129" s="13" t="inlineStr">
        <is>
          <t>Not Executed</t>
        </is>
      </c>
      <c r="J129" s="11" t="inlineStr">
        <is>
          <t>Medium</t>
        </is>
      </c>
      <c r="K129" s="11" t="inlineStr">
        <is>
          <t>Major</t>
        </is>
      </c>
      <c r="L129" s="11" t="inlineStr">
        <is>
          <t>Script Ready</t>
        </is>
      </c>
      <c r="M129" s="12" t="inlineStr">
        <is>
          <t>Security Audit Sandbox</t>
        </is>
      </c>
      <c r="N129" s="12" t="inlineStr">
        <is>
          <t>Defensive Security Audit Engine</t>
        </is>
      </c>
      <c r="O129" s="12" t="inlineStr">
        <is>
          <t>Screen-specific baseline case for Today Workout &amp; Hero Banner Section</t>
        </is>
      </c>
    </row>
    <row r="130" ht="36" customHeight="1">
      <c r="A130" s="11" t="inlineStr">
        <is>
          <t>TC-129</t>
        </is>
      </c>
      <c r="B130" s="12" t="inlineStr">
        <is>
          <t>HeroCard</t>
        </is>
      </c>
      <c r="C130" s="12" t="inlineStr">
        <is>
          <t>Safe Vulnerability &amp; Security Checks</t>
        </is>
      </c>
      <c r="D130" s="12" t="inlineStr">
        <is>
          <t>Privileged Route Guard Verification on Today Workout &amp; Hero Banner Section</t>
        </is>
      </c>
      <c r="E130" s="12" t="inlineStr">
        <is>
          <t>1. Launch test runner in Security Audit Sandbox.
2. Navigate to Today Workout &amp; Hero Banner Section (HeroCard).
3. Attempt deep linking directly to restricted HeroCard view as unauthenticated user.
4. Verify expected results and log evidence.</t>
        </is>
      </c>
      <c r="F130" s="12" t="inlineStr">
        <is>
          <t>Route: /HeroCard_admin</t>
        </is>
      </c>
      <c r="G130" s="12" t="inlineStr">
        <is>
          <t>Router guard intercepts request and redirects to login screen.</t>
        </is>
      </c>
      <c r="H130" s="12" t="inlineStr">
        <is>
          <t>Pending Execution</t>
        </is>
      </c>
      <c r="I130" s="13" t="inlineStr">
        <is>
          <t>Not Executed</t>
        </is>
      </c>
      <c r="J130" s="11" t="inlineStr">
        <is>
          <t>High</t>
        </is>
      </c>
      <c r="K130" s="11" t="inlineStr">
        <is>
          <t>Moderate</t>
        </is>
      </c>
      <c r="L130" s="11" t="inlineStr">
        <is>
          <t>Script Ready</t>
        </is>
      </c>
      <c r="M130" s="12" t="inlineStr">
        <is>
          <t>Security Audit Sandbox</t>
        </is>
      </c>
      <c r="N130" s="12" t="inlineStr">
        <is>
          <t>Defensive Security Audit Engine</t>
        </is>
      </c>
      <c r="O130" s="12" t="inlineStr">
        <is>
          <t>Screen-specific baseline case for Today Workout &amp; Hero Banner Section</t>
        </is>
      </c>
    </row>
    <row r="131" ht="36" customHeight="1">
      <c r="A131" s="11" t="inlineStr">
        <is>
          <t>TC-130</t>
        </is>
      </c>
      <c r="B131" s="12" t="inlineStr">
        <is>
          <t>HeroCard</t>
        </is>
      </c>
      <c r="C131" s="12" t="inlineStr">
        <is>
          <t>Safe Vulnerability &amp; Security Checks</t>
        </is>
      </c>
      <c r="D131" s="12" t="inlineStr">
        <is>
          <t>Sensitive Data Masking &amp; Log Leak Check on Today Workout &amp; Hero Banner Section</t>
        </is>
      </c>
      <c r="E131" s="12" t="inlineStr">
        <is>
          <t>1. Launch test runner in Security Audit Sandbox.
2. Navigate to Today Workout &amp; Hero Banner Section (HeroCard).
3. Audit application log files and network payloads for exposed HeroCard secrets.
4. Verify expected results and log evidence.</t>
        </is>
      </c>
      <c r="F131" s="12" t="inlineStr">
        <is>
          <t>Audit: Password/Token fields</t>
        </is>
      </c>
      <c r="G131" s="12" t="inlineStr">
        <is>
          <t>Sensitive credentials and PII are masked or omitted from logs.</t>
        </is>
      </c>
      <c r="H131" s="12" t="inlineStr">
        <is>
          <t>Pending Execution</t>
        </is>
      </c>
      <c r="I131" s="13" t="inlineStr">
        <is>
          <t>Not Executed</t>
        </is>
      </c>
      <c r="J131" s="11" t="inlineStr">
        <is>
          <t>Low</t>
        </is>
      </c>
      <c r="K131" s="11" t="inlineStr">
        <is>
          <t>Major</t>
        </is>
      </c>
      <c r="L131" s="11" t="inlineStr">
        <is>
          <t>Script Ready</t>
        </is>
      </c>
      <c r="M131" s="12" t="inlineStr">
        <is>
          <t>Security Audit Sandbox</t>
        </is>
      </c>
      <c r="N131" s="12" t="inlineStr">
        <is>
          <t>Defensive Security Audit Engine</t>
        </is>
      </c>
      <c r="O131" s="12" t="inlineStr">
        <is>
          <t>Screen-specific baseline case for Today Workout &amp; Hero Banner Section</t>
        </is>
      </c>
    </row>
    <row r="132" ht="36" customHeight="1">
      <c r="A132" s="11" t="inlineStr">
        <is>
          <t>TC-131</t>
        </is>
      </c>
      <c r="B132" s="12" t="inlineStr">
        <is>
          <t>WorkoutDayCard</t>
        </is>
      </c>
      <c r="C132" s="12" t="inlineStr">
        <is>
          <t>Safe Vulnerability &amp; Security Checks</t>
        </is>
      </c>
      <c r="D132" s="12" t="inlineStr">
        <is>
          <t>Authentication Lockout &amp; Brute-Force on Daily Exercise Routine &amp; Set Tracking</t>
        </is>
      </c>
      <c r="E132" s="12" t="inlineStr">
        <is>
          <t>1. Launch test runner in Security Audit Sandbox.
2. Navigate to Daily Exercise Routine &amp; Set Tracking (WorkoutDayCard).
3. Attempt 10 invalid authentication requests on WorkoutDayCard in rapid succession.
4. Verify expected results and log evidence.</t>
        </is>
      </c>
      <c r="F132" s="12" t="inlineStr">
        <is>
          <t>Attempts: 10 invalid</t>
        </is>
      </c>
      <c r="G132" s="12" t="inlineStr">
        <is>
          <t>Account temporarily locks out after 5 failed attempts with 429 response.</t>
        </is>
      </c>
      <c r="H132" s="12" t="inlineStr">
        <is>
          <t>Pending Execution</t>
        </is>
      </c>
      <c r="I132" s="13" t="inlineStr">
        <is>
          <t>Not Executed</t>
        </is>
      </c>
      <c r="J132" s="11" t="inlineStr">
        <is>
          <t>Medium</t>
        </is>
      </c>
      <c r="K132" s="11" t="inlineStr">
        <is>
          <t>Moderate</t>
        </is>
      </c>
      <c r="L132" s="11" t="inlineStr">
        <is>
          <t>Script Ready</t>
        </is>
      </c>
      <c r="M132" s="12" t="inlineStr">
        <is>
          <t>Security Audit Sandbox</t>
        </is>
      </c>
      <c r="N132" s="12" t="inlineStr">
        <is>
          <t>Defensive Security Audit Engine</t>
        </is>
      </c>
      <c r="O132" s="12" t="inlineStr">
        <is>
          <t>Screen-specific baseline case for Daily Exercise Routine &amp; Set Tracking</t>
        </is>
      </c>
    </row>
    <row r="133" ht="36" customHeight="1">
      <c r="A133" s="11" t="inlineStr">
        <is>
          <t>TC-132</t>
        </is>
      </c>
      <c r="B133" s="12" t="inlineStr">
        <is>
          <t>WorkoutDayCard</t>
        </is>
      </c>
      <c r="C133" s="12" t="inlineStr">
        <is>
          <t>Safe Vulnerability &amp; Security Checks</t>
        </is>
      </c>
      <c r="D133" s="12" t="inlineStr">
        <is>
          <t>Role-Based Authorization &amp; IDOR Check on Daily Exercise Routine &amp; Set Tracking</t>
        </is>
      </c>
      <c r="E133" s="12" t="inlineStr">
        <is>
          <t>1. Launch test runner in Security Audit Sandbox.
2. Navigate to Daily Exercise Routine &amp; Set Tracking (WorkoutDayCard).
3. Attempt querying secondary user private records on WorkoutDayCard using guest JWT.
4. Verify expected results and log evidence.</t>
        </is>
      </c>
      <c r="F133" s="12" t="inlineStr">
        <is>
          <t>IDOR Payload: WorkoutDayCard_user_999</t>
        </is>
      </c>
      <c r="G133" s="12" t="inlineStr">
        <is>
          <t>Database and API reject request with HTTP 403 Forbidden.</t>
        </is>
      </c>
      <c r="H133" s="12" t="inlineStr">
        <is>
          <t>Pending Execution</t>
        </is>
      </c>
      <c r="I133" s="13" t="inlineStr">
        <is>
          <t>Not Executed</t>
        </is>
      </c>
      <c r="J133" s="11" t="inlineStr">
        <is>
          <t>High</t>
        </is>
      </c>
      <c r="K133" s="11" t="inlineStr">
        <is>
          <t>Major</t>
        </is>
      </c>
      <c r="L133" s="11" t="inlineStr">
        <is>
          <t>Script Ready</t>
        </is>
      </c>
      <c r="M133" s="12" t="inlineStr">
        <is>
          <t>Security Audit Sandbox</t>
        </is>
      </c>
      <c r="N133" s="12" t="inlineStr">
        <is>
          <t>Defensive Security Audit Engine</t>
        </is>
      </c>
      <c r="O133" s="12" t="inlineStr">
        <is>
          <t>Screen-specific baseline case for Daily Exercise Routine &amp; Set Tracking</t>
        </is>
      </c>
    </row>
    <row r="134" ht="36" customHeight="1">
      <c r="A134" s="11" t="inlineStr">
        <is>
          <t>TC-133</t>
        </is>
      </c>
      <c r="B134" s="12" t="inlineStr">
        <is>
          <t>WorkoutDayCard</t>
        </is>
      </c>
      <c r="C134" s="12" t="inlineStr">
        <is>
          <t>Safe Vulnerability &amp; Security Checks</t>
        </is>
      </c>
      <c r="D134" s="12" t="inlineStr">
        <is>
          <t>Session Token Expiration &amp; Revocation on Daily Exercise Routine &amp; Set Tracking</t>
        </is>
      </c>
      <c r="E134" s="12" t="inlineStr">
        <is>
          <t>1. Launch test runner in Security Audit Sandbox.
2. Navigate to Daily Exercise Routine &amp; Set Tracking (WorkoutDayCard).
3. Present expired JWT token to WorkoutDayCard API endpoint, attempt data fetch.
4. Verify expected results and log evidence.</t>
        </is>
      </c>
      <c r="F134" s="12" t="inlineStr">
        <is>
          <t>JWT Token: Expired/Revoked</t>
        </is>
      </c>
      <c r="G134" s="12" t="inlineStr">
        <is>
          <t>API gateway invalidates session and redirects to login view.</t>
        </is>
      </c>
      <c r="H134" s="12" t="inlineStr">
        <is>
          <t>Pending Execution</t>
        </is>
      </c>
      <c r="I134" s="13" t="inlineStr">
        <is>
          <t>Not Executed</t>
        </is>
      </c>
      <c r="J134" s="11" t="inlineStr">
        <is>
          <t>Medium</t>
        </is>
      </c>
      <c r="K134" s="11" t="inlineStr">
        <is>
          <t>Critical</t>
        </is>
      </c>
      <c r="L134" s="11" t="inlineStr">
        <is>
          <t>Script Ready</t>
        </is>
      </c>
      <c r="M134" s="12" t="inlineStr">
        <is>
          <t>Security Audit Sandbox</t>
        </is>
      </c>
      <c r="N134" s="12" t="inlineStr">
        <is>
          <t>Defensive Security Audit Engine</t>
        </is>
      </c>
      <c r="O134" s="12" t="inlineStr">
        <is>
          <t>Screen-specific baseline case for Daily Exercise Routine &amp; Set Tracking</t>
        </is>
      </c>
    </row>
    <row r="135" ht="36" customHeight="1">
      <c r="A135" s="11" t="inlineStr">
        <is>
          <t>TC-134</t>
        </is>
      </c>
      <c r="B135" s="12" t="inlineStr">
        <is>
          <t>WorkoutDayCard</t>
        </is>
      </c>
      <c r="C135" s="12" t="inlineStr">
        <is>
          <t>Safe Vulnerability &amp; Security Checks</t>
        </is>
      </c>
      <c r="D135" s="12" t="inlineStr">
        <is>
          <t>Safe SQL Injection Input Defense on Daily Exercise Routine &amp; Set Tracking</t>
        </is>
      </c>
      <c r="E135" s="12" t="inlineStr">
        <is>
          <t>1. Launch test runner in Security Audit Sandbox.
2. Navigate to Daily Exercise Routine &amp; Set Tracking (WorkoutDayCard).
3. Submit safe SQLi payload `' OR '1'='1` into text input fields on WorkoutDayCard.
4. Verify expected results and log evidence.</t>
        </is>
      </c>
      <c r="F135" s="12" t="inlineStr">
        <is>
          <t>Payload: `' OR '1'='1`</t>
        </is>
      </c>
      <c r="G135" s="12" t="inlineStr">
        <is>
          <t>Input is parameterized/escaped cleanly; no SQL error occurs.</t>
        </is>
      </c>
      <c r="H135" s="12" t="inlineStr">
        <is>
          <t>Pending Execution</t>
        </is>
      </c>
      <c r="I135" s="13" t="inlineStr">
        <is>
          <t>Not Executed</t>
        </is>
      </c>
      <c r="J135" s="11" t="inlineStr">
        <is>
          <t>Medium</t>
        </is>
      </c>
      <c r="K135" s="11" t="inlineStr">
        <is>
          <t>Major</t>
        </is>
      </c>
      <c r="L135" s="11" t="inlineStr">
        <is>
          <t>Script Ready</t>
        </is>
      </c>
      <c r="M135" s="12" t="inlineStr">
        <is>
          <t>Security Audit Sandbox</t>
        </is>
      </c>
      <c r="N135" s="12" t="inlineStr">
        <is>
          <t>Defensive Security Audit Engine</t>
        </is>
      </c>
      <c r="O135" s="12" t="inlineStr">
        <is>
          <t>Screen-specific baseline case for Daily Exercise Routine &amp; Set Tracking</t>
        </is>
      </c>
    </row>
    <row r="136" ht="36" customHeight="1">
      <c r="A136" s="11" t="inlineStr">
        <is>
          <t>TC-135</t>
        </is>
      </c>
      <c r="B136" s="12" t="inlineStr">
        <is>
          <t>WorkoutDayCard</t>
        </is>
      </c>
      <c r="C136" s="12" t="inlineStr">
        <is>
          <t>Safe Vulnerability &amp; Security Checks</t>
        </is>
      </c>
      <c r="D136" s="12" t="inlineStr">
        <is>
          <t>Safe XSS Script Escaping Validation on Daily Exercise Routine &amp; Set Tracking</t>
        </is>
      </c>
      <c r="E136" s="12" t="inlineStr">
        <is>
          <t>1. Launch test runner in Security Audit Sandbox.
2. Navigate to Daily Exercise Routine &amp; Set Tracking (WorkoutDayCard).
3. Submit safe script payload `&lt;script&gt;alert(1)&lt;/script&gt;` into WorkoutDayCard fields.
4. Verify expected results and log evidence.</t>
        </is>
      </c>
      <c r="F136" s="12" t="inlineStr">
        <is>
          <t>Payload: `&lt;script&gt;alert(1)&lt;/script&gt;`</t>
        </is>
      </c>
      <c r="G136" s="12" t="inlineStr">
        <is>
          <t>Payload renders as plain text string; script does not execute.</t>
        </is>
      </c>
      <c r="H136" s="12" t="inlineStr">
        <is>
          <t>Pending Execution</t>
        </is>
      </c>
      <c r="I136" s="13" t="inlineStr">
        <is>
          <t>Not Executed</t>
        </is>
      </c>
      <c r="J136" s="11" t="inlineStr">
        <is>
          <t>High</t>
        </is>
      </c>
      <c r="K136" s="11" t="inlineStr">
        <is>
          <t>Moderate</t>
        </is>
      </c>
      <c r="L136" s="11" t="inlineStr">
        <is>
          <t>Script Ready</t>
        </is>
      </c>
      <c r="M136" s="12" t="inlineStr">
        <is>
          <t>Security Audit Sandbox</t>
        </is>
      </c>
      <c r="N136" s="12" t="inlineStr">
        <is>
          <t>Defensive Security Audit Engine</t>
        </is>
      </c>
      <c r="O136" s="12" t="inlineStr">
        <is>
          <t>Screen-specific baseline case for Daily Exercise Routine &amp; Set Tracking</t>
        </is>
      </c>
    </row>
    <row r="137" ht="36" customHeight="1">
      <c r="A137" s="11" t="inlineStr">
        <is>
          <t>TC-136</t>
        </is>
      </c>
      <c r="B137" s="12" t="inlineStr">
        <is>
          <t>WorkoutDayCard</t>
        </is>
      </c>
      <c r="C137" s="12" t="inlineStr">
        <is>
          <t>Safe Vulnerability &amp; Security Checks</t>
        </is>
      </c>
      <c r="D137" s="12" t="inlineStr">
        <is>
          <t>TLS 1.3 Transport Encryption Enforcement on Daily Exercise Routine &amp; Set Tracking</t>
        </is>
      </c>
      <c r="E137" s="12" t="inlineStr">
        <is>
          <t>1. Launch test runner in Security Audit Sandbox.
2. Navigate to Daily Exercise Routine &amp; Set Tracking (WorkoutDayCard).
3. Inspect outbound network traffic for WorkoutDayCard using passive OWASP proxy.
4. Verify expected results and log evidence.</t>
        </is>
      </c>
      <c r="F137" s="12" t="inlineStr">
        <is>
          <t>Protocol: TLS 1.3 / HTTPS</t>
        </is>
      </c>
      <c r="G137" s="12" t="inlineStr">
        <is>
          <t>All HTTP connections upgrade to TLS 1.3; unencrypted HTTP blocked.</t>
        </is>
      </c>
      <c r="H137" s="12" t="inlineStr">
        <is>
          <t>Pending Execution</t>
        </is>
      </c>
      <c r="I137" s="13" t="inlineStr">
        <is>
          <t>Not Executed</t>
        </is>
      </c>
      <c r="J137" s="11" t="inlineStr">
        <is>
          <t>Medium</t>
        </is>
      </c>
      <c r="K137" s="11" t="inlineStr">
        <is>
          <t>Major</t>
        </is>
      </c>
      <c r="L137" s="11" t="inlineStr">
        <is>
          <t>Script Ready</t>
        </is>
      </c>
      <c r="M137" s="12" t="inlineStr">
        <is>
          <t>Security Audit Sandbox</t>
        </is>
      </c>
      <c r="N137" s="12" t="inlineStr">
        <is>
          <t>Defensive Security Audit Engine</t>
        </is>
      </c>
      <c r="O137" s="12" t="inlineStr">
        <is>
          <t>Screen-specific baseline case for Daily Exercise Routine &amp; Set Tracking</t>
        </is>
      </c>
    </row>
    <row r="138" ht="36" customHeight="1">
      <c r="A138" s="11" t="inlineStr">
        <is>
          <t>TC-137</t>
        </is>
      </c>
      <c r="B138" s="12" t="inlineStr">
        <is>
          <t>WorkoutDayCard</t>
        </is>
      </c>
      <c r="C138" s="12" t="inlineStr">
        <is>
          <t>Safe Vulnerability &amp; Security Checks</t>
        </is>
      </c>
      <c r="D138" s="12" t="inlineStr">
        <is>
          <t>API Rate Limiting 429 Response Check on Daily Exercise Routine &amp; Set Tracking</t>
        </is>
      </c>
      <c r="E138" s="12" t="inlineStr">
        <is>
          <t>1. Launch test runner in Security Audit Sandbox.
2. Navigate to Daily Exercise Routine &amp; Set Tracking (WorkoutDayCard).
3. Send 100 rapid requests within 5 seconds to WorkoutDayCard public endpoints.
4. Verify expected results and log evidence.</t>
        </is>
      </c>
      <c r="F138" s="12" t="inlineStr">
        <is>
          <t>Requests: 100 in 5s</t>
        </is>
      </c>
      <c r="G138" s="12" t="inlineStr">
        <is>
          <t>Rate limiter triggers HTTP 429 Too Many Requests response.</t>
        </is>
      </c>
      <c r="H138" s="12" t="inlineStr">
        <is>
          <t>Pending Execution</t>
        </is>
      </c>
      <c r="I138" s="13" t="inlineStr">
        <is>
          <t>Not Executed</t>
        </is>
      </c>
      <c r="J138" s="11" t="inlineStr">
        <is>
          <t>Medium</t>
        </is>
      </c>
      <c r="K138" s="11" t="inlineStr">
        <is>
          <t>Moderate</t>
        </is>
      </c>
      <c r="L138" s="11" t="inlineStr">
        <is>
          <t>Script Ready</t>
        </is>
      </c>
      <c r="M138" s="12" t="inlineStr">
        <is>
          <t>Security Audit Sandbox</t>
        </is>
      </c>
      <c r="N138" s="12" t="inlineStr">
        <is>
          <t>Defensive Security Audit Engine</t>
        </is>
      </c>
      <c r="O138" s="12" t="inlineStr">
        <is>
          <t>Screen-specific baseline case for Daily Exercise Routine &amp; Set Tracking</t>
        </is>
      </c>
    </row>
    <row r="139" ht="36" customHeight="1">
      <c r="A139" s="11" t="inlineStr">
        <is>
          <t>TC-138</t>
        </is>
      </c>
      <c r="B139" s="12" t="inlineStr">
        <is>
          <t>WorkoutDayCard</t>
        </is>
      </c>
      <c r="C139" s="12" t="inlineStr">
        <is>
          <t>Safe Vulnerability &amp; Security Checks</t>
        </is>
      </c>
      <c r="D139" s="12" t="inlineStr">
        <is>
          <t>Supabase Row Level Security (RLS) Audit on Daily Exercise Routine &amp; Set Tracking</t>
        </is>
      </c>
      <c r="E139" s="12" t="inlineStr">
        <is>
          <t>1. Launch test runner in Security Audit Sandbox.
2. Navigate to Daily Exercise Routine &amp; Set Tracking (WorkoutDayCard).
3. Query Supabase PostgreSQL table for WorkoutDayCard without auth header.
4. Verify expected results and log evidence.</t>
        </is>
      </c>
      <c r="F139" s="12" t="inlineStr">
        <is>
          <t>RLS Check: WorkoutDayCard_table</t>
        </is>
      </c>
      <c r="G139" s="12" t="inlineStr">
        <is>
          <t>Supabase RLS policy blocks unauthorized row query access.</t>
        </is>
      </c>
      <c r="H139" s="12" t="inlineStr">
        <is>
          <t>Pending Execution</t>
        </is>
      </c>
      <c r="I139" s="13" t="inlineStr">
        <is>
          <t>Not Executed</t>
        </is>
      </c>
      <c r="J139" s="11" t="inlineStr">
        <is>
          <t>High</t>
        </is>
      </c>
      <c r="K139" s="11" t="inlineStr">
        <is>
          <t>Major</t>
        </is>
      </c>
      <c r="L139" s="11" t="inlineStr">
        <is>
          <t>Script Ready</t>
        </is>
      </c>
      <c r="M139" s="12" t="inlineStr">
        <is>
          <t>Security Audit Sandbox</t>
        </is>
      </c>
      <c r="N139" s="12" t="inlineStr">
        <is>
          <t>Defensive Security Audit Engine</t>
        </is>
      </c>
      <c r="O139" s="12" t="inlineStr">
        <is>
          <t>Screen-specific baseline case for Daily Exercise Routine &amp; Set Tracking</t>
        </is>
      </c>
    </row>
    <row r="140" ht="36" customHeight="1">
      <c r="A140" s="11" t="inlineStr">
        <is>
          <t>TC-139</t>
        </is>
      </c>
      <c r="B140" s="12" t="inlineStr">
        <is>
          <t>WorkoutDayCard</t>
        </is>
      </c>
      <c r="C140" s="12" t="inlineStr">
        <is>
          <t>Safe Vulnerability &amp; Security Checks</t>
        </is>
      </c>
      <c r="D140" s="12" t="inlineStr">
        <is>
          <t>Privileged Route Guard Verification on Daily Exercise Routine &amp; Set Tracking</t>
        </is>
      </c>
      <c r="E140" s="12" t="inlineStr">
        <is>
          <t>1. Launch test runner in Security Audit Sandbox.
2. Navigate to Daily Exercise Routine &amp; Set Tracking (WorkoutDayCard).
3. Attempt deep linking directly to restricted WorkoutDayCard view as unauthenticated user.
4. Verify expected results and log evidence.</t>
        </is>
      </c>
      <c r="F140" s="12" t="inlineStr">
        <is>
          <t>Route: /WorkoutDayCard_admin</t>
        </is>
      </c>
      <c r="G140" s="12" t="inlineStr">
        <is>
          <t>Router guard intercepts request and redirects to login screen.</t>
        </is>
      </c>
      <c r="H140" s="12" t="inlineStr">
        <is>
          <t>Pending Execution</t>
        </is>
      </c>
      <c r="I140" s="13" t="inlineStr">
        <is>
          <t>Not Executed</t>
        </is>
      </c>
      <c r="J140" s="11" t="inlineStr">
        <is>
          <t>Medium</t>
        </is>
      </c>
      <c r="K140" s="11" t="inlineStr">
        <is>
          <t>Moderate</t>
        </is>
      </c>
      <c r="L140" s="11" t="inlineStr">
        <is>
          <t>Script Ready</t>
        </is>
      </c>
      <c r="M140" s="12" t="inlineStr">
        <is>
          <t>Security Audit Sandbox</t>
        </is>
      </c>
      <c r="N140" s="12" t="inlineStr">
        <is>
          <t>Defensive Security Audit Engine</t>
        </is>
      </c>
      <c r="O140" s="12" t="inlineStr">
        <is>
          <t>Screen-specific baseline case for Daily Exercise Routine &amp; Set Tracking</t>
        </is>
      </c>
    </row>
    <row r="141" ht="36" customHeight="1">
      <c r="A141" s="11" t="inlineStr">
        <is>
          <t>TC-140</t>
        </is>
      </c>
      <c r="B141" s="12" t="inlineStr">
        <is>
          <t>WorkoutDayCard</t>
        </is>
      </c>
      <c r="C141" s="12" t="inlineStr">
        <is>
          <t>Safe Vulnerability &amp; Security Checks</t>
        </is>
      </c>
      <c r="D141" s="12" t="inlineStr">
        <is>
          <t>Sensitive Data Masking &amp; Log Leak Check on Daily Exercise Routine &amp; Set Tracking</t>
        </is>
      </c>
      <c r="E141" s="12" t="inlineStr">
        <is>
          <t>1. Launch test runner in Security Audit Sandbox.
2. Navigate to Daily Exercise Routine &amp; Set Tracking (WorkoutDayCard).
3. Audit application log files and network payloads for exposed WorkoutDayCard secrets.
4. Verify expected results and log evidence.</t>
        </is>
      </c>
      <c r="F141" s="12" t="inlineStr">
        <is>
          <t>Audit: Password/Token fields</t>
        </is>
      </c>
      <c r="G141" s="12" t="inlineStr">
        <is>
          <t>Sensitive credentials and PII are masked or omitted from logs.</t>
        </is>
      </c>
      <c r="H141" s="12" t="inlineStr">
        <is>
          <t>Pending Execution</t>
        </is>
      </c>
      <c r="I141" s="13" t="inlineStr">
        <is>
          <t>Not Executed</t>
        </is>
      </c>
      <c r="J141" s="11" t="inlineStr">
        <is>
          <t>Low</t>
        </is>
      </c>
      <c r="K141" s="11" t="inlineStr">
        <is>
          <t>Critical</t>
        </is>
      </c>
      <c r="L141" s="11" t="inlineStr">
        <is>
          <t>Script Ready</t>
        </is>
      </c>
      <c r="M141" s="12" t="inlineStr">
        <is>
          <t>Security Audit Sandbox</t>
        </is>
      </c>
      <c r="N141" s="12" t="inlineStr">
        <is>
          <t>Defensive Security Audit Engine</t>
        </is>
      </c>
      <c r="O141" s="12" t="inlineStr">
        <is>
          <t>Screen-specific baseline case for Daily Exercise Routine &amp; Set Tracking</t>
        </is>
      </c>
    </row>
    <row r="142" ht="36" customHeight="1">
      <c r="A142" s="11" t="inlineStr">
        <is>
          <t>TC-141</t>
        </is>
      </c>
      <c r="B142" s="12" t="inlineStr">
        <is>
          <t>WarmupCard</t>
        </is>
      </c>
      <c r="C142" s="12" t="inlineStr">
        <is>
          <t>Safe Vulnerability &amp; Security Checks</t>
        </is>
      </c>
      <c r="D142" s="12" t="inlineStr">
        <is>
          <t>Authentication Lockout &amp; Brute-Force on Stretching &amp; Warm-up Routine View</t>
        </is>
      </c>
      <c r="E142" s="12" t="inlineStr">
        <is>
          <t>1. Launch test runner in Security Audit Sandbox.
2. Navigate to Stretching &amp; Warm-up Routine View (WarmupCard).
3. Attempt 10 invalid authentication requests on WarmupCard in rapid succession.
4. Verify expected results and log evidence.</t>
        </is>
      </c>
      <c r="F142" s="12" t="inlineStr">
        <is>
          <t>Attempts: 10 invalid</t>
        </is>
      </c>
      <c r="G142" s="12" t="inlineStr">
        <is>
          <t>Account temporarily locks out after 5 failed attempts with 429 response.</t>
        </is>
      </c>
      <c r="H142" s="12" t="inlineStr">
        <is>
          <t>Pending Execution</t>
        </is>
      </c>
      <c r="I142" s="13" t="inlineStr">
        <is>
          <t>Not Executed</t>
        </is>
      </c>
      <c r="J142" s="11" t="inlineStr">
        <is>
          <t>High</t>
        </is>
      </c>
      <c r="K142" s="11" t="inlineStr">
        <is>
          <t>Moderate</t>
        </is>
      </c>
      <c r="L142" s="11" t="inlineStr">
        <is>
          <t>Script Ready</t>
        </is>
      </c>
      <c r="M142" s="12" t="inlineStr">
        <is>
          <t>Security Audit Sandbox</t>
        </is>
      </c>
      <c r="N142" s="12" t="inlineStr">
        <is>
          <t>Defensive Security Audit Engine</t>
        </is>
      </c>
      <c r="O142" s="12" t="inlineStr">
        <is>
          <t>Screen-specific baseline case for Stretching &amp; Warm-up Routine View</t>
        </is>
      </c>
    </row>
    <row r="143" ht="36" customHeight="1">
      <c r="A143" s="11" t="inlineStr">
        <is>
          <t>TC-142</t>
        </is>
      </c>
      <c r="B143" s="12" t="inlineStr">
        <is>
          <t>WarmupCard</t>
        </is>
      </c>
      <c r="C143" s="12" t="inlineStr">
        <is>
          <t>Safe Vulnerability &amp; Security Checks</t>
        </is>
      </c>
      <c r="D143" s="12" t="inlineStr">
        <is>
          <t>Role-Based Authorization &amp; IDOR Check on Stretching &amp; Warm-up Routine View</t>
        </is>
      </c>
      <c r="E143" s="12" t="inlineStr">
        <is>
          <t>1. Launch test runner in Security Audit Sandbox.
2. Navigate to Stretching &amp; Warm-up Routine View (WarmupCard).
3. Attempt querying secondary user private records on WarmupCard using guest JWT.
4. Verify expected results and log evidence.</t>
        </is>
      </c>
      <c r="F143" s="12" t="inlineStr">
        <is>
          <t>IDOR Payload: WarmupCard_user_999</t>
        </is>
      </c>
      <c r="G143" s="12" t="inlineStr">
        <is>
          <t>Database and API reject request with HTTP 403 Forbidden.</t>
        </is>
      </c>
      <c r="H143" s="12" t="inlineStr">
        <is>
          <t>Pending Execution</t>
        </is>
      </c>
      <c r="I143" s="13" t="inlineStr">
        <is>
          <t>Not Executed</t>
        </is>
      </c>
      <c r="J143" s="11" t="inlineStr">
        <is>
          <t>Medium</t>
        </is>
      </c>
      <c r="K143" s="11" t="inlineStr">
        <is>
          <t>Major</t>
        </is>
      </c>
      <c r="L143" s="11" t="inlineStr">
        <is>
          <t>Script Ready</t>
        </is>
      </c>
      <c r="M143" s="12" t="inlineStr">
        <is>
          <t>Security Audit Sandbox</t>
        </is>
      </c>
      <c r="N143" s="12" t="inlineStr">
        <is>
          <t>Defensive Security Audit Engine</t>
        </is>
      </c>
      <c r="O143" s="12" t="inlineStr">
        <is>
          <t>Screen-specific baseline case for Stretching &amp; Warm-up Routine View</t>
        </is>
      </c>
    </row>
    <row r="144" ht="36" customHeight="1">
      <c r="A144" s="11" t="inlineStr">
        <is>
          <t>TC-143</t>
        </is>
      </c>
      <c r="B144" s="12" t="inlineStr">
        <is>
          <t>WarmupCard</t>
        </is>
      </c>
      <c r="C144" s="12" t="inlineStr">
        <is>
          <t>Safe Vulnerability &amp; Security Checks</t>
        </is>
      </c>
      <c r="D144" s="12" t="inlineStr">
        <is>
          <t>Session Token Expiration &amp; Revocation on Stretching &amp; Warm-up Routine View</t>
        </is>
      </c>
      <c r="E144" s="12" t="inlineStr">
        <is>
          <t>1. Launch test runner in Security Audit Sandbox.
2. Navigate to Stretching &amp; Warm-up Routine View (WarmupCard).
3. Present expired JWT token to WarmupCard API endpoint, attempt data fetch.
4. Verify expected results and log evidence.</t>
        </is>
      </c>
      <c r="F144" s="12" t="inlineStr">
        <is>
          <t>JWT Token: Expired/Revoked</t>
        </is>
      </c>
      <c r="G144" s="12" t="inlineStr">
        <is>
          <t>API gateway invalidates session and redirects to login view.</t>
        </is>
      </c>
      <c r="H144" s="12" t="inlineStr">
        <is>
          <t>Pending Execution</t>
        </is>
      </c>
      <c r="I144" s="13" t="inlineStr">
        <is>
          <t>Not Executed</t>
        </is>
      </c>
      <c r="J144" s="11" t="inlineStr">
        <is>
          <t>Medium</t>
        </is>
      </c>
      <c r="K144" s="11" t="inlineStr">
        <is>
          <t>Moderate</t>
        </is>
      </c>
      <c r="L144" s="11" t="inlineStr">
        <is>
          <t>Script Ready</t>
        </is>
      </c>
      <c r="M144" s="12" t="inlineStr">
        <is>
          <t>Security Audit Sandbox</t>
        </is>
      </c>
      <c r="N144" s="12" t="inlineStr">
        <is>
          <t>Defensive Security Audit Engine</t>
        </is>
      </c>
      <c r="O144" s="12" t="inlineStr">
        <is>
          <t>Screen-specific baseline case for Stretching &amp; Warm-up Routine View</t>
        </is>
      </c>
    </row>
    <row r="145" ht="36" customHeight="1">
      <c r="A145" s="11" t="inlineStr">
        <is>
          <t>TC-144</t>
        </is>
      </c>
      <c r="B145" s="12" t="inlineStr">
        <is>
          <t>WarmupCard</t>
        </is>
      </c>
      <c r="C145" s="12" t="inlineStr">
        <is>
          <t>Safe Vulnerability &amp; Security Checks</t>
        </is>
      </c>
      <c r="D145" s="12" t="inlineStr">
        <is>
          <t>Safe SQL Injection Input Defense on Stretching &amp; Warm-up Routine View</t>
        </is>
      </c>
      <c r="E145" s="12" t="inlineStr">
        <is>
          <t>1. Launch test runner in Security Audit Sandbox.
2. Navigate to Stretching &amp; Warm-up Routine View (WarmupCard).
3. Submit safe SQLi payload `' OR '1'='1` into text input fields on WarmupCard.
4. Verify expected results and log evidence.</t>
        </is>
      </c>
      <c r="F145" s="12" t="inlineStr">
        <is>
          <t>Payload: `' OR '1'='1`</t>
        </is>
      </c>
      <c r="G145" s="12" t="inlineStr">
        <is>
          <t>Input is parameterized/escaped cleanly; no SQL error occurs.</t>
        </is>
      </c>
      <c r="H145" s="12" t="inlineStr">
        <is>
          <t>Pending Execution</t>
        </is>
      </c>
      <c r="I145" s="13" t="inlineStr">
        <is>
          <t>Not Executed</t>
        </is>
      </c>
      <c r="J145" s="11" t="inlineStr">
        <is>
          <t>High</t>
        </is>
      </c>
      <c r="K145" s="11" t="inlineStr">
        <is>
          <t>Major</t>
        </is>
      </c>
      <c r="L145" s="11" t="inlineStr">
        <is>
          <t>Script Ready</t>
        </is>
      </c>
      <c r="M145" s="12" t="inlineStr">
        <is>
          <t>Security Audit Sandbox</t>
        </is>
      </c>
      <c r="N145" s="12" t="inlineStr">
        <is>
          <t>Defensive Security Audit Engine</t>
        </is>
      </c>
      <c r="O145" s="12" t="inlineStr">
        <is>
          <t>Screen-specific baseline case for Stretching &amp; Warm-up Routine View</t>
        </is>
      </c>
    </row>
    <row r="146" ht="36" customHeight="1">
      <c r="A146" s="11" t="inlineStr">
        <is>
          <t>TC-145</t>
        </is>
      </c>
      <c r="B146" s="12" t="inlineStr">
        <is>
          <t>WarmupCard</t>
        </is>
      </c>
      <c r="C146" s="12" t="inlineStr">
        <is>
          <t>Safe Vulnerability &amp; Security Checks</t>
        </is>
      </c>
      <c r="D146" s="12" t="inlineStr">
        <is>
          <t>Safe XSS Script Escaping Validation on Stretching &amp; Warm-up Routine View</t>
        </is>
      </c>
      <c r="E146" s="12" t="inlineStr">
        <is>
          <t>1. Launch test runner in Security Audit Sandbox.
2. Navigate to Stretching &amp; Warm-up Routine View (WarmupCard).
3. Submit safe script payload `&lt;script&gt;alert(1)&lt;/script&gt;` into WarmupCard fields.
4. Verify expected results and log evidence.</t>
        </is>
      </c>
      <c r="F146" s="12" t="inlineStr">
        <is>
          <t>Payload: `&lt;script&gt;alert(1)&lt;/script&gt;`</t>
        </is>
      </c>
      <c r="G146" s="12" t="inlineStr">
        <is>
          <t>Payload renders as plain text string; script does not execute.</t>
        </is>
      </c>
      <c r="H146" s="12" t="inlineStr">
        <is>
          <t>Pending Execution</t>
        </is>
      </c>
      <c r="I146" s="13" t="inlineStr">
        <is>
          <t>Not Executed</t>
        </is>
      </c>
      <c r="J146" s="11" t="inlineStr">
        <is>
          <t>Low</t>
        </is>
      </c>
      <c r="K146" s="11" t="inlineStr">
        <is>
          <t>Moderate</t>
        </is>
      </c>
      <c r="L146" s="11" t="inlineStr">
        <is>
          <t>Script Ready</t>
        </is>
      </c>
      <c r="M146" s="12" t="inlineStr">
        <is>
          <t>Security Audit Sandbox</t>
        </is>
      </c>
      <c r="N146" s="12" t="inlineStr">
        <is>
          <t>Defensive Security Audit Engine</t>
        </is>
      </c>
      <c r="O146" s="12" t="inlineStr">
        <is>
          <t>Screen-specific baseline case for Stretching &amp; Warm-up Routine View</t>
        </is>
      </c>
    </row>
    <row r="147" ht="36" customHeight="1">
      <c r="A147" s="11" t="inlineStr">
        <is>
          <t>TC-146</t>
        </is>
      </c>
      <c r="B147" s="12" t="inlineStr">
        <is>
          <t>WarmupCard</t>
        </is>
      </c>
      <c r="C147" s="12" t="inlineStr">
        <is>
          <t>Safe Vulnerability &amp; Security Checks</t>
        </is>
      </c>
      <c r="D147" s="12" t="inlineStr">
        <is>
          <t>TLS 1.3 Transport Encryption Enforcement on Stretching &amp; Warm-up Routine View</t>
        </is>
      </c>
      <c r="E147" s="12" t="inlineStr">
        <is>
          <t>1. Launch test runner in Security Audit Sandbox.
2. Navigate to Stretching &amp; Warm-up Routine View (WarmupCard).
3. Inspect outbound network traffic for WarmupCard using passive OWASP proxy.
4. Verify expected results and log evidence.</t>
        </is>
      </c>
      <c r="F147" s="12" t="inlineStr">
        <is>
          <t>Protocol: TLS 1.3 / HTTPS</t>
        </is>
      </c>
      <c r="G147" s="12" t="inlineStr">
        <is>
          <t>All HTTP connections upgrade to TLS 1.3; unencrypted HTTP blocked.</t>
        </is>
      </c>
      <c r="H147" s="12" t="inlineStr">
        <is>
          <t>Pending Execution</t>
        </is>
      </c>
      <c r="I147" s="13" t="inlineStr">
        <is>
          <t>Not Executed</t>
        </is>
      </c>
      <c r="J147" s="11" t="inlineStr">
        <is>
          <t>Medium</t>
        </is>
      </c>
      <c r="K147" s="11" t="inlineStr">
        <is>
          <t>Major</t>
        </is>
      </c>
      <c r="L147" s="11" t="inlineStr">
        <is>
          <t>Script Ready</t>
        </is>
      </c>
      <c r="M147" s="12" t="inlineStr">
        <is>
          <t>Security Audit Sandbox</t>
        </is>
      </c>
      <c r="N147" s="12" t="inlineStr">
        <is>
          <t>Defensive Security Audit Engine</t>
        </is>
      </c>
      <c r="O147" s="12" t="inlineStr">
        <is>
          <t>Screen-specific baseline case for Stretching &amp; Warm-up Routine View</t>
        </is>
      </c>
    </row>
    <row r="148" ht="36" customHeight="1">
      <c r="A148" s="11" t="inlineStr">
        <is>
          <t>TC-147</t>
        </is>
      </c>
      <c r="B148" s="12" t="inlineStr">
        <is>
          <t>WarmupCard</t>
        </is>
      </c>
      <c r="C148" s="12" t="inlineStr">
        <is>
          <t>Safe Vulnerability &amp; Security Checks</t>
        </is>
      </c>
      <c r="D148" s="12" t="inlineStr">
        <is>
          <t>API Rate Limiting 429 Response Check on Stretching &amp; Warm-up Routine View</t>
        </is>
      </c>
      <c r="E148" s="12" t="inlineStr">
        <is>
          <t>1. Launch test runner in Security Audit Sandbox.
2. Navigate to Stretching &amp; Warm-up Routine View (WarmupCard).
3. Send 100 rapid requests within 5 seconds to WarmupCard public endpoints.
4. Verify expected results and log evidence.</t>
        </is>
      </c>
      <c r="F148" s="12" t="inlineStr">
        <is>
          <t>Requests: 100 in 5s</t>
        </is>
      </c>
      <c r="G148" s="12" t="inlineStr">
        <is>
          <t>Rate limiter triggers HTTP 429 Too Many Requests response.</t>
        </is>
      </c>
      <c r="H148" s="12" t="inlineStr">
        <is>
          <t>Pending Execution</t>
        </is>
      </c>
      <c r="I148" s="13" t="inlineStr">
        <is>
          <t>Not Executed</t>
        </is>
      </c>
      <c r="J148" s="11" t="inlineStr">
        <is>
          <t>High</t>
        </is>
      </c>
      <c r="K148" s="11" t="inlineStr">
        <is>
          <t>Critical</t>
        </is>
      </c>
      <c r="L148" s="11" t="inlineStr">
        <is>
          <t>Script Ready</t>
        </is>
      </c>
      <c r="M148" s="12" t="inlineStr">
        <is>
          <t>Security Audit Sandbox</t>
        </is>
      </c>
      <c r="N148" s="12" t="inlineStr">
        <is>
          <t>Defensive Security Audit Engine</t>
        </is>
      </c>
      <c r="O148" s="12" t="inlineStr">
        <is>
          <t>Screen-specific baseline case for Stretching &amp; Warm-up Routine View</t>
        </is>
      </c>
    </row>
    <row r="149" ht="36" customHeight="1">
      <c r="A149" s="11" t="inlineStr">
        <is>
          <t>TC-148</t>
        </is>
      </c>
      <c r="B149" s="12" t="inlineStr">
        <is>
          <t>WarmupCard</t>
        </is>
      </c>
      <c r="C149" s="12" t="inlineStr">
        <is>
          <t>Safe Vulnerability &amp; Security Checks</t>
        </is>
      </c>
      <c r="D149" s="12" t="inlineStr">
        <is>
          <t>Supabase Row Level Security (RLS) Audit on Stretching &amp; Warm-up Routine View</t>
        </is>
      </c>
      <c r="E149" s="12" t="inlineStr">
        <is>
          <t>1. Launch test runner in Security Audit Sandbox.
2. Navigate to Stretching &amp; Warm-up Routine View (WarmupCard).
3. Query Supabase PostgreSQL table for WarmupCard without auth header.
4. Verify expected results and log evidence.</t>
        </is>
      </c>
      <c r="F149" s="12" t="inlineStr">
        <is>
          <t>RLS Check: WarmupCard_table</t>
        </is>
      </c>
      <c r="G149" s="12" t="inlineStr">
        <is>
          <t>Supabase RLS policy blocks unauthorized row query access.</t>
        </is>
      </c>
      <c r="H149" s="12" t="inlineStr">
        <is>
          <t>Pending Execution</t>
        </is>
      </c>
      <c r="I149" s="13" t="inlineStr">
        <is>
          <t>Not Executed</t>
        </is>
      </c>
      <c r="J149" s="11" t="inlineStr">
        <is>
          <t>Medium</t>
        </is>
      </c>
      <c r="K149" s="11" t="inlineStr">
        <is>
          <t>Major</t>
        </is>
      </c>
      <c r="L149" s="11" t="inlineStr">
        <is>
          <t>Script Ready</t>
        </is>
      </c>
      <c r="M149" s="12" t="inlineStr">
        <is>
          <t>Security Audit Sandbox</t>
        </is>
      </c>
      <c r="N149" s="12" t="inlineStr">
        <is>
          <t>Defensive Security Audit Engine</t>
        </is>
      </c>
      <c r="O149" s="12" t="inlineStr">
        <is>
          <t>Screen-specific baseline case for Stretching &amp; Warm-up Routine View</t>
        </is>
      </c>
    </row>
    <row r="150" ht="36" customHeight="1">
      <c r="A150" s="11" t="inlineStr">
        <is>
          <t>TC-149</t>
        </is>
      </c>
      <c r="B150" s="12" t="inlineStr">
        <is>
          <t>WarmupCard</t>
        </is>
      </c>
      <c r="C150" s="12" t="inlineStr">
        <is>
          <t>Safe Vulnerability &amp; Security Checks</t>
        </is>
      </c>
      <c r="D150" s="12" t="inlineStr">
        <is>
          <t>Privileged Route Guard Verification on Stretching &amp; Warm-up Routine View</t>
        </is>
      </c>
      <c r="E150" s="12" t="inlineStr">
        <is>
          <t>1. Launch test runner in Security Audit Sandbox.
2. Navigate to Stretching &amp; Warm-up Routine View (WarmupCard).
3. Attempt deep linking directly to restricted WarmupCard view as unauthenticated user.
4. Verify expected results and log evidence.</t>
        </is>
      </c>
      <c r="F150" s="12" t="inlineStr">
        <is>
          <t>Route: /WarmupCard_admin</t>
        </is>
      </c>
      <c r="G150" s="12" t="inlineStr">
        <is>
          <t>Router guard intercepts request and redirects to login screen.</t>
        </is>
      </c>
      <c r="H150" s="12" t="inlineStr">
        <is>
          <t>Pending Execution</t>
        </is>
      </c>
      <c r="I150" s="13" t="inlineStr">
        <is>
          <t>Not Executed</t>
        </is>
      </c>
      <c r="J150" s="11" t="inlineStr">
        <is>
          <t>Medium</t>
        </is>
      </c>
      <c r="K150" s="11" t="inlineStr">
        <is>
          <t>Moderate</t>
        </is>
      </c>
      <c r="L150" s="11" t="inlineStr">
        <is>
          <t>Script Ready</t>
        </is>
      </c>
      <c r="M150" s="12" t="inlineStr">
        <is>
          <t>Security Audit Sandbox</t>
        </is>
      </c>
      <c r="N150" s="12" t="inlineStr">
        <is>
          <t>Defensive Security Audit Engine</t>
        </is>
      </c>
      <c r="O150" s="12" t="inlineStr">
        <is>
          <t>Screen-specific baseline case for Stretching &amp; Warm-up Routine View</t>
        </is>
      </c>
    </row>
    <row r="151" ht="36" customHeight="1">
      <c r="A151" s="11" t="inlineStr">
        <is>
          <t>TC-150</t>
        </is>
      </c>
      <c r="B151" s="12" t="inlineStr">
        <is>
          <t>WarmupCard</t>
        </is>
      </c>
      <c r="C151" s="12" t="inlineStr">
        <is>
          <t>Safe Vulnerability &amp; Security Checks</t>
        </is>
      </c>
      <c r="D151" s="12" t="inlineStr">
        <is>
          <t>Sensitive Data Masking &amp; Log Leak Check on Stretching &amp; Warm-up Routine View</t>
        </is>
      </c>
      <c r="E151" s="12" t="inlineStr">
        <is>
          <t>1. Launch test runner in Security Audit Sandbox.
2. Navigate to Stretching &amp; Warm-up Routine View (WarmupCard).
3. Audit application log files and network payloads for exposed WarmupCard secrets.
4. Verify expected results and log evidence.</t>
        </is>
      </c>
      <c r="F151" s="12" t="inlineStr">
        <is>
          <t>Audit: Password/Token fields</t>
        </is>
      </c>
      <c r="G151" s="12" t="inlineStr">
        <is>
          <t>Sensitive credentials and PII are masked or omitted from logs.</t>
        </is>
      </c>
      <c r="H151" s="12" t="inlineStr">
        <is>
          <t>Pending Execution</t>
        </is>
      </c>
      <c r="I151" s="13" t="inlineStr">
        <is>
          <t>Not Executed</t>
        </is>
      </c>
      <c r="J151" s="11" t="inlineStr">
        <is>
          <t>High</t>
        </is>
      </c>
      <c r="K151" s="11" t="inlineStr">
        <is>
          <t>Major</t>
        </is>
      </c>
      <c r="L151" s="11" t="inlineStr">
        <is>
          <t>Script Ready</t>
        </is>
      </c>
      <c r="M151" s="12" t="inlineStr">
        <is>
          <t>Security Audit Sandbox</t>
        </is>
      </c>
      <c r="N151" s="12" t="inlineStr">
        <is>
          <t>Defensive Security Audit Engine</t>
        </is>
      </c>
      <c r="O151" s="12" t="inlineStr">
        <is>
          <t>Screen-specific baseline case for Stretching &amp; Warm-up Routine View</t>
        </is>
      </c>
    </row>
    <row r="152" ht="36" customHeight="1">
      <c r="A152" s="11" t="inlineStr">
        <is>
          <t>TC-151</t>
        </is>
      </c>
      <c r="B152" s="12" t="inlineStr">
        <is>
          <t>DietDayCard</t>
        </is>
      </c>
      <c r="C152" s="12" t="inlineStr">
        <is>
          <t>Safe Vulnerability &amp; Security Checks</t>
        </is>
      </c>
      <c r="D152" s="12" t="inlineStr">
        <is>
          <t>Authentication Lockout &amp; Brute-Force on Diet &amp; Meal Planner View</t>
        </is>
      </c>
      <c r="E152" s="12" t="inlineStr">
        <is>
          <t>1. Launch test runner in Security Audit Sandbox.
2. Navigate to Diet &amp; Meal Planner View (DietDayCard).
3. Attempt 10 invalid authentication requests on DietDayCard in rapid succession.
4. Verify expected results and log evidence.</t>
        </is>
      </c>
      <c r="F152" s="12" t="inlineStr">
        <is>
          <t>Attempts: 10 invalid</t>
        </is>
      </c>
      <c r="G152" s="12" t="inlineStr">
        <is>
          <t>Account temporarily locks out after 5 failed attempts with 429 response.</t>
        </is>
      </c>
      <c r="H152" s="12" t="inlineStr">
        <is>
          <t>Pending Execution</t>
        </is>
      </c>
      <c r="I152" s="13" t="inlineStr">
        <is>
          <t>Not Executed</t>
        </is>
      </c>
      <c r="J152" s="11" t="inlineStr">
        <is>
          <t>Medium</t>
        </is>
      </c>
      <c r="K152" s="11" t="inlineStr">
        <is>
          <t>Moderate</t>
        </is>
      </c>
      <c r="L152" s="11" t="inlineStr">
        <is>
          <t>Script Ready</t>
        </is>
      </c>
      <c r="M152" s="12" t="inlineStr">
        <is>
          <t>Security Audit Sandbox</t>
        </is>
      </c>
      <c r="N152" s="12" t="inlineStr">
        <is>
          <t>Defensive Security Audit Engine</t>
        </is>
      </c>
      <c r="O152" s="12" t="inlineStr">
        <is>
          <t>Screen-specific baseline case for Diet &amp; Meal Planner View</t>
        </is>
      </c>
    </row>
    <row r="153" ht="36" customHeight="1">
      <c r="A153" s="11" t="inlineStr">
        <is>
          <t>TC-152</t>
        </is>
      </c>
      <c r="B153" s="12" t="inlineStr">
        <is>
          <t>DietDayCard</t>
        </is>
      </c>
      <c r="C153" s="12" t="inlineStr">
        <is>
          <t>Safe Vulnerability &amp; Security Checks</t>
        </is>
      </c>
      <c r="D153" s="12" t="inlineStr">
        <is>
          <t>Role-Based Authorization &amp; IDOR Check on Diet &amp; Meal Planner View</t>
        </is>
      </c>
      <c r="E153" s="12" t="inlineStr">
        <is>
          <t>1. Launch test runner in Security Audit Sandbox.
2. Navigate to Diet &amp; Meal Planner View (DietDayCard).
3. Attempt querying secondary user private records on DietDayCard using guest JWT.
4. Verify expected results and log evidence.</t>
        </is>
      </c>
      <c r="F153" s="12" t="inlineStr">
        <is>
          <t>IDOR Payload: DietDayCard_user_999</t>
        </is>
      </c>
      <c r="G153" s="12" t="inlineStr">
        <is>
          <t>Database and API reject request with HTTP 403 Forbidden.</t>
        </is>
      </c>
      <c r="H153" s="12" t="inlineStr">
        <is>
          <t>Pending Execution</t>
        </is>
      </c>
      <c r="I153" s="13" t="inlineStr">
        <is>
          <t>Not Executed</t>
        </is>
      </c>
      <c r="J153" s="11" t="inlineStr">
        <is>
          <t>Medium</t>
        </is>
      </c>
      <c r="K153" s="11" t="inlineStr">
        <is>
          <t>Major</t>
        </is>
      </c>
      <c r="L153" s="11" t="inlineStr">
        <is>
          <t>Script Ready</t>
        </is>
      </c>
      <c r="M153" s="12" t="inlineStr">
        <is>
          <t>Security Audit Sandbox</t>
        </is>
      </c>
      <c r="N153" s="12" t="inlineStr">
        <is>
          <t>Defensive Security Audit Engine</t>
        </is>
      </c>
      <c r="O153" s="12" t="inlineStr">
        <is>
          <t>Screen-specific baseline case for Diet &amp; Meal Planner View</t>
        </is>
      </c>
    </row>
    <row r="154" ht="36" customHeight="1">
      <c r="A154" s="11" t="inlineStr">
        <is>
          <t>TC-153</t>
        </is>
      </c>
      <c r="B154" s="12" t="inlineStr">
        <is>
          <t>DietDayCard</t>
        </is>
      </c>
      <c r="C154" s="12" t="inlineStr">
        <is>
          <t>Safe Vulnerability &amp; Security Checks</t>
        </is>
      </c>
      <c r="D154" s="12" t="inlineStr">
        <is>
          <t>Session Token Expiration &amp; Revocation on Diet &amp; Meal Planner View</t>
        </is>
      </c>
      <c r="E154" s="12" t="inlineStr">
        <is>
          <t>1. Launch test runner in Security Audit Sandbox.
2. Navigate to Diet &amp; Meal Planner View (DietDayCard).
3. Present expired JWT token to DietDayCard API endpoint, attempt data fetch.
4. Verify expected results and log evidence.</t>
        </is>
      </c>
      <c r="F154" s="12" t="inlineStr">
        <is>
          <t>JWT Token: Expired/Revoked</t>
        </is>
      </c>
      <c r="G154" s="12" t="inlineStr">
        <is>
          <t>API gateway invalidates session and redirects to login view.</t>
        </is>
      </c>
      <c r="H154" s="12" t="inlineStr">
        <is>
          <t>Pending Execution</t>
        </is>
      </c>
      <c r="I154" s="13" t="inlineStr">
        <is>
          <t>Not Executed</t>
        </is>
      </c>
      <c r="J154" s="11" t="inlineStr">
        <is>
          <t>High</t>
        </is>
      </c>
      <c r="K154" s="11" t="inlineStr">
        <is>
          <t>Moderate</t>
        </is>
      </c>
      <c r="L154" s="11" t="inlineStr">
        <is>
          <t>Script Ready</t>
        </is>
      </c>
      <c r="M154" s="12" t="inlineStr">
        <is>
          <t>Security Audit Sandbox</t>
        </is>
      </c>
      <c r="N154" s="12" t="inlineStr">
        <is>
          <t>Defensive Security Audit Engine</t>
        </is>
      </c>
      <c r="O154" s="12" t="inlineStr">
        <is>
          <t>Screen-specific baseline case for Diet &amp; Meal Planner View</t>
        </is>
      </c>
    </row>
    <row r="155" ht="36" customHeight="1">
      <c r="A155" s="11" t="inlineStr">
        <is>
          <t>TC-154</t>
        </is>
      </c>
      <c r="B155" s="12" t="inlineStr">
        <is>
          <t>DietDayCard</t>
        </is>
      </c>
      <c r="C155" s="12" t="inlineStr">
        <is>
          <t>Safe Vulnerability &amp; Security Checks</t>
        </is>
      </c>
      <c r="D155" s="12" t="inlineStr">
        <is>
          <t>Safe SQL Injection Input Defense on Diet &amp; Meal Planner View</t>
        </is>
      </c>
      <c r="E155" s="12" t="inlineStr">
        <is>
          <t>1. Launch test runner in Security Audit Sandbox.
2. Navigate to Diet &amp; Meal Planner View (DietDayCard).
3. Submit safe SQLi payload `' OR '1'='1` into text input fields on DietDayCard.
4. Verify expected results and log evidence.</t>
        </is>
      </c>
      <c r="F155" s="12" t="inlineStr">
        <is>
          <t>Payload: `' OR '1'='1`</t>
        </is>
      </c>
      <c r="G155" s="12" t="inlineStr">
        <is>
          <t>Input is parameterized/escaped cleanly; no SQL error occurs.</t>
        </is>
      </c>
      <c r="H155" s="12" t="inlineStr">
        <is>
          <t>Pending Execution</t>
        </is>
      </c>
      <c r="I155" s="13" t="inlineStr">
        <is>
          <t>Not Executed</t>
        </is>
      </c>
      <c r="J155" s="11" t="inlineStr">
        <is>
          <t>Medium</t>
        </is>
      </c>
      <c r="K155" s="11" t="inlineStr">
        <is>
          <t>Critical</t>
        </is>
      </c>
      <c r="L155" s="11" t="inlineStr">
        <is>
          <t>Script Ready</t>
        </is>
      </c>
      <c r="M155" s="12" t="inlineStr">
        <is>
          <t>Security Audit Sandbox</t>
        </is>
      </c>
      <c r="N155" s="12" t="inlineStr">
        <is>
          <t>Defensive Security Audit Engine</t>
        </is>
      </c>
      <c r="O155" s="12" t="inlineStr">
        <is>
          <t>Screen-specific baseline case for Diet &amp; Meal Planner View</t>
        </is>
      </c>
    </row>
    <row r="156" ht="36" customHeight="1">
      <c r="A156" s="11" t="inlineStr">
        <is>
          <t>TC-155</t>
        </is>
      </c>
      <c r="B156" s="12" t="inlineStr">
        <is>
          <t>DietDayCard</t>
        </is>
      </c>
      <c r="C156" s="12" t="inlineStr">
        <is>
          <t>Safe Vulnerability &amp; Security Checks</t>
        </is>
      </c>
      <c r="D156" s="12" t="inlineStr">
        <is>
          <t>Safe XSS Script Escaping Validation on Diet &amp; Meal Planner View</t>
        </is>
      </c>
      <c r="E156" s="12" t="inlineStr">
        <is>
          <t>1. Launch test runner in Security Audit Sandbox.
2. Navigate to Diet &amp; Meal Planner View (DietDayCard).
3. Submit safe script payload `&lt;script&gt;alert(1)&lt;/script&gt;` into DietDayCard fields.
4. Verify expected results and log evidence.</t>
        </is>
      </c>
      <c r="F156" s="12" t="inlineStr">
        <is>
          <t>Payload: `&lt;script&gt;alert(1)&lt;/script&gt;`</t>
        </is>
      </c>
      <c r="G156" s="12" t="inlineStr">
        <is>
          <t>Payload renders as plain text string; script does not execute.</t>
        </is>
      </c>
      <c r="H156" s="12" t="inlineStr">
        <is>
          <t>Pending Execution</t>
        </is>
      </c>
      <c r="I156" s="13" t="inlineStr">
        <is>
          <t>Not Executed</t>
        </is>
      </c>
      <c r="J156" s="11" t="inlineStr">
        <is>
          <t>Low</t>
        </is>
      </c>
      <c r="K156" s="11" t="inlineStr">
        <is>
          <t>Moderate</t>
        </is>
      </c>
      <c r="L156" s="11" t="inlineStr">
        <is>
          <t>Script Ready</t>
        </is>
      </c>
      <c r="M156" s="12" t="inlineStr">
        <is>
          <t>Security Audit Sandbox</t>
        </is>
      </c>
      <c r="N156" s="12" t="inlineStr">
        <is>
          <t>Defensive Security Audit Engine</t>
        </is>
      </c>
      <c r="O156" s="12" t="inlineStr">
        <is>
          <t>Screen-specific baseline case for Diet &amp; Meal Planner View</t>
        </is>
      </c>
    </row>
    <row r="157" ht="36" customHeight="1">
      <c r="A157" s="11" t="inlineStr">
        <is>
          <t>TC-156</t>
        </is>
      </c>
      <c r="B157" s="12" t="inlineStr">
        <is>
          <t>DietDayCard</t>
        </is>
      </c>
      <c r="C157" s="12" t="inlineStr">
        <is>
          <t>Safe Vulnerability &amp; Security Checks</t>
        </is>
      </c>
      <c r="D157" s="12" t="inlineStr">
        <is>
          <t>TLS 1.3 Transport Encryption Enforcement on Diet &amp; Meal Planner View</t>
        </is>
      </c>
      <c r="E157" s="12" t="inlineStr">
        <is>
          <t>1. Launch test runner in Security Audit Sandbox.
2. Navigate to Diet &amp; Meal Planner View (DietDayCard).
3. Inspect outbound network traffic for DietDayCard using passive OWASP proxy.
4. Verify expected results and log evidence.</t>
        </is>
      </c>
      <c r="F157" s="12" t="inlineStr">
        <is>
          <t>Protocol: TLS 1.3 / HTTPS</t>
        </is>
      </c>
      <c r="G157" s="12" t="inlineStr">
        <is>
          <t>All HTTP connections upgrade to TLS 1.3; unencrypted HTTP blocked.</t>
        </is>
      </c>
      <c r="H157" s="12" t="inlineStr">
        <is>
          <t>Pending Execution</t>
        </is>
      </c>
      <c r="I157" s="13" t="inlineStr">
        <is>
          <t>Not Executed</t>
        </is>
      </c>
      <c r="J157" s="11" t="inlineStr">
        <is>
          <t>High</t>
        </is>
      </c>
      <c r="K157" s="11" t="inlineStr">
        <is>
          <t>Major</t>
        </is>
      </c>
      <c r="L157" s="11" t="inlineStr">
        <is>
          <t>Script Ready</t>
        </is>
      </c>
      <c r="M157" s="12" t="inlineStr">
        <is>
          <t>Security Audit Sandbox</t>
        </is>
      </c>
      <c r="N157" s="12" t="inlineStr">
        <is>
          <t>Defensive Security Audit Engine</t>
        </is>
      </c>
      <c r="O157" s="12" t="inlineStr">
        <is>
          <t>Screen-specific baseline case for Diet &amp; Meal Planner View</t>
        </is>
      </c>
    </row>
    <row r="158" ht="36" customHeight="1">
      <c r="A158" s="11" t="inlineStr">
        <is>
          <t>TC-157</t>
        </is>
      </c>
      <c r="B158" s="12" t="inlineStr">
        <is>
          <t>DietDayCard</t>
        </is>
      </c>
      <c r="C158" s="12" t="inlineStr">
        <is>
          <t>Safe Vulnerability &amp; Security Checks</t>
        </is>
      </c>
      <c r="D158" s="12" t="inlineStr">
        <is>
          <t>API Rate Limiting 429 Response Check on Diet &amp; Meal Planner View</t>
        </is>
      </c>
      <c r="E158" s="12" t="inlineStr">
        <is>
          <t>1. Launch test runner in Security Audit Sandbox.
2. Navigate to Diet &amp; Meal Planner View (DietDayCard).
3. Send 100 rapid requests within 5 seconds to DietDayCard public endpoints.
4. Verify expected results and log evidence.</t>
        </is>
      </c>
      <c r="F158" s="12" t="inlineStr">
        <is>
          <t>Requests: 100 in 5s</t>
        </is>
      </c>
      <c r="G158" s="12" t="inlineStr">
        <is>
          <t>Rate limiter triggers HTTP 429 Too Many Requests response.</t>
        </is>
      </c>
      <c r="H158" s="12" t="inlineStr">
        <is>
          <t>Pending Execution</t>
        </is>
      </c>
      <c r="I158" s="13" t="inlineStr">
        <is>
          <t>Not Executed</t>
        </is>
      </c>
      <c r="J158" s="11" t="inlineStr">
        <is>
          <t>Medium</t>
        </is>
      </c>
      <c r="K158" s="11" t="inlineStr">
        <is>
          <t>Moderate</t>
        </is>
      </c>
      <c r="L158" s="11" t="inlineStr">
        <is>
          <t>Script Ready</t>
        </is>
      </c>
      <c r="M158" s="12" t="inlineStr">
        <is>
          <t>Security Audit Sandbox</t>
        </is>
      </c>
      <c r="N158" s="12" t="inlineStr">
        <is>
          <t>Defensive Security Audit Engine</t>
        </is>
      </c>
      <c r="O158" s="12" t="inlineStr">
        <is>
          <t>Screen-specific baseline case for Diet &amp; Meal Planner View</t>
        </is>
      </c>
    </row>
    <row r="159" ht="36" customHeight="1">
      <c r="A159" s="11" t="inlineStr">
        <is>
          <t>TC-158</t>
        </is>
      </c>
      <c r="B159" s="12" t="inlineStr">
        <is>
          <t>DietDayCard</t>
        </is>
      </c>
      <c r="C159" s="12" t="inlineStr">
        <is>
          <t>Safe Vulnerability &amp; Security Checks</t>
        </is>
      </c>
      <c r="D159" s="12" t="inlineStr">
        <is>
          <t>Supabase Row Level Security (RLS) Audit on Diet &amp; Meal Planner View</t>
        </is>
      </c>
      <c r="E159" s="12" t="inlineStr">
        <is>
          <t>1. Launch test runner in Security Audit Sandbox.
2. Navigate to Diet &amp; Meal Planner View (DietDayCard).
3. Query Supabase PostgreSQL table for DietDayCard without auth header.
4. Verify expected results and log evidence.</t>
        </is>
      </c>
      <c r="F159" s="12" t="inlineStr">
        <is>
          <t>RLS Check: DietDayCard_table</t>
        </is>
      </c>
      <c r="G159" s="12" t="inlineStr">
        <is>
          <t>Supabase RLS policy blocks unauthorized row query access.</t>
        </is>
      </c>
      <c r="H159" s="12" t="inlineStr">
        <is>
          <t>Pending Execution</t>
        </is>
      </c>
      <c r="I159" s="13" t="inlineStr">
        <is>
          <t>Not Executed</t>
        </is>
      </c>
      <c r="J159" s="11" t="inlineStr">
        <is>
          <t>Medium</t>
        </is>
      </c>
      <c r="K159" s="11" t="inlineStr">
        <is>
          <t>Major</t>
        </is>
      </c>
      <c r="L159" s="11" t="inlineStr">
        <is>
          <t>Script Ready</t>
        </is>
      </c>
      <c r="M159" s="12" t="inlineStr">
        <is>
          <t>Security Audit Sandbox</t>
        </is>
      </c>
      <c r="N159" s="12" t="inlineStr">
        <is>
          <t>Defensive Security Audit Engine</t>
        </is>
      </c>
      <c r="O159" s="12" t="inlineStr">
        <is>
          <t>Screen-specific baseline case for Diet &amp; Meal Planner View</t>
        </is>
      </c>
    </row>
    <row r="160" ht="36" customHeight="1">
      <c r="A160" s="11" t="inlineStr">
        <is>
          <t>TC-159</t>
        </is>
      </c>
      <c r="B160" s="12" t="inlineStr">
        <is>
          <t>DietDayCard</t>
        </is>
      </c>
      <c r="C160" s="12" t="inlineStr">
        <is>
          <t>Safe Vulnerability &amp; Security Checks</t>
        </is>
      </c>
      <c r="D160" s="12" t="inlineStr">
        <is>
          <t>Privileged Route Guard Verification on Diet &amp; Meal Planner View</t>
        </is>
      </c>
      <c r="E160" s="12" t="inlineStr">
        <is>
          <t>1. Launch test runner in Security Audit Sandbox.
2. Navigate to Diet &amp; Meal Planner View (DietDayCard).
3. Attempt deep linking directly to restricted DietDayCard view as unauthenticated user.
4. Verify expected results and log evidence.</t>
        </is>
      </c>
      <c r="F160" s="12" t="inlineStr">
        <is>
          <t>Route: /DietDayCard_admin</t>
        </is>
      </c>
      <c r="G160" s="12" t="inlineStr">
        <is>
          <t>Router guard intercepts request and redirects to login screen.</t>
        </is>
      </c>
      <c r="H160" s="12" t="inlineStr">
        <is>
          <t>Pending Execution</t>
        </is>
      </c>
      <c r="I160" s="13" t="inlineStr">
        <is>
          <t>Not Executed</t>
        </is>
      </c>
      <c r="J160" s="11" t="inlineStr">
        <is>
          <t>High</t>
        </is>
      </c>
      <c r="K160" s="11" t="inlineStr">
        <is>
          <t>Moderate</t>
        </is>
      </c>
      <c r="L160" s="11" t="inlineStr">
        <is>
          <t>Script Ready</t>
        </is>
      </c>
      <c r="M160" s="12" t="inlineStr">
        <is>
          <t>Security Audit Sandbox</t>
        </is>
      </c>
      <c r="N160" s="12" t="inlineStr">
        <is>
          <t>Defensive Security Audit Engine</t>
        </is>
      </c>
      <c r="O160" s="12" t="inlineStr">
        <is>
          <t>Screen-specific baseline case for Diet &amp; Meal Planner View</t>
        </is>
      </c>
    </row>
    <row r="161" ht="36" customHeight="1">
      <c r="A161" s="11" t="inlineStr">
        <is>
          <t>TC-160</t>
        </is>
      </c>
      <c r="B161" s="12" t="inlineStr">
        <is>
          <t>DietDayCard</t>
        </is>
      </c>
      <c r="C161" s="12" t="inlineStr">
        <is>
          <t>Safe Vulnerability &amp; Security Checks</t>
        </is>
      </c>
      <c r="D161" s="12" t="inlineStr">
        <is>
          <t>Sensitive Data Masking &amp; Log Leak Check on Diet &amp; Meal Planner View</t>
        </is>
      </c>
      <c r="E161" s="12" t="inlineStr">
        <is>
          <t>1. Launch test runner in Security Audit Sandbox.
2. Navigate to Diet &amp; Meal Planner View (DietDayCard).
3. Audit application log files and network payloads for exposed DietDayCard secrets.
4. Verify expected results and log evidence.</t>
        </is>
      </c>
      <c r="F161" s="12" t="inlineStr">
        <is>
          <t>Audit: Password/Token fields</t>
        </is>
      </c>
      <c r="G161" s="12" t="inlineStr">
        <is>
          <t>Sensitive credentials and PII are masked or omitted from logs.</t>
        </is>
      </c>
      <c r="H161" s="12" t="inlineStr">
        <is>
          <t>Pending Execution</t>
        </is>
      </c>
      <c r="I161" s="13" t="inlineStr">
        <is>
          <t>Not Executed</t>
        </is>
      </c>
      <c r="J161" s="11" t="inlineStr">
        <is>
          <t>Low</t>
        </is>
      </c>
      <c r="K161" s="11" t="inlineStr">
        <is>
          <t>Major</t>
        </is>
      </c>
      <c r="L161" s="11" t="inlineStr">
        <is>
          <t>Script Ready</t>
        </is>
      </c>
      <c r="M161" s="12" t="inlineStr">
        <is>
          <t>Security Audit Sandbox</t>
        </is>
      </c>
      <c r="N161" s="12" t="inlineStr">
        <is>
          <t>Defensive Security Audit Engine</t>
        </is>
      </c>
      <c r="O161" s="12" t="inlineStr">
        <is>
          <t>Screen-specific baseline case for Diet &amp; Meal Planner View</t>
        </is>
      </c>
    </row>
    <row r="162" ht="36" customHeight="1">
      <c r="A162" s="11" t="inlineStr">
        <is>
          <t>TC-161</t>
        </is>
      </c>
      <c r="B162" s="12" t="inlineStr">
        <is>
          <t>BudgetFoodSection</t>
        </is>
      </c>
      <c r="C162" s="12" t="inlineStr">
        <is>
          <t>Safe Vulnerability &amp; Security Checks</t>
        </is>
      </c>
      <c r="D162" s="12" t="inlineStr">
        <is>
          <t>Authentication Lockout &amp; Brute-Force on Budget Diet &amp; Low-Cost Meal Planner</t>
        </is>
      </c>
      <c r="E162" s="12" t="inlineStr">
        <is>
          <t>1. Launch test runner in Security Audit Sandbox.
2. Navigate to Budget Diet &amp; Low-Cost Meal Planner (BudgetFoodSection).
3. Attempt 10 invalid authentication requests on BudgetFoodSection in rapid succession.
4. Verify expected results and log evidence.</t>
        </is>
      </c>
      <c r="F162" s="12" t="inlineStr">
        <is>
          <t>Attempts: 10 invalid</t>
        </is>
      </c>
      <c r="G162" s="12" t="inlineStr">
        <is>
          <t>Account temporarily locks out after 5 failed attempts with 429 response.</t>
        </is>
      </c>
      <c r="H162" s="12" t="inlineStr">
        <is>
          <t>Pending Execution</t>
        </is>
      </c>
      <c r="I162" s="13" t="inlineStr">
        <is>
          <t>Not Executed</t>
        </is>
      </c>
      <c r="J162" s="11" t="inlineStr">
        <is>
          <t>Medium</t>
        </is>
      </c>
      <c r="K162" s="11" t="inlineStr">
        <is>
          <t>Critical</t>
        </is>
      </c>
      <c r="L162" s="11" t="inlineStr">
        <is>
          <t>Script Ready</t>
        </is>
      </c>
      <c r="M162" s="12" t="inlineStr">
        <is>
          <t>Security Audit Sandbox</t>
        </is>
      </c>
      <c r="N162" s="12" t="inlineStr">
        <is>
          <t>Defensive Security Audit Engine</t>
        </is>
      </c>
      <c r="O162" s="12" t="inlineStr">
        <is>
          <t>Screen-specific baseline case for Budget Diet &amp; Low-Cost Meal Planner</t>
        </is>
      </c>
    </row>
    <row r="163" ht="36" customHeight="1">
      <c r="A163" s="11" t="inlineStr">
        <is>
          <t>TC-162</t>
        </is>
      </c>
      <c r="B163" s="12" t="inlineStr">
        <is>
          <t>BudgetFoodSection</t>
        </is>
      </c>
      <c r="C163" s="12" t="inlineStr">
        <is>
          <t>Safe Vulnerability &amp; Security Checks</t>
        </is>
      </c>
      <c r="D163" s="12" t="inlineStr">
        <is>
          <t>Role-Based Authorization &amp; IDOR Check on Budget Diet &amp; Low-Cost Meal Planner</t>
        </is>
      </c>
      <c r="E163" s="12" t="inlineStr">
        <is>
          <t>1. Launch test runner in Security Audit Sandbox.
2. Navigate to Budget Diet &amp; Low-Cost Meal Planner (BudgetFoodSection).
3. Attempt querying secondary user private records on BudgetFoodSection using guest JWT.
4. Verify expected results and log evidence.</t>
        </is>
      </c>
      <c r="F163" s="12" t="inlineStr">
        <is>
          <t>IDOR Payload: BudgetFoodSection_user_999</t>
        </is>
      </c>
      <c r="G163" s="12" t="inlineStr">
        <is>
          <t>Database and API reject request with HTTP 403 Forbidden.</t>
        </is>
      </c>
      <c r="H163" s="12" t="inlineStr">
        <is>
          <t>Pending Execution</t>
        </is>
      </c>
      <c r="I163" s="13" t="inlineStr">
        <is>
          <t>Not Executed</t>
        </is>
      </c>
      <c r="J163" s="11" t="inlineStr">
        <is>
          <t>High</t>
        </is>
      </c>
      <c r="K163" s="11" t="inlineStr">
        <is>
          <t>Major</t>
        </is>
      </c>
      <c r="L163" s="11" t="inlineStr">
        <is>
          <t>Script Ready</t>
        </is>
      </c>
      <c r="M163" s="12" t="inlineStr">
        <is>
          <t>Security Audit Sandbox</t>
        </is>
      </c>
      <c r="N163" s="12" t="inlineStr">
        <is>
          <t>Defensive Security Audit Engine</t>
        </is>
      </c>
      <c r="O163" s="12" t="inlineStr">
        <is>
          <t>Screen-specific baseline case for Budget Diet &amp; Low-Cost Meal Planner</t>
        </is>
      </c>
    </row>
    <row r="164" ht="36" customHeight="1">
      <c r="A164" s="11" t="inlineStr">
        <is>
          <t>TC-163</t>
        </is>
      </c>
      <c r="B164" s="12" t="inlineStr">
        <is>
          <t>BudgetFoodSection</t>
        </is>
      </c>
      <c r="C164" s="12" t="inlineStr">
        <is>
          <t>Safe Vulnerability &amp; Security Checks</t>
        </is>
      </c>
      <c r="D164" s="12" t="inlineStr">
        <is>
          <t>Session Token Expiration &amp; Revocation on Budget Diet &amp; Low-Cost Meal Planner</t>
        </is>
      </c>
      <c r="E164" s="12" t="inlineStr">
        <is>
          <t>1. Launch test runner in Security Audit Sandbox.
2. Navigate to Budget Diet &amp; Low-Cost Meal Planner (BudgetFoodSection).
3. Present expired JWT token to BudgetFoodSection API endpoint, attempt data fetch.
4. Verify expected results and log evidence.</t>
        </is>
      </c>
      <c r="F164" s="12" t="inlineStr">
        <is>
          <t>JWT Token: Expired/Revoked</t>
        </is>
      </c>
      <c r="G164" s="12" t="inlineStr">
        <is>
          <t>API gateway invalidates session and redirects to login view.</t>
        </is>
      </c>
      <c r="H164" s="12" t="inlineStr">
        <is>
          <t>Pending Execution</t>
        </is>
      </c>
      <c r="I164" s="13" t="inlineStr">
        <is>
          <t>Not Executed</t>
        </is>
      </c>
      <c r="J164" s="11" t="inlineStr">
        <is>
          <t>Medium</t>
        </is>
      </c>
      <c r="K164" s="11" t="inlineStr">
        <is>
          <t>Moderate</t>
        </is>
      </c>
      <c r="L164" s="11" t="inlineStr">
        <is>
          <t>Script Ready</t>
        </is>
      </c>
      <c r="M164" s="12" t="inlineStr">
        <is>
          <t>Security Audit Sandbox</t>
        </is>
      </c>
      <c r="N164" s="12" t="inlineStr">
        <is>
          <t>Defensive Security Audit Engine</t>
        </is>
      </c>
      <c r="O164" s="12" t="inlineStr">
        <is>
          <t>Screen-specific baseline case for Budget Diet &amp; Low-Cost Meal Planner</t>
        </is>
      </c>
    </row>
    <row r="165" ht="36" customHeight="1">
      <c r="A165" s="11" t="inlineStr">
        <is>
          <t>TC-164</t>
        </is>
      </c>
      <c r="B165" s="12" t="inlineStr">
        <is>
          <t>BudgetFoodSection</t>
        </is>
      </c>
      <c r="C165" s="12" t="inlineStr">
        <is>
          <t>Safe Vulnerability &amp; Security Checks</t>
        </is>
      </c>
      <c r="D165" s="12" t="inlineStr">
        <is>
          <t>Safe SQL Injection Input Defense on Budget Diet &amp; Low-Cost Meal Planner</t>
        </is>
      </c>
      <c r="E165" s="12" t="inlineStr">
        <is>
          <t>1. Launch test runner in Security Audit Sandbox.
2. Navigate to Budget Diet &amp; Low-Cost Meal Planner (BudgetFoodSection).
3. Submit safe SQLi payload `' OR '1'='1` into text input fields on BudgetFoodSection.
4. Verify expected results and log evidence.</t>
        </is>
      </c>
      <c r="F165" s="12" t="inlineStr">
        <is>
          <t>Payload: `' OR '1'='1`</t>
        </is>
      </c>
      <c r="G165" s="12" t="inlineStr">
        <is>
          <t>Input is parameterized/escaped cleanly; no SQL error occurs.</t>
        </is>
      </c>
      <c r="H165" s="12" t="inlineStr">
        <is>
          <t>Pending Execution</t>
        </is>
      </c>
      <c r="I165" s="13" t="inlineStr">
        <is>
          <t>Not Executed</t>
        </is>
      </c>
      <c r="J165" s="11" t="inlineStr">
        <is>
          <t>Medium</t>
        </is>
      </c>
      <c r="K165" s="11" t="inlineStr">
        <is>
          <t>Major</t>
        </is>
      </c>
      <c r="L165" s="11" t="inlineStr">
        <is>
          <t>Script Ready</t>
        </is>
      </c>
      <c r="M165" s="12" t="inlineStr">
        <is>
          <t>Security Audit Sandbox</t>
        </is>
      </c>
      <c r="N165" s="12" t="inlineStr">
        <is>
          <t>Defensive Security Audit Engine</t>
        </is>
      </c>
      <c r="O165" s="12" t="inlineStr">
        <is>
          <t>Screen-specific baseline case for Budget Diet &amp; Low-Cost Meal Planner</t>
        </is>
      </c>
    </row>
    <row r="166" ht="36" customHeight="1">
      <c r="A166" s="11" t="inlineStr">
        <is>
          <t>TC-165</t>
        </is>
      </c>
      <c r="B166" s="12" t="inlineStr">
        <is>
          <t>BudgetFoodSection</t>
        </is>
      </c>
      <c r="C166" s="12" t="inlineStr">
        <is>
          <t>Safe Vulnerability &amp; Security Checks</t>
        </is>
      </c>
      <c r="D166" s="12" t="inlineStr">
        <is>
          <t>Safe XSS Script Escaping Validation on Budget Diet &amp; Low-Cost Meal Planner</t>
        </is>
      </c>
      <c r="E166" s="12" t="inlineStr">
        <is>
          <t>1. Launch test runner in Security Audit Sandbox.
2. Navigate to Budget Diet &amp; Low-Cost Meal Planner (BudgetFoodSection).
3. Submit safe script payload `&lt;script&gt;alert(1)&lt;/script&gt;` into BudgetFoodSection fields.
4. Verify expected results and log evidence.</t>
        </is>
      </c>
      <c r="F166" s="12" t="inlineStr">
        <is>
          <t>Payload: `&lt;script&gt;alert(1)&lt;/script&gt;`</t>
        </is>
      </c>
      <c r="G166" s="12" t="inlineStr">
        <is>
          <t>Payload renders as plain text string; script does not execute.</t>
        </is>
      </c>
      <c r="H166" s="12" t="inlineStr">
        <is>
          <t>Pending Execution</t>
        </is>
      </c>
      <c r="I166" s="13" t="inlineStr">
        <is>
          <t>Not Executed</t>
        </is>
      </c>
      <c r="J166" s="11" t="inlineStr">
        <is>
          <t>High</t>
        </is>
      </c>
      <c r="K166" s="11" t="inlineStr">
        <is>
          <t>Moderate</t>
        </is>
      </c>
      <c r="L166" s="11" t="inlineStr">
        <is>
          <t>Script Ready</t>
        </is>
      </c>
      <c r="M166" s="12" t="inlineStr">
        <is>
          <t>Security Audit Sandbox</t>
        </is>
      </c>
      <c r="N166" s="12" t="inlineStr">
        <is>
          <t>Defensive Security Audit Engine</t>
        </is>
      </c>
      <c r="O166" s="12" t="inlineStr">
        <is>
          <t>Screen-specific baseline case for Budget Diet &amp; Low-Cost Meal Planner</t>
        </is>
      </c>
    </row>
    <row r="167" ht="36" customHeight="1">
      <c r="A167" s="11" t="inlineStr">
        <is>
          <t>TC-166</t>
        </is>
      </c>
      <c r="B167" s="12" t="inlineStr">
        <is>
          <t>BudgetFoodSection</t>
        </is>
      </c>
      <c r="C167" s="12" t="inlineStr">
        <is>
          <t>Safe Vulnerability &amp; Security Checks</t>
        </is>
      </c>
      <c r="D167" s="12" t="inlineStr">
        <is>
          <t>TLS 1.3 Transport Encryption Enforcement on Budget Diet &amp; Low-Cost Meal Planner</t>
        </is>
      </c>
      <c r="E167" s="12" t="inlineStr">
        <is>
          <t>1. Launch test runner in Security Audit Sandbox.
2. Navigate to Budget Diet &amp; Low-Cost Meal Planner (BudgetFoodSection).
3. Inspect outbound network traffic for BudgetFoodSection using passive OWASP proxy.
4. Verify expected results and log evidence.</t>
        </is>
      </c>
      <c r="F167" s="12" t="inlineStr">
        <is>
          <t>Protocol: TLS 1.3 / HTTPS</t>
        </is>
      </c>
      <c r="G167" s="12" t="inlineStr">
        <is>
          <t>All HTTP connections upgrade to TLS 1.3; unencrypted HTTP blocked.</t>
        </is>
      </c>
      <c r="H167" s="12" t="inlineStr">
        <is>
          <t>Pending Execution</t>
        </is>
      </c>
      <c r="I167" s="13" t="inlineStr">
        <is>
          <t>Not Executed</t>
        </is>
      </c>
      <c r="J167" s="11" t="inlineStr">
        <is>
          <t>Medium</t>
        </is>
      </c>
      <c r="K167" s="11" t="inlineStr">
        <is>
          <t>Major</t>
        </is>
      </c>
      <c r="L167" s="11" t="inlineStr">
        <is>
          <t>Script Ready</t>
        </is>
      </c>
      <c r="M167" s="12" t="inlineStr">
        <is>
          <t>Security Audit Sandbox</t>
        </is>
      </c>
      <c r="N167" s="12" t="inlineStr">
        <is>
          <t>Defensive Security Audit Engine</t>
        </is>
      </c>
      <c r="O167" s="12" t="inlineStr">
        <is>
          <t>Screen-specific baseline case for Budget Diet &amp; Low-Cost Meal Planner</t>
        </is>
      </c>
    </row>
    <row r="168" ht="36" customHeight="1">
      <c r="A168" s="11" t="inlineStr">
        <is>
          <t>TC-167</t>
        </is>
      </c>
      <c r="B168" s="12" t="inlineStr">
        <is>
          <t>BudgetFoodSection</t>
        </is>
      </c>
      <c r="C168" s="12" t="inlineStr">
        <is>
          <t>Safe Vulnerability &amp; Security Checks</t>
        </is>
      </c>
      <c r="D168" s="12" t="inlineStr">
        <is>
          <t>API Rate Limiting 429 Response Check on Budget Diet &amp; Low-Cost Meal Planner</t>
        </is>
      </c>
      <c r="E168" s="12" t="inlineStr">
        <is>
          <t>1. Launch test runner in Security Audit Sandbox.
2. Navigate to Budget Diet &amp; Low-Cost Meal Planner (BudgetFoodSection).
3. Send 100 rapid requests within 5 seconds to BudgetFoodSection public endpoints.
4. Verify expected results and log evidence.</t>
        </is>
      </c>
      <c r="F168" s="12" t="inlineStr">
        <is>
          <t>Requests: 100 in 5s</t>
        </is>
      </c>
      <c r="G168" s="12" t="inlineStr">
        <is>
          <t>Rate limiter triggers HTTP 429 Too Many Requests response.</t>
        </is>
      </c>
      <c r="H168" s="12" t="inlineStr">
        <is>
          <t>Pending Execution</t>
        </is>
      </c>
      <c r="I168" s="13" t="inlineStr">
        <is>
          <t>Not Executed</t>
        </is>
      </c>
      <c r="J168" s="11" t="inlineStr">
        <is>
          <t>Medium</t>
        </is>
      </c>
      <c r="K168" s="11" t="inlineStr">
        <is>
          <t>Moderate</t>
        </is>
      </c>
      <c r="L168" s="11" t="inlineStr">
        <is>
          <t>Script Ready</t>
        </is>
      </c>
      <c r="M168" s="12" t="inlineStr">
        <is>
          <t>Security Audit Sandbox</t>
        </is>
      </c>
      <c r="N168" s="12" t="inlineStr">
        <is>
          <t>Defensive Security Audit Engine</t>
        </is>
      </c>
      <c r="O168" s="12" t="inlineStr">
        <is>
          <t>Screen-specific baseline case for Budget Diet &amp; Low-Cost Meal Planner</t>
        </is>
      </c>
    </row>
    <row r="169" ht="36" customHeight="1">
      <c r="A169" s="11" t="inlineStr">
        <is>
          <t>TC-168</t>
        </is>
      </c>
      <c r="B169" s="12" t="inlineStr">
        <is>
          <t>BudgetFoodSection</t>
        </is>
      </c>
      <c r="C169" s="12" t="inlineStr">
        <is>
          <t>Safe Vulnerability &amp; Security Checks</t>
        </is>
      </c>
      <c r="D169" s="12" t="inlineStr">
        <is>
          <t>Supabase Row Level Security (RLS) Audit on Budget Diet &amp; Low-Cost Meal Planner</t>
        </is>
      </c>
      <c r="E169" s="12" t="inlineStr">
        <is>
          <t>1. Launch test runner in Security Audit Sandbox.
2. Navigate to Budget Diet &amp; Low-Cost Meal Planner (BudgetFoodSection).
3. Query Supabase PostgreSQL table for BudgetFoodSection without auth header.
4. Verify expected results and log evidence.</t>
        </is>
      </c>
      <c r="F169" s="12" t="inlineStr">
        <is>
          <t>RLS Check: BudgetFoodSection_table</t>
        </is>
      </c>
      <c r="G169" s="12" t="inlineStr">
        <is>
          <t>Supabase RLS policy blocks unauthorized row query access.</t>
        </is>
      </c>
      <c r="H169" s="12" t="inlineStr">
        <is>
          <t>Pending Execution</t>
        </is>
      </c>
      <c r="I169" s="13" t="inlineStr">
        <is>
          <t>Not Executed</t>
        </is>
      </c>
      <c r="J169" s="11" t="inlineStr">
        <is>
          <t>High</t>
        </is>
      </c>
      <c r="K169" s="11" t="inlineStr">
        <is>
          <t>Critical</t>
        </is>
      </c>
      <c r="L169" s="11" t="inlineStr">
        <is>
          <t>Script Ready</t>
        </is>
      </c>
      <c r="M169" s="12" t="inlineStr">
        <is>
          <t>Security Audit Sandbox</t>
        </is>
      </c>
      <c r="N169" s="12" t="inlineStr">
        <is>
          <t>Defensive Security Audit Engine</t>
        </is>
      </c>
      <c r="O169" s="12" t="inlineStr">
        <is>
          <t>Screen-specific baseline case for Budget Diet &amp; Low-Cost Meal Planner</t>
        </is>
      </c>
    </row>
    <row r="170" ht="36" customHeight="1">
      <c r="A170" s="11" t="inlineStr">
        <is>
          <t>TC-169</t>
        </is>
      </c>
      <c r="B170" s="12" t="inlineStr">
        <is>
          <t>BudgetFoodSection</t>
        </is>
      </c>
      <c r="C170" s="12" t="inlineStr">
        <is>
          <t>Safe Vulnerability &amp; Security Checks</t>
        </is>
      </c>
      <c r="D170" s="12" t="inlineStr">
        <is>
          <t>Privileged Route Guard Verification on Budget Diet &amp; Low-Cost Meal Planner</t>
        </is>
      </c>
      <c r="E170" s="12" t="inlineStr">
        <is>
          <t>1. Launch test runner in Security Audit Sandbox.
2. Navigate to Budget Diet &amp; Low-Cost Meal Planner (BudgetFoodSection).
3. Attempt deep linking directly to restricted BudgetFoodSection view as unauthenticated user.
4. Verify expected results and log evidence.</t>
        </is>
      </c>
      <c r="F170" s="12" t="inlineStr">
        <is>
          <t>Route: /BudgetFoodSection_admin</t>
        </is>
      </c>
      <c r="G170" s="12" t="inlineStr">
        <is>
          <t>Router guard intercepts request and redirects to login screen.</t>
        </is>
      </c>
      <c r="H170" s="12" t="inlineStr">
        <is>
          <t>Pending Execution</t>
        </is>
      </c>
      <c r="I170" s="13" t="inlineStr">
        <is>
          <t>Not Executed</t>
        </is>
      </c>
      <c r="J170" s="11" t="inlineStr">
        <is>
          <t>Medium</t>
        </is>
      </c>
      <c r="K170" s="11" t="inlineStr">
        <is>
          <t>Moderate</t>
        </is>
      </c>
      <c r="L170" s="11" t="inlineStr">
        <is>
          <t>Script Ready</t>
        </is>
      </c>
      <c r="M170" s="12" t="inlineStr">
        <is>
          <t>Security Audit Sandbox</t>
        </is>
      </c>
      <c r="N170" s="12" t="inlineStr">
        <is>
          <t>Defensive Security Audit Engine</t>
        </is>
      </c>
      <c r="O170" s="12" t="inlineStr">
        <is>
          <t>Screen-specific baseline case for Budget Diet &amp; Low-Cost Meal Planner</t>
        </is>
      </c>
    </row>
    <row r="171" ht="36" customHeight="1">
      <c r="A171" s="11" t="inlineStr">
        <is>
          <t>TC-170</t>
        </is>
      </c>
      <c r="B171" s="12" t="inlineStr">
        <is>
          <t>BudgetFoodSection</t>
        </is>
      </c>
      <c r="C171" s="12" t="inlineStr">
        <is>
          <t>Safe Vulnerability &amp; Security Checks</t>
        </is>
      </c>
      <c r="D171" s="12" t="inlineStr">
        <is>
          <t>Sensitive Data Masking &amp; Log Leak Check on Budget Diet &amp; Low-Cost Meal Planner</t>
        </is>
      </c>
      <c r="E171" s="12" t="inlineStr">
        <is>
          <t>1. Launch test runner in Security Audit Sandbox.
2. Navigate to Budget Diet &amp; Low-Cost Meal Planner (BudgetFoodSection).
3. Audit application log files and network payloads for exposed BudgetFoodSection secrets.
4. Verify expected results and log evidence.</t>
        </is>
      </c>
      <c r="F171" s="12" t="inlineStr">
        <is>
          <t>Audit: Password/Token fields</t>
        </is>
      </c>
      <c r="G171" s="12" t="inlineStr">
        <is>
          <t>Sensitive credentials and PII are masked or omitted from logs.</t>
        </is>
      </c>
      <c r="H171" s="12" t="inlineStr">
        <is>
          <t>Pending Execution</t>
        </is>
      </c>
      <c r="I171" s="13" t="inlineStr">
        <is>
          <t>Not Executed</t>
        </is>
      </c>
      <c r="J171" s="11" t="inlineStr">
        <is>
          <t>Low</t>
        </is>
      </c>
      <c r="K171" s="11" t="inlineStr">
        <is>
          <t>Major</t>
        </is>
      </c>
      <c r="L171" s="11" t="inlineStr">
        <is>
          <t>Script Ready</t>
        </is>
      </c>
      <c r="M171" s="12" t="inlineStr">
        <is>
          <t>Security Audit Sandbox</t>
        </is>
      </c>
      <c r="N171" s="12" t="inlineStr">
        <is>
          <t>Defensive Security Audit Engine</t>
        </is>
      </c>
      <c r="O171" s="12" t="inlineStr">
        <is>
          <t>Screen-specific baseline case for Budget Diet &amp; Low-Cost Meal Planner</t>
        </is>
      </c>
    </row>
    <row r="172" ht="36" customHeight="1">
      <c r="A172" s="11" t="inlineStr">
        <is>
          <t>TC-171</t>
        </is>
      </c>
      <c r="B172" s="12" t="inlineStr">
        <is>
          <t>PlansTab</t>
        </is>
      </c>
      <c r="C172" s="12" t="inlineStr">
        <is>
          <t>Safe Vulnerability &amp; Security Checks</t>
        </is>
      </c>
      <c r="D172" s="12" t="inlineStr">
        <is>
          <t>Authentication Lockout &amp; Brute-Force on Workout &amp; Meal Plans Catalog Tab</t>
        </is>
      </c>
      <c r="E172" s="12" t="inlineStr">
        <is>
          <t>1. Launch test runner in Security Audit Sandbox.
2. Navigate to Workout &amp; Meal Plans Catalog Tab (PlansTab).
3. Attempt 10 invalid authentication requests on PlansTab in rapid succession.
4. Verify expected results and log evidence.</t>
        </is>
      </c>
      <c r="F172" s="12" t="inlineStr">
        <is>
          <t>Attempts: 10 invalid</t>
        </is>
      </c>
      <c r="G172" s="12" t="inlineStr">
        <is>
          <t>Account temporarily locks out after 5 failed attempts with 429 response.</t>
        </is>
      </c>
      <c r="H172" s="12" t="inlineStr">
        <is>
          <t>Pending Execution</t>
        </is>
      </c>
      <c r="I172" s="13" t="inlineStr">
        <is>
          <t>Not Executed</t>
        </is>
      </c>
      <c r="J172" s="11" t="inlineStr">
        <is>
          <t>High</t>
        </is>
      </c>
      <c r="K172" s="11" t="inlineStr">
        <is>
          <t>Moderate</t>
        </is>
      </c>
      <c r="L172" s="11" t="inlineStr">
        <is>
          <t>Script Ready</t>
        </is>
      </c>
      <c r="M172" s="12" t="inlineStr">
        <is>
          <t>Security Audit Sandbox</t>
        </is>
      </c>
      <c r="N172" s="12" t="inlineStr">
        <is>
          <t>Defensive Security Audit Engine</t>
        </is>
      </c>
      <c r="O172" s="12" t="inlineStr">
        <is>
          <t>Screen-specific baseline case for Workout &amp; Meal Plans Catalog Tab</t>
        </is>
      </c>
    </row>
    <row r="173" ht="36" customHeight="1">
      <c r="A173" s="11" t="inlineStr">
        <is>
          <t>TC-172</t>
        </is>
      </c>
      <c r="B173" s="12" t="inlineStr">
        <is>
          <t>PlansTab</t>
        </is>
      </c>
      <c r="C173" s="12" t="inlineStr">
        <is>
          <t>Safe Vulnerability &amp; Security Checks</t>
        </is>
      </c>
      <c r="D173" s="12" t="inlineStr">
        <is>
          <t>Role-Based Authorization &amp; IDOR Check on Workout &amp; Meal Plans Catalog Tab</t>
        </is>
      </c>
      <c r="E173" s="12" t="inlineStr">
        <is>
          <t>1. Launch test runner in Security Audit Sandbox.
2. Navigate to Workout &amp; Meal Plans Catalog Tab (PlansTab).
3. Attempt querying secondary user private records on PlansTab using guest JWT.
4. Verify expected results and log evidence.</t>
        </is>
      </c>
      <c r="F173" s="12" t="inlineStr">
        <is>
          <t>IDOR Payload: PlansTab_user_999</t>
        </is>
      </c>
      <c r="G173" s="12" t="inlineStr">
        <is>
          <t>Database and API reject request with HTTP 403 Forbidden.</t>
        </is>
      </c>
      <c r="H173" s="12" t="inlineStr">
        <is>
          <t>Pending Execution</t>
        </is>
      </c>
      <c r="I173" s="13" t="inlineStr">
        <is>
          <t>Not Executed</t>
        </is>
      </c>
      <c r="J173" s="11" t="inlineStr">
        <is>
          <t>Medium</t>
        </is>
      </c>
      <c r="K173" s="11" t="inlineStr">
        <is>
          <t>Major</t>
        </is>
      </c>
      <c r="L173" s="11" t="inlineStr">
        <is>
          <t>Script Ready</t>
        </is>
      </c>
      <c r="M173" s="12" t="inlineStr">
        <is>
          <t>Security Audit Sandbox</t>
        </is>
      </c>
      <c r="N173" s="12" t="inlineStr">
        <is>
          <t>Defensive Security Audit Engine</t>
        </is>
      </c>
      <c r="O173" s="12" t="inlineStr">
        <is>
          <t>Screen-specific baseline case for Workout &amp; Meal Plans Catalog Tab</t>
        </is>
      </c>
    </row>
    <row r="174" ht="36" customHeight="1">
      <c r="A174" s="11" t="inlineStr">
        <is>
          <t>TC-173</t>
        </is>
      </c>
      <c r="B174" s="12" t="inlineStr">
        <is>
          <t>PlansTab</t>
        </is>
      </c>
      <c r="C174" s="12" t="inlineStr">
        <is>
          <t>Safe Vulnerability &amp; Security Checks</t>
        </is>
      </c>
      <c r="D174" s="12" t="inlineStr">
        <is>
          <t>Session Token Expiration &amp; Revocation on Workout &amp; Meal Plans Catalog Tab</t>
        </is>
      </c>
      <c r="E174" s="12" t="inlineStr">
        <is>
          <t>1. Launch test runner in Security Audit Sandbox.
2. Navigate to Workout &amp; Meal Plans Catalog Tab (PlansTab).
3. Present expired JWT token to PlansTab API endpoint, attempt data fetch.
4. Verify expected results and log evidence.</t>
        </is>
      </c>
      <c r="F174" s="12" t="inlineStr">
        <is>
          <t>JWT Token: Expired/Revoked</t>
        </is>
      </c>
      <c r="G174" s="12" t="inlineStr">
        <is>
          <t>API gateway invalidates session and redirects to login view.</t>
        </is>
      </c>
      <c r="H174" s="12" t="inlineStr">
        <is>
          <t>Pending Execution</t>
        </is>
      </c>
      <c r="I174" s="13" t="inlineStr">
        <is>
          <t>Not Executed</t>
        </is>
      </c>
      <c r="J174" s="11" t="inlineStr">
        <is>
          <t>Medium</t>
        </is>
      </c>
      <c r="K174" s="11" t="inlineStr">
        <is>
          <t>Moderate</t>
        </is>
      </c>
      <c r="L174" s="11" t="inlineStr">
        <is>
          <t>Script Ready</t>
        </is>
      </c>
      <c r="M174" s="12" t="inlineStr">
        <is>
          <t>Security Audit Sandbox</t>
        </is>
      </c>
      <c r="N174" s="12" t="inlineStr">
        <is>
          <t>Defensive Security Audit Engine</t>
        </is>
      </c>
      <c r="O174" s="12" t="inlineStr">
        <is>
          <t>Screen-specific baseline case for Workout &amp; Meal Plans Catalog Tab</t>
        </is>
      </c>
    </row>
    <row r="175" ht="36" customHeight="1">
      <c r="A175" s="11" t="inlineStr">
        <is>
          <t>TC-174</t>
        </is>
      </c>
      <c r="B175" s="12" t="inlineStr">
        <is>
          <t>PlansTab</t>
        </is>
      </c>
      <c r="C175" s="12" t="inlineStr">
        <is>
          <t>Safe Vulnerability &amp; Security Checks</t>
        </is>
      </c>
      <c r="D175" s="12" t="inlineStr">
        <is>
          <t>Safe SQL Injection Input Defense on Workout &amp; Meal Plans Catalog Tab</t>
        </is>
      </c>
      <c r="E175" s="12" t="inlineStr">
        <is>
          <t>1. Launch test runner in Security Audit Sandbox.
2. Navigate to Workout &amp; Meal Plans Catalog Tab (PlansTab).
3. Submit safe SQLi payload `' OR '1'='1` into text input fields on PlansTab.
4. Verify expected results and log evidence.</t>
        </is>
      </c>
      <c r="F175" s="12" t="inlineStr">
        <is>
          <t>Payload: `' OR '1'='1`</t>
        </is>
      </c>
      <c r="G175" s="12" t="inlineStr">
        <is>
          <t>Input is parameterized/escaped cleanly; no SQL error occurs.</t>
        </is>
      </c>
      <c r="H175" s="12" t="inlineStr">
        <is>
          <t>Pending Execution</t>
        </is>
      </c>
      <c r="I175" s="13" t="inlineStr">
        <is>
          <t>Not Executed</t>
        </is>
      </c>
      <c r="J175" s="11" t="inlineStr">
        <is>
          <t>High</t>
        </is>
      </c>
      <c r="K175" s="11" t="inlineStr">
        <is>
          <t>Major</t>
        </is>
      </c>
      <c r="L175" s="11" t="inlineStr">
        <is>
          <t>Script Ready</t>
        </is>
      </c>
      <c r="M175" s="12" t="inlineStr">
        <is>
          <t>Security Audit Sandbox</t>
        </is>
      </c>
      <c r="N175" s="12" t="inlineStr">
        <is>
          <t>Defensive Security Audit Engine</t>
        </is>
      </c>
      <c r="O175" s="12" t="inlineStr">
        <is>
          <t>Screen-specific baseline case for Workout &amp; Meal Plans Catalog Tab</t>
        </is>
      </c>
    </row>
    <row r="176" ht="36" customHeight="1">
      <c r="A176" s="11" t="inlineStr">
        <is>
          <t>TC-175</t>
        </is>
      </c>
      <c r="B176" s="12" t="inlineStr">
        <is>
          <t>PlansTab</t>
        </is>
      </c>
      <c r="C176" s="12" t="inlineStr">
        <is>
          <t>Safe Vulnerability &amp; Security Checks</t>
        </is>
      </c>
      <c r="D176" s="12" t="inlineStr">
        <is>
          <t>Safe XSS Script Escaping Validation on Workout &amp; Meal Plans Catalog Tab</t>
        </is>
      </c>
      <c r="E176" s="12" t="inlineStr">
        <is>
          <t>1. Launch test runner in Security Audit Sandbox.
2. Navigate to Workout &amp; Meal Plans Catalog Tab (PlansTab).
3. Submit safe script payload `&lt;script&gt;alert(1)&lt;/script&gt;` into PlansTab fields.
4. Verify expected results and log evidence.</t>
        </is>
      </c>
      <c r="F176" s="12" t="inlineStr">
        <is>
          <t>Payload: `&lt;script&gt;alert(1)&lt;/script&gt;`</t>
        </is>
      </c>
      <c r="G176" s="12" t="inlineStr">
        <is>
          <t>Payload renders as plain text string; script does not execute.</t>
        </is>
      </c>
      <c r="H176" s="12" t="inlineStr">
        <is>
          <t>Pending Execution</t>
        </is>
      </c>
      <c r="I176" s="13" t="inlineStr">
        <is>
          <t>Not Executed</t>
        </is>
      </c>
      <c r="J176" s="11" t="inlineStr">
        <is>
          <t>Low</t>
        </is>
      </c>
      <c r="K176" s="11" t="inlineStr">
        <is>
          <t>Critical</t>
        </is>
      </c>
      <c r="L176" s="11" t="inlineStr">
        <is>
          <t>Script Ready</t>
        </is>
      </c>
      <c r="M176" s="12" t="inlineStr">
        <is>
          <t>Security Audit Sandbox</t>
        </is>
      </c>
      <c r="N176" s="12" t="inlineStr">
        <is>
          <t>Defensive Security Audit Engine</t>
        </is>
      </c>
      <c r="O176" s="12" t="inlineStr">
        <is>
          <t>Screen-specific baseline case for Workout &amp; Meal Plans Catalog Tab</t>
        </is>
      </c>
    </row>
    <row r="177" ht="36" customHeight="1">
      <c r="A177" s="11" t="inlineStr">
        <is>
          <t>TC-176</t>
        </is>
      </c>
      <c r="B177" s="12" t="inlineStr">
        <is>
          <t>PlansTab</t>
        </is>
      </c>
      <c r="C177" s="12" t="inlineStr">
        <is>
          <t>Safe Vulnerability &amp; Security Checks</t>
        </is>
      </c>
      <c r="D177" s="12" t="inlineStr">
        <is>
          <t>TLS 1.3 Transport Encryption Enforcement on Workout &amp; Meal Plans Catalog Tab</t>
        </is>
      </c>
      <c r="E177" s="12" t="inlineStr">
        <is>
          <t>1. Launch test runner in Security Audit Sandbox.
2. Navigate to Workout &amp; Meal Plans Catalog Tab (PlansTab).
3. Inspect outbound network traffic for PlansTab using passive OWASP proxy.
4. Verify expected results and log evidence.</t>
        </is>
      </c>
      <c r="F177" s="12" t="inlineStr">
        <is>
          <t>Protocol: TLS 1.3 / HTTPS</t>
        </is>
      </c>
      <c r="G177" s="12" t="inlineStr">
        <is>
          <t>All HTTP connections upgrade to TLS 1.3; unencrypted HTTP blocked.</t>
        </is>
      </c>
      <c r="H177" s="12" t="inlineStr">
        <is>
          <t>Pending Execution</t>
        </is>
      </c>
      <c r="I177" s="13" t="inlineStr">
        <is>
          <t>Not Executed</t>
        </is>
      </c>
      <c r="J177" s="11" t="inlineStr">
        <is>
          <t>Medium</t>
        </is>
      </c>
      <c r="K177" s="11" t="inlineStr">
        <is>
          <t>Major</t>
        </is>
      </c>
      <c r="L177" s="11" t="inlineStr">
        <is>
          <t>Script Ready</t>
        </is>
      </c>
      <c r="M177" s="12" t="inlineStr">
        <is>
          <t>Security Audit Sandbox</t>
        </is>
      </c>
      <c r="N177" s="12" t="inlineStr">
        <is>
          <t>Defensive Security Audit Engine</t>
        </is>
      </c>
      <c r="O177" s="12" t="inlineStr">
        <is>
          <t>Screen-specific baseline case for Workout &amp; Meal Plans Catalog Tab</t>
        </is>
      </c>
    </row>
    <row r="178" ht="36" customHeight="1">
      <c r="A178" s="11" t="inlineStr">
        <is>
          <t>TC-177</t>
        </is>
      </c>
      <c r="B178" s="12" t="inlineStr">
        <is>
          <t>PlansTab</t>
        </is>
      </c>
      <c r="C178" s="12" t="inlineStr">
        <is>
          <t>Safe Vulnerability &amp; Security Checks</t>
        </is>
      </c>
      <c r="D178" s="12" t="inlineStr">
        <is>
          <t>API Rate Limiting 429 Response Check on Workout &amp; Meal Plans Catalog Tab</t>
        </is>
      </c>
      <c r="E178" s="12" t="inlineStr">
        <is>
          <t>1. Launch test runner in Security Audit Sandbox.
2. Navigate to Workout &amp; Meal Plans Catalog Tab (PlansTab).
3. Send 100 rapid requests within 5 seconds to PlansTab public endpoints.
4. Verify expected results and log evidence.</t>
        </is>
      </c>
      <c r="F178" s="12" t="inlineStr">
        <is>
          <t>Requests: 100 in 5s</t>
        </is>
      </c>
      <c r="G178" s="12" t="inlineStr">
        <is>
          <t>Rate limiter triggers HTTP 429 Too Many Requests response.</t>
        </is>
      </c>
      <c r="H178" s="12" t="inlineStr">
        <is>
          <t>Pending Execution</t>
        </is>
      </c>
      <c r="I178" s="13" t="inlineStr">
        <is>
          <t>Not Executed</t>
        </is>
      </c>
      <c r="J178" s="11" t="inlineStr">
        <is>
          <t>High</t>
        </is>
      </c>
      <c r="K178" s="11" t="inlineStr">
        <is>
          <t>Moderate</t>
        </is>
      </c>
      <c r="L178" s="11" t="inlineStr">
        <is>
          <t>Script Ready</t>
        </is>
      </c>
      <c r="M178" s="12" t="inlineStr">
        <is>
          <t>Security Audit Sandbox</t>
        </is>
      </c>
      <c r="N178" s="12" t="inlineStr">
        <is>
          <t>Defensive Security Audit Engine</t>
        </is>
      </c>
      <c r="O178" s="12" t="inlineStr">
        <is>
          <t>Screen-specific baseline case for Workout &amp; Meal Plans Catalog Tab</t>
        </is>
      </c>
    </row>
    <row r="179" ht="36" customHeight="1">
      <c r="A179" s="11" t="inlineStr">
        <is>
          <t>TC-178</t>
        </is>
      </c>
      <c r="B179" s="12" t="inlineStr">
        <is>
          <t>PlansTab</t>
        </is>
      </c>
      <c r="C179" s="12" t="inlineStr">
        <is>
          <t>Safe Vulnerability &amp; Security Checks</t>
        </is>
      </c>
      <c r="D179" s="12" t="inlineStr">
        <is>
          <t>Supabase Row Level Security (RLS) Audit on Workout &amp; Meal Plans Catalog Tab</t>
        </is>
      </c>
      <c r="E179" s="12" t="inlineStr">
        <is>
          <t>1. Launch test runner in Security Audit Sandbox.
2. Navigate to Workout &amp; Meal Plans Catalog Tab (PlansTab).
3. Query Supabase PostgreSQL table for PlansTab without auth header.
4. Verify expected results and log evidence.</t>
        </is>
      </c>
      <c r="F179" s="12" t="inlineStr">
        <is>
          <t>RLS Check: PlansTab_table</t>
        </is>
      </c>
      <c r="G179" s="12" t="inlineStr">
        <is>
          <t>Supabase RLS policy blocks unauthorized row query access.</t>
        </is>
      </c>
      <c r="H179" s="12" t="inlineStr">
        <is>
          <t>Pending Execution</t>
        </is>
      </c>
      <c r="I179" s="13" t="inlineStr">
        <is>
          <t>Not Executed</t>
        </is>
      </c>
      <c r="J179" s="11" t="inlineStr">
        <is>
          <t>Medium</t>
        </is>
      </c>
      <c r="K179" s="11" t="inlineStr">
        <is>
          <t>Major</t>
        </is>
      </c>
      <c r="L179" s="11" t="inlineStr">
        <is>
          <t>Script Ready</t>
        </is>
      </c>
      <c r="M179" s="12" t="inlineStr">
        <is>
          <t>Security Audit Sandbox</t>
        </is>
      </c>
      <c r="N179" s="12" t="inlineStr">
        <is>
          <t>Defensive Security Audit Engine</t>
        </is>
      </c>
      <c r="O179" s="12" t="inlineStr">
        <is>
          <t>Screen-specific baseline case for Workout &amp; Meal Plans Catalog Tab</t>
        </is>
      </c>
    </row>
    <row r="180" ht="36" customHeight="1">
      <c r="A180" s="11" t="inlineStr">
        <is>
          <t>TC-179</t>
        </is>
      </c>
      <c r="B180" s="12" t="inlineStr">
        <is>
          <t>PlansTab</t>
        </is>
      </c>
      <c r="C180" s="12" t="inlineStr">
        <is>
          <t>Safe Vulnerability &amp; Security Checks</t>
        </is>
      </c>
      <c r="D180" s="12" t="inlineStr">
        <is>
          <t>Privileged Route Guard Verification on Workout &amp; Meal Plans Catalog Tab</t>
        </is>
      </c>
      <c r="E180" s="12" t="inlineStr">
        <is>
          <t>1. Launch test runner in Security Audit Sandbox.
2. Navigate to Workout &amp; Meal Plans Catalog Tab (PlansTab).
3. Attempt deep linking directly to restricted PlansTab view as unauthenticated user.
4. Verify expected results and log evidence.</t>
        </is>
      </c>
      <c r="F180" s="12" t="inlineStr">
        <is>
          <t>Route: /PlansTab_admin</t>
        </is>
      </c>
      <c r="G180" s="12" t="inlineStr">
        <is>
          <t>Router guard intercepts request and redirects to login screen.</t>
        </is>
      </c>
      <c r="H180" s="12" t="inlineStr">
        <is>
          <t>Pending Execution</t>
        </is>
      </c>
      <c r="I180" s="13" t="inlineStr">
        <is>
          <t>Not Executed</t>
        </is>
      </c>
      <c r="J180" s="11" t="inlineStr">
        <is>
          <t>Medium</t>
        </is>
      </c>
      <c r="K180" s="11" t="inlineStr">
        <is>
          <t>Moderate</t>
        </is>
      </c>
      <c r="L180" s="11" t="inlineStr">
        <is>
          <t>Script Ready</t>
        </is>
      </c>
      <c r="M180" s="12" t="inlineStr">
        <is>
          <t>Security Audit Sandbox</t>
        </is>
      </c>
      <c r="N180" s="12" t="inlineStr">
        <is>
          <t>Defensive Security Audit Engine</t>
        </is>
      </c>
      <c r="O180" s="12" t="inlineStr">
        <is>
          <t>Screen-specific baseline case for Workout &amp; Meal Plans Catalog Tab</t>
        </is>
      </c>
    </row>
    <row r="181" ht="36" customHeight="1">
      <c r="A181" s="11" t="inlineStr">
        <is>
          <t>TC-180</t>
        </is>
      </c>
      <c r="B181" s="12" t="inlineStr">
        <is>
          <t>PlansTab</t>
        </is>
      </c>
      <c r="C181" s="12" t="inlineStr">
        <is>
          <t>Safe Vulnerability &amp; Security Checks</t>
        </is>
      </c>
      <c r="D181" s="12" t="inlineStr">
        <is>
          <t>Sensitive Data Masking &amp; Log Leak Check on Workout &amp; Meal Plans Catalog Tab</t>
        </is>
      </c>
      <c r="E181" s="12" t="inlineStr">
        <is>
          <t>1. Launch test runner in Security Audit Sandbox.
2. Navigate to Workout &amp; Meal Plans Catalog Tab (PlansTab).
3. Audit application log files and network payloads for exposed PlansTab secrets.
4. Verify expected results and log evidence.</t>
        </is>
      </c>
      <c r="F181" s="12" t="inlineStr">
        <is>
          <t>Audit: Password/Token fields</t>
        </is>
      </c>
      <c r="G181" s="12" t="inlineStr">
        <is>
          <t>Sensitive credentials and PII are masked or omitted from logs.</t>
        </is>
      </c>
      <c r="H181" s="12" t="inlineStr">
        <is>
          <t>Pending Execution</t>
        </is>
      </c>
      <c r="I181" s="13" t="inlineStr">
        <is>
          <t>Not Executed</t>
        </is>
      </c>
      <c r="J181" s="11" t="inlineStr">
        <is>
          <t>High</t>
        </is>
      </c>
      <c r="K181" s="11" t="inlineStr">
        <is>
          <t>Major</t>
        </is>
      </c>
      <c r="L181" s="11" t="inlineStr">
        <is>
          <t>Script Ready</t>
        </is>
      </c>
      <c r="M181" s="12" t="inlineStr">
        <is>
          <t>Security Audit Sandbox</t>
        </is>
      </c>
      <c r="N181" s="12" t="inlineStr">
        <is>
          <t>Defensive Security Audit Engine</t>
        </is>
      </c>
      <c r="O181" s="12" t="inlineStr">
        <is>
          <t>Screen-specific baseline case for Workout &amp; Meal Plans Catalog Tab</t>
        </is>
      </c>
    </row>
    <row r="182" ht="36" customHeight="1">
      <c r="A182" s="11" t="inlineStr">
        <is>
          <t>TC-181</t>
        </is>
      </c>
      <c r="B182" s="12" t="inlineStr">
        <is>
          <t>TrackersTab</t>
        </is>
      </c>
      <c r="C182" s="12" t="inlineStr">
        <is>
          <t>Safe Vulnerability &amp; Security Checks</t>
        </is>
      </c>
      <c r="D182" s="12" t="inlineStr">
        <is>
          <t>Authentication Lockout &amp; Brute-Force on Health Trackers Overview Tab</t>
        </is>
      </c>
      <c r="E182" s="12" t="inlineStr">
        <is>
          <t>1. Launch test runner in Security Audit Sandbox.
2. Navigate to Health Trackers Overview Tab (TrackersTab).
3. Attempt 10 invalid authentication requests on TrackersTab in rapid succession.
4. Verify expected results and log evidence.</t>
        </is>
      </c>
      <c r="F182" s="12" t="inlineStr">
        <is>
          <t>Attempts: 10 invalid</t>
        </is>
      </c>
      <c r="G182" s="12" t="inlineStr">
        <is>
          <t>Account temporarily locks out after 5 failed attempts with 429 response.</t>
        </is>
      </c>
      <c r="H182" s="12" t="inlineStr">
        <is>
          <t>Pending Execution</t>
        </is>
      </c>
      <c r="I182" s="13" t="inlineStr">
        <is>
          <t>Not Executed</t>
        </is>
      </c>
      <c r="J182" s="11" t="inlineStr">
        <is>
          <t>Medium</t>
        </is>
      </c>
      <c r="K182" s="11" t="inlineStr">
        <is>
          <t>Moderate</t>
        </is>
      </c>
      <c r="L182" s="11" t="inlineStr">
        <is>
          <t>Script Ready</t>
        </is>
      </c>
      <c r="M182" s="12" t="inlineStr">
        <is>
          <t>Security Audit Sandbox</t>
        </is>
      </c>
      <c r="N182" s="12" t="inlineStr">
        <is>
          <t>Defensive Security Audit Engine</t>
        </is>
      </c>
      <c r="O182" s="12" t="inlineStr">
        <is>
          <t>Screen-specific baseline case for Health Trackers Overview Tab</t>
        </is>
      </c>
    </row>
    <row r="183" ht="36" customHeight="1">
      <c r="A183" s="11" t="inlineStr">
        <is>
          <t>TC-182</t>
        </is>
      </c>
      <c r="B183" s="12" t="inlineStr">
        <is>
          <t>TrackersTab</t>
        </is>
      </c>
      <c r="C183" s="12" t="inlineStr">
        <is>
          <t>Safe Vulnerability &amp; Security Checks</t>
        </is>
      </c>
      <c r="D183" s="12" t="inlineStr">
        <is>
          <t>Role-Based Authorization &amp; IDOR Check on Health Trackers Overview Tab</t>
        </is>
      </c>
      <c r="E183" s="12" t="inlineStr">
        <is>
          <t>1. Launch test runner in Security Audit Sandbox.
2. Navigate to Health Trackers Overview Tab (TrackersTab).
3. Attempt querying secondary user private records on TrackersTab using guest JWT.
4. Verify expected results and log evidence.</t>
        </is>
      </c>
      <c r="F183" s="12" t="inlineStr">
        <is>
          <t>IDOR Payload: TrackersTab_user_999</t>
        </is>
      </c>
      <c r="G183" s="12" t="inlineStr">
        <is>
          <t>Database and API reject request with HTTP 403 Forbidden.</t>
        </is>
      </c>
      <c r="H183" s="12" t="inlineStr">
        <is>
          <t>Pending Execution</t>
        </is>
      </c>
      <c r="I183" s="13" t="inlineStr">
        <is>
          <t>Not Executed</t>
        </is>
      </c>
      <c r="J183" s="11" t="inlineStr">
        <is>
          <t>Medium</t>
        </is>
      </c>
      <c r="K183" s="11" t="inlineStr">
        <is>
          <t>Critical</t>
        </is>
      </c>
      <c r="L183" s="11" t="inlineStr">
        <is>
          <t>Script Ready</t>
        </is>
      </c>
      <c r="M183" s="12" t="inlineStr">
        <is>
          <t>Security Audit Sandbox</t>
        </is>
      </c>
      <c r="N183" s="12" t="inlineStr">
        <is>
          <t>Defensive Security Audit Engine</t>
        </is>
      </c>
      <c r="O183" s="12" t="inlineStr">
        <is>
          <t>Screen-specific baseline case for Health Trackers Overview Tab</t>
        </is>
      </c>
    </row>
    <row r="184" ht="36" customHeight="1">
      <c r="A184" s="11" t="inlineStr">
        <is>
          <t>TC-183</t>
        </is>
      </c>
      <c r="B184" s="12" t="inlineStr">
        <is>
          <t>TrackersTab</t>
        </is>
      </c>
      <c r="C184" s="12" t="inlineStr">
        <is>
          <t>Safe Vulnerability &amp; Security Checks</t>
        </is>
      </c>
      <c r="D184" s="12" t="inlineStr">
        <is>
          <t>Session Token Expiration &amp; Revocation on Health Trackers Overview Tab</t>
        </is>
      </c>
      <c r="E184" s="12" t="inlineStr">
        <is>
          <t>1. Launch test runner in Security Audit Sandbox.
2. Navigate to Health Trackers Overview Tab (TrackersTab).
3. Present expired JWT token to TrackersTab API endpoint, attempt data fetch.
4. Verify expected results and log evidence.</t>
        </is>
      </c>
      <c r="F184" s="12" t="inlineStr">
        <is>
          <t>JWT Token: Expired/Revoked</t>
        </is>
      </c>
      <c r="G184" s="12" t="inlineStr">
        <is>
          <t>API gateway invalidates session and redirects to login view.</t>
        </is>
      </c>
      <c r="H184" s="12" t="inlineStr">
        <is>
          <t>Pending Execution</t>
        </is>
      </c>
      <c r="I184" s="13" t="inlineStr">
        <is>
          <t>Not Executed</t>
        </is>
      </c>
      <c r="J184" s="11" t="inlineStr">
        <is>
          <t>High</t>
        </is>
      </c>
      <c r="K184" s="11" t="inlineStr">
        <is>
          <t>Moderate</t>
        </is>
      </c>
      <c r="L184" s="11" t="inlineStr">
        <is>
          <t>Script Ready</t>
        </is>
      </c>
      <c r="M184" s="12" t="inlineStr">
        <is>
          <t>Security Audit Sandbox</t>
        </is>
      </c>
      <c r="N184" s="12" t="inlineStr">
        <is>
          <t>Defensive Security Audit Engine</t>
        </is>
      </c>
      <c r="O184" s="12" t="inlineStr">
        <is>
          <t>Screen-specific baseline case for Health Trackers Overview Tab</t>
        </is>
      </c>
    </row>
    <row r="185" ht="36" customHeight="1">
      <c r="A185" s="11" t="inlineStr">
        <is>
          <t>TC-184</t>
        </is>
      </c>
      <c r="B185" s="12" t="inlineStr">
        <is>
          <t>TrackersTab</t>
        </is>
      </c>
      <c r="C185" s="12" t="inlineStr">
        <is>
          <t>Safe Vulnerability &amp; Security Checks</t>
        </is>
      </c>
      <c r="D185" s="12" t="inlineStr">
        <is>
          <t>Safe SQL Injection Input Defense on Health Trackers Overview Tab</t>
        </is>
      </c>
      <c r="E185" s="12" t="inlineStr">
        <is>
          <t>1. Launch test runner in Security Audit Sandbox.
2. Navigate to Health Trackers Overview Tab (TrackersTab).
3. Submit safe SQLi payload `' OR '1'='1` into text input fields on TrackersTab.
4. Verify expected results and log evidence.</t>
        </is>
      </c>
      <c r="F185" s="12" t="inlineStr">
        <is>
          <t>Payload: `' OR '1'='1`</t>
        </is>
      </c>
      <c r="G185" s="12" t="inlineStr">
        <is>
          <t>Input is parameterized/escaped cleanly; no SQL error occurs.</t>
        </is>
      </c>
      <c r="H185" s="12" t="inlineStr">
        <is>
          <t>Pending Execution</t>
        </is>
      </c>
      <c r="I185" s="13" t="inlineStr">
        <is>
          <t>Not Executed</t>
        </is>
      </c>
      <c r="J185" s="11" t="inlineStr">
        <is>
          <t>Medium</t>
        </is>
      </c>
      <c r="K185" s="11" t="inlineStr">
        <is>
          <t>Major</t>
        </is>
      </c>
      <c r="L185" s="11" t="inlineStr">
        <is>
          <t>Script Ready</t>
        </is>
      </c>
      <c r="M185" s="12" t="inlineStr">
        <is>
          <t>Security Audit Sandbox</t>
        </is>
      </c>
      <c r="N185" s="12" t="inlineStr">
        <is>
          <t>Defensive Security Audit Engine</t>
        </is>
      </c>
      <c r="O185" s="12" t="inlineStr">
        <is>
          <t>Screen-specific baseline case for Health Trackers Overview Tab</t>
        </is>
      </c>
    </row>
    <row r="186" ht="36" customHeight="1">
      <c r="A186" s="11" t="inlineStr">
        <is>
          <t>TC-185</t>
        </is>
      </c>
      <c r="B186" s="12" t="inlineStr">
        <is>
          <t>TrackersTab</t>
        </is>
      </c>
      <c r="C186" s="12" t="inlineStr">
        <is>
          <t>Safe Vulnerability &amp; Security Checks</t>
        </is>
      </c>
      <c r="D186" s="12" t="inlineStr">
        <is>
          <t>Safe XSS Script Escaping Validation on Health Trackers Overview Tab</t>
        </is>
      </c>
      <c r="E186" s="12" t="inlineStr">
        <is>
          <t>1. Launch test runner in Security Audit Sandbox.
2. Navigate to Health Trackers Overview Tab (TrackersTab).
3. Submit safe script payload `&lt;script&gt;alert(1)&lt;/script&gt;` into TrackersTab fields.
4. Verify expected results and log evidence.</t>
        </is>
      </c>
      <c r="F186" s="12" t="inlineStr">
        <is>
          <t>Payload: `&lt;script&gt;alert(1)&lt;/script&gt;`</t>
        </is>
      </c>
      <c r="G186" s="12" t="inlineStr">
        <is>
          <t>Payload renders as plain text string; script does not execute.</t>
        </is>
      </c>
      <c r="H186" s="12" t="inlineStr">
        <is>
          <t>Pending Execution</t>
        </is>
      </c>
      <c r="I186" s="13" t="inlineStr">
        <is>
          <t>Not Executed</t>
        </is>
      </c>
      <c r="J186" s="11" t="inlineStr">
        <is>
          <t>Low</t>
        </is>
      </c>
      <c r="K186" s="11" t="inlineStr">
        <is>
          <t>Moderate</t>
        </is>
      </c>
      <c r="L186" s="11" t="inlineStr">
        <is>
          <t>Script Ready</t>
        </is>
      </c>
      <c r="M186" s="12" t="inlineStr">
        <is>
          <t>Security Audit Sandbox</t>
        </is>
      </c>
      <c r="N186" s="12" t="inlineStr">
        <is>
          <t>Defensive Security Audit Engine</t>
        </is>
      </c>
      <c r="O186" s="12" t="inlineStr">
        <is>
          <t>Screen-specific baseline case for Health Trackers Overview Tab</t>
        </is>
      </c>
    </row>
    <row r="187" ht="36" customHeight="1">
      <c r="A187" s="11" t="inlineStr">
        <is>
          <t>TC-186</t>
        </is>
      </c>
      <c r="B187" s="12" t="inlineStr">
        <is>
          <t>TrackersTab</t>
        </is>
      </c>
      <c r="C187" s="12" t="inlineStr">
        <is>
          <t>Safe Vulnerability &amp; Security Checks</t>
        </is>
      </c>
      <c r="D187" s="12" t="inlineStr">
        <is>
          <t>TLS 1.3 Transport Encryption Enforcement on Health Trackers Overview Tab</t>
        </is>
      </c>
      <c r="E187" s="12" t="inlineStr">
        <is>
          <t>1. Launch test runner in Security Audit Sandbox.
2. Navigate to Health Trackers Overview Tab (TrackersTab).
3. Inspect outbound network traffic for TrackersTab using passive OWASP proxy.
4. Verify expected results and log evidence.</t>
        </is>
      </c>
      <c r="F187" s="12" t="inlineStr">
        <is>
          <t>Protocol: TLS 1.3 / HTTPS</t>
        </is>
      </c>
      <c r="G187" s="12" t="inlineStr">
        <is>
          <t>All HTTP connections upgrade to TLS 1.3; unencrypted HTTP blocked.</t>
        </is>
      </c>
      <c r="H187" s="12" t="inlineStr">
        <is>
          <t>Pending Execution</t>
        </is>
      </c>
      <c r="I187" s="13" t="inlineStr">
        <is>
          <t>Not Executed</t>
        </is>
      </c>
      <c r="J187" s="11" t="inlineStr">
        <is>
          <t>High</t>
        </is>
      </c>
      <c r="K187" s="11" t="inlineStr">
        <is>
          <t>Major</t>
        </is>
      </c>
      <c r="L187" s="11" t="inlineStr">
        <is>
          <t>Script Ready</t>
        </is>
      </c>
      <c r="M187" s="12" t="inlineStr">
        <is>
          <t>Security Audit Sandbox</t>
        </is>
      </c>
      <c r="N187" s="12" t="inlineStr">
        <is>
          <t>Defensive Security Audit Engine</t>
        </is>
      </c>
      <c r="O187" s="12" t="inlineStr">
        <is>
          <t>Screen-specific baseline case for Health Trackers Overview Tab</t>
        </is>
      </c>
    </row>
    <row r="188" ht="36" customHeight="1">
      <c r="A188" s="11" t="inlineStr">
        <is>
          <t>TC-187</t>
        </is>
      </c>
      <c r="B188" s="12" t="inlineStr">
        <is>
          <t>TrackersTab</t>
        </is>
      </c>
      <c r="C188" s="12" t="inlineStr">
        <is>
          <t>Safe Vulnerability &amp; Security Checks</t>
        </is>
      </c>
      <c r="D188" s="12" t="inlineStr">
        <is>
          <t>API Rate Limiting 429 Response Check on Health Trackers Overview Tab</t>
        </is>
      </c>
      <c r="E188" s="12" t="inlineStr">
        <is>
          <t>1. Launch test runner in Security Audit Sandbox.
2. Navigate to Health Trackers Overview Tab (TrackersTab).
3. Send 100 rapid requests within 5 seconds to TrackersTab public endpoints.
4. Verify expected results and log evidence.</t>
        </is>
      </c>
      <c r="F188" s="12" t="inlineStr">
        <is>
          <t>Requests: 100 in 5s</t>
        </is>
      </c>
      <c r="G188" s="12" t="inlineStr">
        <is>
          <t>Rate limiter triggers HTTP 429 Too Many Requests response.</t>
        </is>
      </c>
      <c r="H188" s="12" t="inlineStr">
        <is>
          <t>Pending Execution</t>
        </is>
      </c>
      <c r="I188" s="13" t="inlineStr">
        <is>
          <t>Not Executed</t>
        </is>
      </c>
      <c r="J188" s="11" t="inlineStr">
        <is>
          <t>Medium</t>
        </is>
      </c>
      <c r="K188" s="11" t="inlineStr">
        <is>
          <t>Moderate</t>
        </is>
      </c>
      <c r="L188" s="11" t="inlineStr">
        <is>
          <t>Script Ready</t>
        </is>
      </c>
      <c r="M188" s="12" t="inlineStr">
        <is>
          <t>Security Audit Sandbox</t>
        </is>
      </c>
      <c r="N188" s="12" t="inlineStr">
        <is>
          <t>Defensive Security Audit Engine</t>
        </is>
      </c>
      <c r="O188" s="12" t="inlineStr">
        <is>
          <t>Screen-specific baseline case for Health Trackers Overview Tab</t>
        </is>
      </c>
    </row>
    <row r="189" ht="36" customHeight="1">
      <c r="A189" s="11" t="inlineStr">
        <is>
          <t>TC-188</t>
        </is>
      </c>
      <c r="B189" s="12" t="inlineStr">
        <is>
          <t>TrackersTab</t>
        </is>
      </c>
      <c r="C189" s="12" t="inlineStr">
        <is>
          <t>Safe Vulnerability &amp; Security Checks</t>
        </is>
      </c>
      <c r="D189" s="12" t="inlineStr">
        <is>
          <t>Supabase Row Level Security (RLS) Audit on Health Trackers Overview Tab</t>
        </is>
      </c>
      <c r="E189" s="12" t="inlineStr">
        <is>
          <t>1. Launch test runner in Security Audit Sandbox.
2. Navigate to Health Trackers Overview Tab (TrackersTab).
3. Query Supabase PostgreSQL table for TrackersTab without auth header.
4. Verify expected results and log evidence.</t>
        </is>
      </c>
      <c r="F189" s="12" t="inlineStr">
        <is>
          <t>RLS Check: TrackersTab_table</t>
        </is>
      </c>
      <c r="G189" s="12" t="inlineStr">
        <is>
          <t>Supabase RLS policy blocks unauthorized row query access.</t>
        </is>
      </c>
      <c r="H189" s="12" t="inlineStr">
        <is>
          <t>Pending Execution</t>
        </is>
      </c>
      <c r="I189" s="13" t="inlineStr">
        <is>
          <t>Not Executed</t>
        </is>
      </c>
      <c r="J189" s="11" t="inlineStr">
        <is>
          <t>Medium</t>
        </is>
      </c>
      <c r="K189" s="11" t="inlineStr">
        <is>
          <t>Major</t>
        </is>
      </c>
      <c r="L189" s="11" t="inlineStr">
        <is>
          <t>Script Ready</t>
        </is>
      </c>
      <c r="M189" s="12" t="inlineStr">
        <is>
          <t>Security Audit Sandbox</t>
        </is>
      </c>
      <c r="N189" s="12" t="inlineStr">
        <is>
          <t>Defensive Security Audit Engine</t>
        </is>
      </c>
      <c r="O189" s="12" t="inlineStr">
        <is>
          <t>Screen-specific baseline case for Health Trackers Overview Tab</t>
        </is>
      </c>
    </row>
    <row r="190" ht="36" customHeight="1">
      <c r="A190" s="11" t="inlineStr">
        <is>
          <t>TC-189</t>
        </is>
      </c>
      <c r="B190" s="12" t="inlineStr">
        <is>
          <t>TrackersTab</t>
        </is>
      </c>
      <c r="C190" s="12" t="inlineStr">
        <is>
          <t>Safe Vulnerability &amp; Security Checks</t>
        </is>
      </c>
      <c r="D190" s="12" t="inlineStr">
        <is>
          <t>Privileged Route Guard Verification on Health Trackers Overview Tab</t>
        </is>
      </c>
      <c r="E190" s="12" t="inlineStr">
        <is>
          <t>1. Launch test runner in Security Audit Sandbox.
2. Navigate to Health Trackers Overview Tab (TrackersTab).
3. Attempt deep linking directly to restricted TrackersTab view as unauthenticated user.
4. Verify expected results and log evidence.</t>
        </is>
      </c>
      <c r="F190" s="12" t="inlineStr">
        <is>
          <t>Route: /TrackersTab_admin</t>
        </is>
      </c>
      <c r="G190" s="12" t="inlineStr">
        <is>
          <t>Router guard intercepts request and redirects to login screen.</t>
        </is>
      </c>
      <c r="H190" s="12" t="inlineStr">
        <is>
          <t>Pending Execution</t>
        </is>
      </c>
      <c r="I190" s="13" t="inlineStr">
        <is>
          <t>Not Executed</t>
        </is>
      </c>
      <c r="J190" s="11" t="inlineStr">
        <is>
          <t>High</t>
        </is>
      </c>
      <c r="K190" s="11" t="inlineStr">
        <is>
          <t>Critical</t>
        </is>
      </c>
      <c r="L190" s="11" t="inlineStr">
        <is>
          <t>Script Ready</t>
        </is>
      </c>
      <c r="M190" s="12" t="inlineStr">
        <is>
          <t>Security Audit Sandbox</t>
        </is>
      </c>
      <c r="N190" s="12" t="inlineStr">
        <is>
          <t>Defensive Security Audit Engine</t>
        </is>
      </c>
      <c r="O190" s="12" t="inlineStr">
        <is>
          <t>Screen-specific baseline case for Health Trackers Overview Tab</t>
        </is>
      </c>
    </row>
    <row r="191" ht="36" customHeight="1">
      <c r="A191" s="11" t="inlineStr">
        <is>
          <t>TC-190</t>
        </is>
      </c>
      <c r="B191" s="12" t="inlineStr">
        <is>
          <t>TrackersTab</t>
        </is>
      </c>
      <c r="C191" s="12" t="inlineStr">
        <is>
          <t>Safe Vulnerability &amp; Security Checks</t>
        </is>
      </c>
      <c r="D191" s="12" t="inlineStr">
        <is>
          <t>Sensitive Data Masking &amp; Log Leak Check on Health Trackers Overview Tab</t>
        </is>
      </c>
      <c r="E191" s="12" t="inlineStr">
        <is>
          <t>1. Launch test runner in Security Audit Sandbox.
2. Navigate to Health Trackers Overview Tab (TrackersTab).
3. Audit application log files and network payloads for exposed TrackersTab secrets.
4. Verify expected results and log evidence.</t>
        </is>
      </c>
      <c r="F191" s="12" t="inlineStr">
        <is>
          <t>Audit: Password/Token fields</t>
        </is>
      </c>
      <c r="G191" s="12" t="inlineStr">
        <is>
          <t>Sensitive credentials and PII are masked or omitted from logs.</t>
        </is>
      </c>
      <c r="H191" s="12" t="inlineStr">
        <is>
          <t>Pending Execution</t>
        </is>
      </c>
      <c r="I191" s="13" t="inlineStr">
        <is>
          <t>Not Executed</t>
        </is>
      </c>
      <c r="J191" s="11" t="inlineStr">
        <is>
          <t>Low</t>
        </is>
      </c>
      <c r="K191" s="11" t="inlineStr">
        <is>
          <t>Major</t>
        </is>
      </c>
      <c r="L191" s="11" t="inlineStr">
        <is>
          <t>Script Ready</t>
        </is>
      </c>
      <c r="M191" s="12" t="inlineStr">
        <is>
          <t>Security Audit Sandbox</t>
        </is>
      </c>
      <c r="N191" s="12" t="inlineStr">
        <is>
          <t>Defensive Security Audit Engine</t>
        </is>
      </c>
      <c r="O191" s="12" t="inlineStr">
        <is>
          <t>Screen-specific baseline case for Health Trackers Overview Tab</t>
        </is>
      </c>
    </row>
    <row r="192" ht="36" customHeight="1">
      <c r="A192" s="11" t="inlineStr">
        <is>
          <t>TC-191</t>
        </is>
      </c>
      <c r="B192" s="12" t="inlineStr">
        <is>
          <t>WaterTrackerSection</t>
        </is>
      </c>
      <c r="C192" s="12" t="inlineStr">
        <is>
          <t>Safe Vulnerability &amp; Security Checks</t>
        </is>
      </c>
      <c r="D192" s="12" t="inlineStr">
        <is>
          <t>Authentication Lockout &amp; Brute-Force on Water Intake &amp; Hydration Tracker</t>
        </is>
      </c>
      <c r="E192" s="12" t="inlineStr">
        <is>
          <t>1. Launch test runner in Security Audit Sandbox.
2. Navigate to Water Intake &amp; Hydration Tracker (WaterTrackerSection).
3. Attempt 10 invalid authentication requests on WaterTrackerSection in rapid succession.
4. Verify expected results and log evidence.</t>
        </is>
      </c>
      <c r="F192" s="12" t="inlineStr">
        <is>
          <t>Attempts: 10 invalid</t>
        </is>
      </c>
      <c r="G192" s="12" t="inlineStr">
        <is>
          <t>Account temporarily locks out after 5 failed attempts with 429 response.</t>
        </is>
      </c>
      <c r="H192" s="12" t="inlineStr">
        <is>
          <t>Pending Execution</t>
        </is>
      </c>
      <c r="I192" s="13" t="inlineStr">
        <is>
          <t>Not Executed</t>
        </is>
      </c>
      <c r="J192" s="11" t="inlineStr">
        <is>
          <t>Medium</t>
        </is>
      </c>
      <c r="K192" s="11" t="inlineStr">
        <is>
          <t>Moderate</t>
        </is>
      </c>
      <c r="L192" s="11" t="inlineStr">
        <is>
          <t>Script Ready</t>
        </is>
      </c>
      <c r="M192" s="12" t="inlineStr">
        <is>
          <t>Security Audit Sandbox</t>
        </is>
      </c>
      <c r="N192" s="12" t="inlineStr">
        <is>
          <t>Defensive Security Audit Engine</t>
        </is>
      </c>
      <c r="O192" s="12" t="inlineStr">
        <is>
          <t>Screen-specific baseline case for Water Intake &amp; Hydration Tracker</t>
        </is>
      </c>
    </row>
    <row r="193" ht="36" customHeight="1">
      <c r="A193" s="11" t="inlineStr">
        <is>
          <t>TC-192</t>
        </is>
      </c>
      <c r="B193" s="12" t="inlineStr">
        <is>
          <t>WaterTrackerSection</t>
        </is>
      </c>
      <c r="C193" s="12" t="inlineStr">
        <is>
          <t>Safe Vulnerability &amp; Security Checks</t>
        </is>
      </c>
      <c r="D193" s="12" t="inlineStr">
        <is>
          <t>Role-Based Authorization &amp; IDOR Check on Water Intake &amp; Hydration Tracker</t>
        </is>
      </c>
      <c r="E193" s="12" t="inlineStr">
        <is>
          <t>1. Launch test runner in Security Audit Sandbox.
2. Navigate to Water Intake &amp; Hydration Tracker (WaterTrackerSection).
3. Attempt querying secondary user private records on WaterTrackerSection using guest JWT.
4. Verify expected results and log evidence.</t>
        </is>
      </c>
      <c r="F193" s="12" t="inlineStr">
        <is>
          <t>IDOR Payload: WaterTrackerSection_user_999</t>
        </is>
      </c>
      <c r="G193" s="12" t="inlineStr">
        <is>
          <t>Database and API reject request with HTTP 403 Forbidden.</t>
        </is>
      </c>
      <c r="H193" s="12" t="inlineStr">
        <is>
          <t>Pending Execution</t>
        </is>
      </c>
      <c r="I193" s="13" t="inlineStr">
        <is>
          <t>Not Executed</t>
        </is>
      </c>
      <c r="J193" s="11" t="inlineStr">
        <is>
          <t>High</t>
        </is>
      </c>
      <c r="K193" s="11" t="inlineStr">
        <is>
          <t>Major</t>
        </is>
      </c>
      <c r="L193" s="11" t="inlineStr">
        <is>
          <t>Script Ready</t>
        </is>
      </c>
      <c r="M193" s="12" t="inlineStr">
        <is>
          <t>Security Audit Sandbox</t>
        </is>
      </c>
      <c r="N193" s="12" t="inlineStr">
        <is>
          <t>Defensive Security Audit Engine</t>
        </is>
      </c>
      <c r="O193" s="12" t="inlineStr">
        <is>
          <t>Screen-specific baseline case for Water Intake &amp; Hydration Tracker</t>
        </is>
      </c>
    </row>
    <row r="194" ht="36" customHeight="1">
      <c r="A194" s="11" t="inlineStr">
        <is>
          <t>TC-193</t>
        </is>
      </c>
      <c r="B194" s="12" t="inlineStr">
        <is>
          <t>WaterTrackerSection</t>
        </is>
      </c>
      <c r="C194" s="12" t="inlineStr">
        <is>
          <t>Safe Vulnerability &amp; Security Checks</t>
        </is>
      </c>
      <c r="D194" s="12" t="inlineStr">
        <is>
          <t>Session Token Expiration &amp; Revocation on Water Intake &amp; Hydration Tracker</t>
        </is>
      </c>
      <c r="E194" s="12" t="inlineStr">
        <is>
          <t>1. Launch test runner in Security Audit Sandbox.
2. Navigate to Water Intake &amp; Hydration Tracker (WaterTrackerSection).
3. Present expired JWT token to WaterTrackerSection API endpoint, attempt data fetch.
4. Verify expected results and log evidence.</t>
        </is>
      </c>
      <c r="F194" s="12" t="inlineStr">
        <is>
          <t>JWT Token: Expired/Revoked</t>
        </is>
      </c>
      <c r="G194" s="12" t="inlineStr">
        <is>
          <t>API gateway invalidates session and redirects to login view.</t>
        </is>
      </c>
      <c r="H194" s="12" t="inlineStr">
        <is>
          <t>Pending Execution</t>
        </is>
      </c>
      <c r="I194" s="13" t="inlineStr">
        <is>
          <t>Not Executed</t>
        </is>
      </c>
      <c r="J194" s="11" t="inlineStr">
        <is>
          <t>Medium</t>
        </is>
      </c>
      <c r="K194" s="11" t="inlineStr">
        <is>
          <t>Moderate</t>
        </is>
      </c>
      <c r="L194" s="11" t="inlineStr">
        <is>
          <t>Script Ready</t>
        </is>
      </c>
      <c r="M194" s="12" t="inlineStr">
        <is>
          <t>Security Audit Sandbox</t>
        </is>
      </c>
      <c r="N194" s="12" t="inlineStr">
        <is>
          <t>Defensive Security Audit Engine</t>
        </is>
      </c>
      <c r="O194" s="12" t="inlineStr">
        <is>
          <t>Screen-specific baseline case for Water Intake &amp; Hydration Tracker</t>
        </is>
      </c>
    </row>
    <row r="195" ht="36" customHeight="1">
      <c r="A195" s="11" t="inlineStr">
        <is>
          <t>TC-194</t>
        </is>
      </c>
      <c r="B195" s="12" t="inlineStr">
        <is>
          <t>WaterTrackerSection</t>
        </is>
      </c>
      <c r="C195" s="12" t="inlineStr">
        <is>
          <t>Safe Vulnerability &amp; Security Checks</t>
        </is>
      </c>
      <c r="D195" s="12" t="inlineStr">
        <is>
          <t>Safe SQL Injection Input Defense on Water Intake &amp; Hydration Tracker</t>
        </is>
      </c>
      <c r="E195" s="12" t="inlineStr">
        <is>
          <t>1. Launch test runner in Security Audit Sandbox.
2. Navigate to Water Intake &amp; Hydration Tracker (WaterTrackerSection).
3. Submit safe SQLi payload `' OR '1'='1` into text input fields on WaterTrackerSection.
4. Verify expected results and log evidence.</t>
        </is>
      </c>
      <c r="F195" s="12" t="inlineStr">
        <is>
          <t>Payload: `' OR '1'='1`</t>
        </is>
      </c>
      <c r="G195" s="12" t="inlineStr">
        <is>
          <t>Input is parameterized/escaped cleanly; no SQL error occurs.</t>
        </is>
      </c>
      <c r="H195" s="12" t="inlineStr">
        <is>
          <t>Pending Execution</t>
        </is>
      </c>
      <c r="I195" s="13" t="inlineStr">
        <is>
          <t>Not Executed</t>
        </is>
      </c>
      <c r="J195" s="11" t="inlineStr">
        <is>
          <t>Medium</t>
        </is>
      </c>
      <c r="K195" s="11" t="inlineStr">
        <is>
          <t>Major</t>
        </is>
      </c>
      <c r="L195" s="11" t="inlineStr">
        <is>
          <t>Script Ready</t>
        </is>
      </c>
      <c r="M195" s="12" t="inlineStr">
        <is>
          <t>Security Audit Sandbox</t>
        </is>
      </c>
      <c r="N195" s="12" t="inlineStr">
        <is>
          <t>Defensive Security Audit Engine</t>
        </is>
      </c>
      <c r="O195" s="12" t="inlineStr">
        <is>
          <t>Screen-specific baseline case for Water Intake &amp; Hydration Tracker</t>
        </is>
      </c>
    </row>
    <row r="196" ht="36" customHeight="1">
      <c r="A196" s="11" t="inlineStr">
        <is>
          <t>TC-195</t>
        </is>
      </c>
      <c r="B196" s="12" t="inlineStr">
        <is>
          <t>WaterTrackerSection</t>
        </is>
      </c>
      <c r="C196" s="12" t="inlineStr">
        <is>
          <t>Safe Vulnerability &amp; Security Checks</t>
        </is>
      </c>
      <c r="D196" s="12" t="inlineStr">
        <is>
          <t>Safe XSS Script Escaping Validation on Water Intake &amp; Hydration Tracker</t>
        </is>
      </c>
      <c r="E196" s="12" t="inlineStr">
        <is>
          <t>1. Launch test runner in Security Audit Sandbox.
2. Navigate to Water Intake &amp; Hydration Tracker (WaterTrackerSection).
3. Submit safe script payload `&lt;script&gt;alert(1)&lt;/script&gt;` into WaterTrackerSection fields.
4. Verify expected results and log evidence.</t>
        </is>
      </c>
      <c r="F196" s="12" t="inlineStr">
        <is>
          <t>Payload: `&lt;script&gt;alert(1)&lt;/script&gt;`</t>
        </is>
      </c>
      <c r="G196" s="12" t="inlineStr">
        <is>
          <t>Payload renders as plain text string; script does not execute.</t>
        </is>
      </c>
      <c r="H196" s="12" t="inlineStr">
        <is>
          <t>Pending Execution</t>
        </is>
      </c>
      <c r="I196" s="13" t="inlineStr">
        <is>
          <t>Not Executed</t>
        </is>
      </c>
      <c r="J196" s="11" t="inlineStr">
        <is>
          <t>High</t>
        </is>
      </c>
      <c r="K196" s="11" t="inlineStr">
        <is>
          <t>Moderate</t>
        </is>
      </c>
      <c r="L196" s="11" t="inlineStr">
        <is>
          <t>Script Ready</t>
        </is>
      </c>
      <c r="M196" s="12" t="inlineStr">
        <is>
          <t>Security Audit Sandbox</t>
        </is>
      </c>
      <c r="N196" s="12" t="inlineStr">
        <is>
          <t>Defensive Security Audit Engine</t>
        </is>
      </c>
      <c r="O196" s="12" t="inlineStr">
        <is>
          <t>Screen-specific baseline case for Water Intake &amp; Hydration Tracker</t>
        </is>
      </c>
    </row>
    <row r="197" ht="36" customHeight="1">
      <c r="A197" s="11" t="inlineStr">
        <is>
          <t>TC-196</t>
        </is>
      </c>
      <c r="B197" s="12" t="inlineStr">
        <is>
          <t>WaterTrackerSection</t>
        </is>
      </c>
      <c r="C197" s="12" t="inlineStr">
        <is>
          <t>Safe Vulnerability &amp; Security Checks</t>
        </is>
      </c>
      <c r="D197" s="12" t="inlineStr">
        <is>
          <t>TLS 1.3 Transport Encryption Enforcement on Water Intake &amp; Hydration Tracker</t>
        </is>
      </c>
      <c r="E197" s="12" t="inlineStr">
        <is>
          <t>1. Launch test runner in Security Audit Sandbox.
2. Navigate to Water Intake &amp; Hydration Tracker (WaterTrackerSection).
3. Inspect outbound network traffic for WaterTrackerSection using passive OWASP proxy.
4. Verify expected results and log evidence.</t>
        </is>
      </c>
      <c r="F197" s="12" t="inlineStr">
        <is>
          <t>Protocol: TLS 1.3 / HTTPS</t>
        </is>
      </c>
      <c r="G197" s="12" t="inlineStr">
        <is>
          <t>All HTTP connections upgrade to TLS 1.3; unencrypted HTTP blocked.</t>
        </is>
      </c>
      <c r="H197" s="12" t="inlineStr">
        <is>
          <t>Pending Execution</t>
        </is>
      </c>
      <c r="I197" s="13" t="inlineStr">
        <is>
          <t>Not Executed</t>
        </is>
      </c>
      <c r="J197" s="11" t="inlineStr">
        <is>
          <t>Medium</t>
        </is>
      </c>
      <c r="K197" s="11" t="inlineStr">
        <is>
          <t>Critical</t>
        </is>
      </c>
      <c r="L197" s="11" t="inlineStr">
        <is>
          <t>Script Ready</t>
        </is>
      </c>
      <c r="M197" s="12" t="inlineStr">
        <is>
          <t>Security Audit Sandbox</t>
        </is>
      </c>
      <c r="N197" s="12" t="inlineStr">
        <is>
          <t>Defensive Security Audit Engine</t>
        </is>
      </c>
      <c r="O197" s="12" t="inlineStr">
        <is>
          <t>Screen-specific baseline case for Water Intake &amp; Hydration Tracker</t>
        </is>
      </c>
    </row>
    <row r="198" ht="36" customHeight="1">
      <c r="A198" s="11" t="inlineStr">
        <is>
          <t>TC-197</t>
        </is>
      </c>
      <c r="B198" s="12" t="inlineStr">
        <is>
          <t>WaterTrackerSection</t>
        </is>
      </c>
      <c r="C198" s="12" t="inlineStr">
        <is>
          <t>Safe Vulnerability &amp; Security Checks</t>
        </is>
      </c>
      <c r="D198" s="12" t="inlineStr">
        <is>
          <t>API Rate Limiting 429 Response Check on Water Intake &amp; Hydration Tracker</t>
        </is>
      </c>
      <c r="E198" s="12" t="inlineStr">
        <is>
          <t>1. Launch test runner in Security Audit Sandbox.
2. Navigate to Water Intake &amp; Hydration Tracker (WaterTrackerSection).
3. Send 100 rapid requests within 5 seconds to WaterTrackerSection public endpoints.
4. Verify expected results and log evidence.</t>
        </is>
      </c>
      <c r="F198" s="12" t="inlineStr">
        <is>
          <t>Requests: 100 in 5s</t>
        </is>
      </c>
      <c r="G198" s="12" t="inlineStr">
        <is>
          <t>Rate limiter triggers HTTP 429 Too Many Requests response.</t>
        </is>
      </c>
      <c r="H198" s="12" t="inlineStr">
        <is>
          <t>Pending Execution</t>
        </is>
      </c>
      <c r="I198" s="13" t="inlineStr">
        <is>
          <t>Not Executed</t>
        </is>
      </c>
      <c r="J198" s="11" t="inlineStr">
        <is>
          <t>Medium</t>
        </is>
      </c>
      <c r="K198" s="11" t="inlineStr">
        <is>
          <t>Moderate</t>
        </is>
      </c>
      <c r="L198" s="11" t="inlineStr">
        <is>
          <t>Script Ready</t>
        </is>
      </c>
      <c r="M198" s="12" t="inlineStr">
        <is>
          <t>Security Audit Sandbox</t>
        </is>
      </c>
      <c r="N198" s="12" t="inlineStr">
        <is>
          <t>Defensive Security Audit Engine</t>
        </is>
      </c>
      <c r="O198" s="12" t="inlineStr">
        <is>
          <t>Screen-specific baseline case for Water Intake &amp; Hydration Tracker</t>
        </is>
      </c>
    </row>
    <row r="199" ht="36" customHeight="1">
      <c r="A199" s="11" t="inlineStr">
        <is>
          <t>TC-198</t>
        </is>
      </c>
      <c r="B199" s="12" t="inlineStr">
        <is>
          <t>WaterTrackerSection</t>
        </is>
      </c>
      <c r="C199" s="12" t="inlineStr">
        <is>
          <t>Safe Vulnerability &amp; Security Checks</t>
        </is>
      </c>
      <c r="D199" s="12" t="inlineStr">
        <is>
          <t>Supabase Row Level Security (RLS) Audit on Water Intake &amp; Hydration Tracker</t>
        </is>
      </c>
      <c r="E199" s="12" t="inlineStr">
        <is>
          <t>1. Launch test runner in Security Audit Sandbox.
2. Navigate to Water Intake &amp; Hydration Tracker (WaterTrackerSection).
3. Query Supabase PostgreSQL table for WaterTrackerSection without auth header.
4. Verify expected results and log evidence.</t>
        </is>
      </c>
      <c r="F199" s="12" t="inlineStr">
        <is>
          <t>RLS Check: WaterTrackerSection_table</t>
        </is>
      </c>
      <c r="G199" s="12" t="inlineStr">
        <is>
          <t>Supabase RLS policy blocks unauthorized row query access.</t>
        </is>
      </c>
      <c r="H199" s="12" t="inlineStr">
        <is>
          <t>Pending Execution</t>
        </is>
      </c>
      <c r="I199" s="13" t="inlineStr">
        <is>
          <t>Not Executed</t>
        </is>
      </c>
      <c r="J199" s="11" t="inlineStr">
        <is>
          <t>High</t>
        </is>
      </c>
      <c r="K199" s="11" t="inlineStr">
        <is>
          <t>Major</t>
        </is>
      </c>
      <c r="L199" s="11" t="inlineStr">
        <is>
          <t>Script Ready</t>
        </is>
      </c>
      <c r="M199" s="12" t="inlineStr">
        <is>
          <t>Security Audit Sandbox</t>
        </is>
      </c>
      <c r="N199" s="12" t="inlineStr">
        <is>
          <t>Defensive Security Audit Engine</t>
        </is>
      </c>
      <c r="O199" s="12" t="inlineStr">
        <is>
          <t>Screen-specific baseline case for Water Intake &amp; Hydration Tracker</t>
        </is>
      </c>
    </row>
    <row r="200" ht="36" customHeight="1">
      <c r="A200" s="11" t="inlineStr">
        <is>
          <t>TC-199</t>
        </is>
      </c>
      <c r="B200" s="12" t="inlineStr">
        <is>
          <t>WaterTrackerSection</t>
        </is>
      </c>
      <c r="C200" s="12" t="inlineStr">
        <is>
          <t>Safe Vulnerability &amp; Security Checks</t>
        </is>
      </c>
      <c r="D200" s="12" t="inlineStr">
        <is>
          <t>Privileged Route Guard Verification on Water Intake &amp; Hydration Tracker</t>
        </is>
      </c>
      <c r="E200" s="12" t="inlineStr">
        <is>
          <t>1. Launch test runner in Security Audit Sandbox.
2. Navigate to Water Intake &amp; Hydration Tracker (WaterTrackerSection).
3. Attempt deep linking directly to restricted WaterTrackerSection view as unauthenticated user.
4. Verify expected results and log evidence.</t>
        </is>
      </c>
      <c r="F200" s="12" t="inlineStr">
        <is>
          <t>Route: /WaterTrackerSection_admin</t>
        </is>
      </c>
      <c r="G200" s="12" t="inlineStr">
        <is>
          <t>Router guard intercepts request and redirects to login screen.</t>
        </is>
      </c>
      <c r="H200" s="12" t="inlineStr">
        <is>
          <t>Pending Execution</t>
        </is>
      </c>
      <c r="I200" s="13" t="inlineStr">
        <is>
          <t>Not Executed</t>
        </is>
      </c>
      <c r="J200" s="11" t="inlineStr">
        <is>
          <t>Medium</t>
        </is>
      </c>
      <c r="K200" s="11" t="inlineStr">
        <is>
          <t>Moderate</t>
        </is>
      </c>
      <c r="L200" s="11" t="inlineStr">
        <is>
          <t>Script Ready</t>
        </is>
      </c>
      <c r="M200" s="12" t="inlineStr">
        <is>
          <t>Security Audit Sandbox</t>
        </is>
      </c>
      <c r="N200" s="12" t="inlineStr">
        <is>
          <t>Defensive Security Audit Engine</t>
        </is>
      </c>
      <c r="O200" s="12" t="inlineStr">
        <is>
          <t>Screen-specific baseline case for Water Intake &amp; Hydration Tracker</t>
        </is>
      </c>
    </row>
    <row r="201" ht="36" customHeight="1">
      <c r="A201" s="11" t="inlineStr">
        <is>
          <t>TC-200</t>
        </is>
      </c>
      <c r="B201" s="12" t="inlineStr">
        <is>
          <t>WaterTrackerSection</t>
        </is>
      </c>
      <c r="C201" s="12" t="inlineStr">
        <is>
          <t>Safe Vulnerability &amp; Security Checks</t>
        </is>
      </c>
      <c r="D201" s="12" t="inlineStr">
        <is>
          <t>Sensitive Data Masking &amp; Log Leak Check on Water Intake &amp; Hydration Tracker</t>
        </is>
      </c>
      <c r="E201" s="12" t="inlineStr">
        <is>
          <t>1. Launch test runner in Security Audit Sandbox.
2. Navigate to Water Intake &amp; Hydration Tracker (WaterTrackerSection).
3. Audit application log files and network payloads for exposed WaterTrackerSection secrets.
4. Verify expected results and log evidence.</t>
        </is>
      </c>
      <c r="F201" s="12" t="inlineStr">
        <is>
          <t>Audit: Password/Token fields</t>
        </is>
      </c>
      <c r="G201" s="12" t="inlineStr">
        <is>
          <t>Sensitive credentials and PII are masked or omitted from logs.</t>
        </is>
      </c>
      <c r="H201" s="12" t="inlineStr">
        <is>
          <t>Pending Execution</t>
        </is>
      </c>
      <c r="I201" s="13" t="inlineStr">
        <is>
          <t>Not Executed</t>
        </is>
      </c>
      <c r="J201" s="11" t="inlineStr">
        <is>
          <t>Low</t>
        </is>
      </c>
      <c r="K201" s="11" t="inlineStr">
        <is>
          <t>Major</t>
        </is>
      </c>
      <c r="L201" s="11" t="inlineStr">
        <is>
          <t>Script Ready</t>
        </is>
      </c>
      <c r="M201" s="12" t="inlineStr">
        <is>
          <t>Security Audit Sandbox</t>
        </is>
      </c>
      <c r="N201" s="12" t="inlineStr">
        <is>
          <t>Defensive Security Audit Engine</t>
        </is>
      </c>
      <c r="O201" s="12" t="inlineStr">
        <is>
          <t>Screen-specific baseline case for Water Intake &amp; Hydration Tracker</t>
        </is>
      </c>
    </row>
    <row r="202" ht="36" customHeight="1">
      <c r="A202" s="11" t="inlineStr">
        <is>
          <t>TC-201</t>
        </is>
      </c>
      <c r="B202" s="12" t="inlineStr">
        <is>
          <t>SleepTrackerSection</t>
        </is>
      </c>
      <c r="C202" s="12" t="inlineStr">
        <is>
          <t>Safe Vulnerability &amp; Security Checks</t>
        </is>
      </c>
      <c r="D202" s="12" t="inlineStr">
        <is>
          <t>Authentication Lockout &amp; Brute-Force on Sleep Efficiency &amp; REM Tracker</t>
        </is>
      </c>
      <c r="E202" s="12" t="inlineStr">
        <is>
          <t>1. Launch test runner in Security Audit Sandbox.
2. Navigate to Sleep Efficiency &amp; REM Tracker (SleepTrackerSection).
3. Attempt 10 invalid authentication requests on SleepTrackerSection in rapid succession.
4. Verify expected results and log evidence.</t>
        </is>
      </c>
      <c r="F202" s="12" t="inlineStr">
        <is>
          <t>Attempts: 10 invalid</t>
        </is>
      </c>
      <c r="G202" s="12" t="inlineStr">
        <is>
          <t>Account temporarily locks out after 5 failed attempts with 429 response.</t>
        </is>
      </c>
      <c r="H202" s="12" t="inlineStr">
        <is>
          <t>Pending Execution</t>
        </is>
      </c>
      <c r="I202" s="13" t="inlineStr">
        <is>
          <t>Not Executed</t>
        </is>
      </c>
      <c r="J202" s="11" t="inlineStr">
        <is>
          <t>High</t>
        </is>
      </c>
      <c r="K202" s="11" t="inlineStr">
        <is>
          <t>Moderate</t>
        </is>
      </c>
      <c r="L202" s="11" t="inlineStr">
        <is>
          <t>Script Ready</t>
        </is>
      </c>
      <c r="M202" s="12" t="inlineStr">
        <is>
          <t>Security Audit Sandbox</t>
        </is>
      </c>
      <c r="N202" s="12" t="inlineStr">
        <is>
          <t>Defensive Security Audit Engine</t>
        </is>
      </c>
      <c r="O202" s="12" t="inlineStr">
        <is>
          <t>Screen-specific baseline case for Sleep Efficiency &amp; REM Tracker</t>
        </is>
      </c>
    </row>
    <row r="203" ht="36" customHeight="1">
      <c r="A203" s="11" t="inlineStr">
        <is>
          <t>TC-202</t>
        </is>
      </c>
      <c r="B203" s="12" t="inlineStr">
        <is>
          <t>SleepTrackerSection</t>
        </is>
      </c>
      <c r="C203" s="12" t="inlineStr">
        <is>
          <t>Safe Vulnerability &amp; Security Checks</t>
        </is>
      </c>
      <c r="D203" s="12" t="inlineStr">
        <is>
          <t>Role-Based Authorization &amp; IDOR Check on Sleep Efficiency &amp; REM Tracker</t>
        </is>
      </c>
      <c r="E203" s="12" t="inlineStr">
        <is>
          <t>1. Launch test runner in Security Audit Sandbox.
2. Navigate to Sleep Efficiency &amp; REM Tracker (SleepTrackerSection).
3. Attempt querying secondary user private records on SleepTrackerSection using guest JWT.
4. Verify expected results and log evidence.</t>
        </is>
      </c>
      <c r="F203" s="12" t="inlineStr">
        <is>
          <t>IDOR Payload: SleepTrackerSection_user_999</t>
        </is>
      </c>
      <c r="G203" s="12" t="inlineStr">
        <is>
          <t>Database and API reject request with HTTP 403 Forbidden.</t>
        </is>
      </c>
      <c r="H203" s="12" t="inlineStr">
        <is>
          <t>Pending Execution</t>
        </is>
      </c>
      <c r="I203" s="13" t="inlineStr">
        <is>
          <t>Not Executed</t>
        </is>
      </c>
      <c r="J203" s="11" t="inlineStr">
        <is>
          <t>Medium</t>
        </is>
      </c>
      <c r="K203" s="11" t="inlineStr">
        <is>
          <t>Major</t>
        </is>
      </c>
      <c r="L203" s="11" t="inlineStr">
        <is>
          <t>Script Ready</t>
        </is>
      </c>
      <c r="M203" s="12" t="inlineStr">
        <is>
          <t>Security Audit Sandbox</t>
        </is>
      </c>
      <c r="N203" s="12" t="inlineStr">
        <is>
          <t>Defensive Security Audit Engine</t>
        </is>
      </c>
      <c r="O203" s="12" t="inlineStr">
        <is>
          <t>Screen-specific baseline case for Sleep Efficiency &amp; REM Tracker</t>
        </is>
      </c>
    </row>
    <row r="204" ht="36" customHeight="1">
      <c r="A204" s="11" t="inlineStr">
        <is>
          <t>TC-203</t>
        </is>
      </c>
      <c r="B204" s="12" t="inlineStr">
        <is>
          <t>SleepTrackerSection</t>
        </is>
      </c>
      <c r="C204" s="12" t="inlineStr">
        <is>
          <t>Safe Vulnerability &amp; Security Checks</t>
        </is>
      </c>
      <c r="D204" s="12" t="inlineStr">
        <is>
          <t>Session Token Expiration &amp; Revocation on Sleep Efficiency &amp; REM Tracker</t>
        </is>
      </c>
      <c r="E204" s="12" t="inlineStr">
        <is>
          <t>1. Launch test runner in Security Audit Sandbox.
2. Navigate to Sleep Efficiency &amp; REM Tracker (SleepTrackerSection).
3. Present expired JWT token to SleepTrackerSection API endpoint, attempt data fetch.
4. Verify expected results and log evidence.</t>
        </is>
      </c>
      <c r="F204" s="12" t="inlineStr">
        <is>
          <t>JWT Token: Expired/Revoked</t>
        </is>
      </c>
      <c r="G204" s="12" t="inlineStr">
        <is>
          <t>API gateway invalidates session and redirects to login view.</t>
        </is>
      </c>
      <c r="H204" s="12" t="inlineStr">
        <is>
          <t>Pending Execution</t>
        </is>
      </c>
      <c r="I204" s="13" t="inlineStr">
        <is>
          <t>Not Executed</t>
        </is>
      </c>
      <c r="J204" s="11" t="inlineStr">
        <is>
          <t>Medium</t>
        </is>
      </c>
      <c r="K204" s="11" t="inlineStr">
        <is>
          <t>Critical</t>
        </is>
      </c>
      <c r="L204" s="11" t="inlineStr">
        <is>
          <t>Script Ready</t>
        </is>
      </c>
      <c r="M204" s="12" t="inlineStr">
        <is>
          <t>Security Audit Sandbox</t>
        </is>
      </c>
      <c r="N204" s="12" t="inlineStr">
        <is>
          <t>Defensive Security Audit Engine</t>
        </is>
      </c>
      <c r="O204" s="12" t="inlineStr">
        <is>
          <t>Screen-specific baseline case for Sleep Efficiency &amp; REM Tracker</t>
        </is>
      </c>
    </row>
    <row r="205" ht="36" customHeight="1">
      <c r="A205" s="11" t="inlineStr">
        <is>
          <t>TC-204</t>
        </is>
      </c>
      <c r="B205" s="12" t="inlineStr">
        <is>
          <t>SleepTrackerSection</t>
        </is>
      </c>
      <c r="C205" s="12" t="inlineStr">
        <is>
          <t>Safe Vulnerability &amp; Security Checks</t>
        </is>
      </c>
      <c r="D205" s="12" t="inlineStr">
        <is>
          <t>Safe SQL Injection Input Defense on Sleep Efficiency &amp; REM Tracker</t>
        </is>
      </c>
      <c r="E205" s="12" t="inlineStr">
        <is>
          <t>1. Launch test runner in Security Audit Sandbox.
2. Navigate to Sleep Efficiency &amp; REM Tracker (SleepTrackerSection).
3. Submit safe SQLi payload `' OR '1'='1` into text input fields on SleepTrackerSection.
4. Verify expected results and log evidence.</t>
        </is>
      </c>
      <c r="F205" s="12" t="inlineStr">
        <is>
          <t>Payload: `' OR '1'='1`</t>
        </is>
      </c>
      <c r="G205" s="12" t="inlineStr">
        <is>
          <t>Input is parameterized/escaped cleanly; no SQL error occurs.</t>
        </is>
      </c>
      <c r="H205" s="12" t="inlineStr">
        <is>
          <t>Pending Execution</t>
        </is>
      </c>
      <c r="I205" s="13" t="inlineStr">
        <is>
          <t>Not Executed</t>
        </is>
      </c>
      <c r="J205" s="11" t="inlineStr">
        <is>
          <t>High</t>
        </is>
      </c>
      <c r="K205" s="11" t="inlineStr">
        <is>
          <t>Major</t>
        </is>
      </c>
      <c r="L205" s="11" t="inlineStr">
        <is>
          <t>Script Ready</t>
        </is>
      </c>
      <c r="M205" s="12" t="inlineStr">
        <is>
          <t>Security Audit Sandbox</t>
        </is>
      </c>
      <c r="N205" s="12" t="inlineStr">
        <is>
          <t>Defensive Security Audit Engine</t>
        </is>
      </c>
      <c r="O205" s="12" t="inlineStr">
        <is>
          <t>Screen-specific baseline case for Sleep Efficiency &amp; REM Tracker</t>
        </is>
      </c>
    </row>
    <row r="206" ht="36" customHeight="1">
      <c r="A206" s="11" t="inlineStr">
        <is>
          <t>TC-205</t>
        </is>
      </c>
      <c r="B206" s="12" t="inlineStr">
        <is>
          <t>SleepTrackerSection</t>
        </is>
      </c>
      <c r="C206" s="12" t="inlineStr">
        <is>
          <t>Safe Vulnerability &amp; Security Checks</t>
        </is>
      </c>
      <c r="D206" s="12" t="inlineStr">
        <is>
          <t>Safe XSS Script Escaping Validation on Sleep Efficiency &amp; REM Tracker</t>
        </is>
      </c>
      <c r="E206" s="12" t="inlineStr">
        <is>
          <t>1. Launch test runner in Security Audit Sandbox.
2. Navigate to Sleep Efficiency &amp; REM Tracker (SleepTrackerSection).
3. Submit safe script payload `&lt;script&gt;alert(1)&lt;/script&gt;` into SleepTrackerSection fields.
4. Verify expected results and log evidence.</t>
        </is>
      </c>
      <c r="F206" s="12" t="inlineStr">
        <is>
          <t>Payload: `&lt;script&gt;alert(1)&lt;/script&gt;`</t>
        </is>
      </c>
      <c r="G206" s="12" t="inlineStr">
        <is>
          <t>Payload renders as plain text string; script does not execute.</t>
        </is>
      </c>
      <c r="H206" s="12" t="inlineStr">
        <is>
          <t>Pending Execution</t>
        </is>
      </c>
      <c r="I206" s="13" t="inlineStr">
        <is>
          <t>Not Executed</t>
        </is>
      </c>
      <c r="J206" s="11" t="inlineStr">
        <is>
          <t>Low</t>
        </is>
      </c>
      <c r="K206" s="11" t="inlineStr">
        <is>
          <t>Moderate</t>
        </is>
      </c>
      <c r="L206" s="11" t="inlineStr">
        <is>
          <t>Script Ready</t>
        </is>
      </c>
      <c r="M206" s="12" t="inlineStr">
        <is>
          <t>Security Audit Sandbox</t>
        </is>
      </c>
      <c r="N206" s="12" t="inlineStr">
        <is>
          <t>Defensive Security Audit Engine</t>
        </is>
      </c>
      <c r="O206" s="12" t="inlineStr">
        <is>
          <t>Screen-specific baseline case for Sleep Efficiency &amp; REM Tracker</t>
        </is>
      </c>
    </row>
    <row r="207" ht="36" customHeight="1">
      <c r="A207" s="11" t="inlineStr">
        <is>
          <t>TC-206</t>
        </is>
      </c>
      <c r="B207" s="12" t="inlineStr">
        <is>
          <t>SleepTrackerSection</t>
        </is>
      </c>
      <c r="C207" s="12" t="inlineStr">
        <is>
          <t>Safe Vulnerability &amp; Security Checks</t>
        </is>
      </c>
      <c r="D207" s="12" t="inlineStr">
        <is>
          <t>TLS 1.3 Transport Encryption Enforcement on Sleep Efficiency &amp; REM Tracker</t>
        </is>
      </c>
      <c r="E207" s="12" t="inlineStr">
        <is>
          <t>1. Launch test runner in Security Audit Sandbox.
2. Navigate to Sleep Efficiency &amp; REM Tracker (SleepTrackerSection).
3. Inspect outbound network traffic for SleepTrackerSection using passive OWASP proxy.
4. Verify expected results and log evidence.</t>
        </is>
      </c>
      <c r="F207" s="12" t="inlineStr">
        <is>
          <t>Protocol: TLS 1.3 / HTTPS</t>
        </is>
      </c>
      <c r="G207" s="12" t="inlineStr">
        <is>
          <t>All HTTP connections upgrade to TLS 1.3; unencrypted HTTP blocked.</t>
        </is>
      </c>
      <c r="H207" s="12" t="inlineStr">
        <is>
          <t>Pending Execution</t>
        </is>
      </c>
      <c r="I207" s="13" t="inlineStr">
        <is>
          <t>Not Executed</t>
        </is>
      </c>
      <c r="J207" s="11" t="inlineStr">
        <is>
          <t>Medium</t>
        </is>
      </c>
      <c r="K207" s="11" t="inlineStr">
        <is>
          <t>Major</t>
        </is>
      </c>
      <c r="L207" s="11" t="inlineStr">
        <is>
          <t>Script Ready</t>
        </is>
      </c>
      <c r="M207" s="12" t="inlineStr">
        <is>
          <t>Security Audit Sandbox</t>
        </is>
      </c>
      <c r="N207" s="12" t="inlineStr">
        <is>
          <t>Defensive Security Audit Engine</t>
        </is>
      </c>
      <c r="O207" s="12" t="inlineStr">
        <is>
          <t>Screen-specific baseline case for Sleep Efficiency &amp; REM Tracker</t>
        </is>
      </c>
    </row>
    <row r="208" ht="36" customHeight="1">
      <c r="A208" s="11" t="inlineStr">
        <is>
          <t>TC-207</t>
        </is>
      </c>
      <c r="B208" s="12" t="inlineStr">
        <is>
          <t>SleepTrackerSection</t>
        </is>
      </c>
      <c r="C208" s="12" t="inlineStr">
        <is>
          <t>Safe Vulnerability &amp; Security Checks</t>
        </is>
      </c>
      <c r="D208" s="12" t="inlineStr">
        <is>
          <t>API Rate Limiting 429 Response Check on Sleep Efficiency &amp; REM Tracker</t>
        </is>
      </c>
      <c r="E208" s="12" t="inlineStr">
        <is>
          <t>1. Launch test runner in Security Audit Sandbox.
2. Navigate to Sleep Efficiency &amp; REM Tracker (SleepTrackerSection).
3. Send 100 rapid requests within 5 seconds to SleepTrackerSection public endpoints.
4. Verify expected results and log evidence.</t>
        </is>
      </c>
      <c r="F208" s="12" t="inlineStr">
        <is>
          <t>Requests: 100 in 5s</t>
        </is>
      </c>
      <c r="G208" s="12" t="inlineStr">
        <is>
          <t>Rate limiter triggers HTTP 429 Too Many Requests response.</t>
        </is>
      </c>
      <c r="H208" s="12" t="inlineStr">
        <is>
          <t>Pending Execution</t>
        </is>
      </c>
      <c r="I208" s="13" t="inlineStr">
        <is>
          <t>Not Executed</t>
        </is>
      </c>
      <c r="J208" s="11" t="inlineStr">
        <is>
          <t>High</t>
        </is>
      </c>
      <c r="K208" s="11" t="inlineStr">
        <is>
          <t>Moderate</t>
        </is>
      </c>
      <c r="L208" s="11" t="inlineStr">
        <is>
          <t>Script Ready</t>
        </is>
      </c>
      <c r="M208" s="12" t="inlineStr">
        <is>
          <t>Security Audit Sandbox</t>
        </is>
      </c>
      <c r="N208" s="12" t="inlineStr">
        <is>
          <t>Defensive Security Audit Engine</t>
        </is>
      </c>
      <c r="O208" s="12" t="inlineStr">
        <is>
          <t>Screen-specific baseline case for Sleep Efficiency &amp; REM Tracker</t>
        </is>
      </c>
    </row>
    <row r="209" ht="36" customHeight="1">
      <c r="A209" s="11" t="inlineStr">
        <is>
          <t>TC-208</t>
        </is>
      </c>
      <c r="B209" s="12" t="inlineStr">
        <is>
          <t>SleepTrackerSection</t>
        </is>
      </c>
      <c r="C209" s="12" t="inlineStr">
        <is>
          <t>Safe Vulnerability &amp; Security Checks</t>
        </is>
      </c>
      <c r="D209" s="12" t="inlineStr">
        <is>
          <t>Supabase Row Level Security (RLS) Audit on Sleep Efficiency &amp; REM Tracker</t>
        </is>
      </c>
      <c r="E209" s="12" t="inlineStr">
        <is>
          <t>1. Launch test runner in Security Audit Sandbox.
2. Navigate to Sleep Efficiency &amp; REM Tracker (SleepTrackerSection).
3. Query Supabase PostgreSQL table for SleepTrackerSection without auth header.
4. Verify expected results and log evidence.</t>
        </is>
      </c>
      <c r="F209" s="12" t="inlineStr">
        <is>
          <t>RLS Check: SleepTrackerSection_table</t>
        </is>
      </c>
      <c r="G209" s="12" t="inlineStr">
        <is>
          <t>Supabase RLS policy blocks unauthorized row query access.</t>
        </is>
      </c>
      <c r="H209" s="12" t="inlineStr">
        <is>
          <t>Pending Execution</t>
        </is>
      </c>
      <c r="I209" s="13" t="inlineStr">
        <is>
          <t>Not Executed</t>
        </is>
      </c>
      <c r="J209" s="11" t="inlineStr">
        <is>
          <t>Medium</t>
        </is>
      </c>
      <c r="K209" s="11" t="inlineStr">
        <is>
          <t>Major</t>
        </is>
      </c>
      <c r="L209" s="11" t="inlineStr">
        <is>
          <t>Script Ready</t>
        </is>
      </c>
      <c r="M209" s="12" t="inlineStr">
        <is>
          <t>Security Audit Sandbox</t>
        </is>
      </c>
      <c r="N209" s="12" t="inlineStr">
        <is>
          <t>Defensive Security Audit Engine</t>
        </is>
      </c>
      <c r="O209" s="12" t="inlineStr">
        <is>
          <t>Screen-specific baseline case for Sleep Efficiency &amp; REM Tracker</t>
        </is>
      </c>
    </row>
    <row r="210" ht="36" customHeight="1">
      <c r="A210" s="11" t="inlineStr">
        <is>
          <t>TC-209</t>
        </is>
      </c>
      <c r="B210" s="12" t="inlineStr">
        <is>
          <t>SleepTrackerSection</t>
        </is>
      </c>
      <c r="C210" s="12" t="inlineStr">
        <is>
          <t>Safe Vulnerability &amp; Security Checks</t>
        </is>
      </c>
      <c r="D210" s="12" t="inlineStr">
        <is>
          <t>Privileged Route Guard Verification on Sleep Efficiency &amp; REM Tracker</t>
        </is>
      </c>
      <c r="E210" s="12" t="inlineStr">
        <is>
          <t>1. Launch test runner in Security Audit Sandbox.
2. Navigate to Sleep Efficiency &amp; REM Tracker (SleepTrackerSection).
3. Attempt deep linking directly to restricted SleepTrackerSection view as unauthenticated user.
4. Verify expected results and log evidence.</t>
        </is>
      </c>
      <c r="F210" s="12" t="inlineStr">
        <is>
          <t>Route: /SleepTrackerSection_admin</t>
        </is>
      </c>
      <c r="G210" s="12" t="inlineStr">
        <is>
          <t>Router guard intercepts request and redirects to login screen.</t>
        </is>
      </c>
      <c r="H210" s="12" t="inlineStr">
        <is>
          <t>Pending Execution</t>
        </is>
      </c>
      <c r="I210" s="13" t="inlineStr">
        <is>
          <t>Not Executed</t>
        </is>
      </c>
      <c r="J210" s="11" t="inlineStr">
        <is>
          <t>Medium</t>
        </is>
      </c>
      <c r="K210" s="11" t="inlineStr">
        <is>
          <t>Moderate</t>
        </is>
      </c>
      <c r="L210" s="11" t="inlineStr">
        <is>
          <t>Script Ready</t>
        </is>
      </c>
      <c r="M210" s="12" t="inlineStr">
        <is>
          <t>Security Audit Sandbox</t>
        </is>
      </c>
      <c r="N210" s="12" t="inlineStr">
        <is>
          <t>Defensive Security Audit Engine</t>
        </is>
      </c>
      <c r="O210" s="12" t="inlineStr">
        <is>
          <t>Screen-specific baseline case for Sleep Efficiency &amp; REM Tracker</t>
        </is>
      </c>
    </row>
    <row r="211" ht="36" customHeight="1">
      <c r="A211" s="11" t="inlineStr">
        <is>
          <t>TC-210</t>
        </is>
      </c>
      <c r="B211" s="12" t="inlineStr">
        <is>
          <t>SleepTrackerSection</t>
        </is>
      </c>
      <c r="C211" s="12" t="inlineStr">
        <is>
          <t>Safe Vulnerability &amp; Security Checks</t>
        </is>
      </c>
      <c r="D211" s="12" t="inlineStr">
        <is>
          <t>Sensitive Data Masking &amp; Log Leak Check on Sleep Efficiency &amp; REM Tracker</t>
        </is>
      </c>
      <c r="E211" s="12" t="inlineStr">
        <is>
          <t>1. Launch test runner in Security Audit Sandbox.
2. Navigate to Sleep Efficiency &amp; REM Tracker (SleepTrackerSection).
3. Audit application log files and network payloads for exposed SleepTrackerSection secrets.
4. Verify expected results and log evidence.</t>
        </is>
      </c>
      <c r="F211" s="12" t="inlineStr">
        <is>
          <t>Audit: Password/Token fields</t>
        </is>
      </c>
      <c r="G211" s="12" t="inlineStr">
        <is>
          <t>Sensitive credentials and PII are masked or omitted from logs.</t>
        </is>
      </c>
      <c r="H211" s="12" t="inlineStr">
        <is>
          <t>Pending Execution</t>
        </is>
      </c>
      <c r="I211" s="13" t="inlineStr">
        <is>
          <t>Not Executed</t>
        </is>
      </c>
      <c r="J211" s="11" t="inlineStr">
        <is>
          <t>High</t>
        </is>
      </c>
      <c r="K211" s="11" t="inlineStr">
        <is>
          <t>Critical</t>
        </is>
      </c>
      <c r="L211" s="11" t="inlineStr">
        <is>
          <t>Script Ready</t>
        </is>
      </c>
      <c r="M211" s="12" t="inlineStr">
        <is>
          <t>Security Audit Sandbox</t>
        </is>
      </c>
      <c r="N211" s="12" t="inlineStr">
        <is>
          <t>Defensive Security Audit Engine</t>
        </is>
      </c>
      <c r="O211" s="12" t="inlineStr">
        <is>
          <t>Screen-specific baseline case for Sleep Efficiency &amp; REM Tracker</t>
        </is>
      </c>
    </row>
    <row r="212" ht="36" customHeight="1">
      <c r="A212" s="11" t="inlineStr">
        <is>
          <t>TC-211</t>
        </is>
      </c>
      <c r="B212" s="12" t="inlineStr">
        <is>
          <t>StepTrackerSection</t>
        </is>
      </c>
      <c r="C212" s="12" t="inlineStr">
        <is>
          <t>Safe Vulnerability &amp; Security Checks</t>
        </is>
      </c>
      <c r="D212" s="12" t="inlineStr">
        <is>
          <t>Authentication Lockout &amp; Brute-Force on Step Counter &amp; Distance Burn Tracker</t>
        </is>
      </c>
      <c r="E212" s="12" t="inlineStr">
        <is>
          <t>1. Launch test runner in Security Audit Sandbox.
2. Navigate to Step Counter &amp; Distance Burn Tracker (StepTrackerSection).
3. Attempt 10 invalid authentication requests on StepTrackerSection in rapid succession.
4. Verify expected results and log evidence.</t>
        </is>
      </c>
      <c r="F212" s="12" t="inlineStr">
        <is>
          <t>Attempts: 10 invalid</t>
        </is>
      </c>
      <c r="G212" s="12" t="inlineStr">
        <is>
          <t>Account temporarily locks out after 5 failed attempts with 429 response.</t>
        </is>
      </c>
      <c r="H212" s="12" t="inlineStr">
        <is>
          <t>Pending Execution</t>
        </is>
      </c>
      <c r="I212" s="13" t="inlineStr">
        <is>
          <t>Not Executed</t>
        </is>
      </c>
      <c r="J212" s="11" t="inlineStr">
        <is>
          <t>Medium</t>
        </is>
      </c>
      <c r="K212" s="11" t="inlineStr">
        <is>
          <t>Moderate</t>
        </is>
      </c>
      <c r="L212" s="11" t="inlineStr">
        <is>
          <t>Script Ready</t>
        </is>
      </c>
      <c r="M212" s="12" t="inlineStr">
        <is>
          <t>Security Audit Sandbox</t>
        </is>
      </c>
      <c r="N212" s="12" t="inlineStr">
        <is>
          <t>Defensive Security Audit Engine</t>
        </is>
      </c>
      <c r="O212" s="12" t="inlineStr">
        <is>
          <t>Screen-specific baseline case for Step Counter &amp; Distance Burn Tracker</t>
        </is>
      </c>
    </row>
    <row r="213" ht="36" customHeight="1">
      <c r="A213" s="11" t="inlineStr">
        <is>
          <t>TC-212</t>
        </is>
      </c>
      <c r="B213" s="12" t="inlineStr">
        <is>
          <t>StepTrackerSection</t>
        </is>
      </c>
      <c r="C213" s="12" t="inlineStr">
        <is>
          <t>Safe Vulnerability &amp; Security Checks</t>
        </is>
      </c>
      <c r="D213" s="12" t="inlineStr">
        <is>
          <t>Role-Based Authorization &amp; IDOR Check on Step Counter &amp; Distance Burn Tracker</t>
        </is>
      </c>
      <c r="E213" s="12" t="inlineStr">
        <is>
          <t>1. Launch test runner in Security Audit Sandbox.
2. Navigate to Step Counter &amp; Distance Burn Tracker (StepTrackerSection).
3. Attempt querying secondary user private records on StepTrackerSection using guest JWT.
4. Verify expected results and log evidence.</t>
        </is>
      </c>
      <c r="F213" s="12" t="inlineStr">
        <is>
          <t>IDOR Payload: StepTrackerSection_user_999</t>
        </is>
      </c>
      <c r="G213" s="12" t="inlineStr">
        <is>
          <t>Database and API reject request with HTTP 403 Forbidden.</t>
        </is>
      </c>
      <c r="H213" s="12" t="inlineStr">
        <is>
          <t>Pending Execution</t>
        </is>
      </c>
      <c r="I213" s="13" t="inlineStr">
        <is>
          <t>Not Executed</t>
        </is>
      </c>
      <c r="J213" s="11" t="inlineStr">
        <is>
          <t>Medium</t>
        </is>
      </c>
      <c r="K213" s="11" t="inlineStr">
        <is>
          <t>Major</t>
        </is>
      </c>
      <c r="L213" s="11" t="inlineStr">
        <is>
          <t>Script Ready</t>
        </is>
      </c>
      <c r="M213" s="12" t="inlineStr">
        <is>
          <t>Security Audit Sandbox</t>
        </is>
      </c>
      <c r="N213" s="12" t="inlineStr">
        <is>
          <t>Defensive Security Audit Engine</t>
        </is>
      </c>
      <c r="O213" s="12" t="inlineStr">
        <is>
          <t>Screen-specific baseline case for Step Counter &amp; Distance Burn Tracker</t>
        </is>
      </c>
    </row>
    <row r="214" ht="36" customHeight="1">
      <c r="A214" s="11" t="inlineStr">
        <is>
          <t>TC-213</t>
        </is>
      </c>
      <c r="B214" s="12" t="inlineStr">
        <is>
          <t>StepTrackerSection</t>
        </is>
      </c>
      <c r="C214" s="12" t="inlineStr">
        <is>
          <t>Safe Vulnerability &amp; Security Checks</t>
        </is>
      </c>
      <c r="D214" s="12" t="inlineStr">
        <is>
          <t>Session Token Expiration &amp; Revocation on Step Counter &amp; Distance Burn Tracker</t>
        </is>
      </c>
      <c r="E214" s="12" t="inlineStr">
        <is>
          <t>1. Launch test runner in Security Audit Sandbox.
2. Navigate to Step Counter &amp; Distance Burn Tracker (StepTrackerSection).
3. Present expired JWT token to StepTrackerSection API endpoint, attempt data fetch.
4. Verify expected results and log evidence.</t>
        </is>
      </c>
      <c r="F214" s="12" t="inlineStr">
        <is>
          <t>JWT Token: Expired/Revoked</t>
        </is>
      </c>
      <c r="G214" s="12" t="inlineStr">
        <is>
          <t>API gateway invalidates session and redirects to login view.</t>
        </is>
      </c>
      <c r="H214" s="12" t="inlineStr">
        <is>
          <t>Pending Execution</t>
        </is>
      </c>
      <c r="I214" s="13" t="inlineStr">
        <is>
          <t>Not Executed</t>
        </is>
      </c>
      <c r="J214" s="11" t="inlineStr">
        <is>
          <t>High</t>
        </is>
      </c>
      <c r="K214" s="11" t="inlineStr">
        <is>
          <t>Moderate</t>
        </is>
      </c>
      <c r="L214" s="11" t="inlineStr">
        <is>
          <t>Script Ready</t>
        </is>
      </c>
      <c r="M214" s="12" t="inlineStr">
        <is>
          <t>Security Audit Sandbox</t>
        </is>
      </c>
      <c r="N214" s="12" t="inlineStr">
        <is>
          <t>Defensive Security Audit Engine</t>
        </is>
      </c>
      <c r="O214" s="12" t="inlineStr">
        <is>
          <t>Screen-specific baseline case for Step Counter &amp; Distance Burn Tracker</t>
        </is>
      </c>
    </row>
    <row r="215" ht="36" customHeight="1">
      <c r="A215" s="11" t="inlineStr">
        <is>
          <t>TC-214</t>
        </is>
      </c>
      <c r="B215" s="12" t="inlineStr">
        <is>
          <t>StepTrackerSection</t>
        </is>
      </c>
      <c r="C215" s="12" t="inlineStr">
        <is>
          <t>Safe Vulnerability &amp; Security Checks</t>
        </is>
      </c>
      <c r="D215" s="12" t="inlineStr">
        <is>
          <t>Safe SQL Injection Input Defense on Step Counter &amp; Distance Burn Tracker</t>
        </is>
      </c>
      <c r="E215" s="12" t="inlineStr">
        <is>
          <t>1. Launch test runner in Security Audit Sandbox.
2. Navigate to Step Counter &amp; Distance Burn Tracker (StepTrackerSection).
3. Submit safe SQLi payload `' OR '1'='1` into text input fields on StepTrackerSection.
4. Verify expected results and log evidence.</t>
        </is>
      </c>
      <c r="F215" s="12" t="inlineStr">
        <is>
          <t>Payload: `' OR '1'='1`</t>
        </is>
      </c>
      <c r="G215" s="12" t="inlineStr">
        <is>
          <t>Input is parameterized/escaped cleanly; no SQL error occurs.</t>
        </is>
      </c>
      <c r="H215" s="12" t="inlineStr">
        <is>
          <t>Pending Execution</t>
        </is>
      </c>
      <c r="I215" s="13" t="inlineStr">
        <is>
          <t>Not Executed</t>
        </is>
      </c>
      <c r="J215" s="11" t="inlineStr">
        <is>
          <t>Medium</t>
        </is>
      </c>
      <c r="K215" s="11" t="inlineStr">
        <is>
          <t>Major</t>
        </is>
      </c>
      <c r="L215" s="11" t="inlineStr">
        <is>
          <t>Script Ready</t>
        </is>
      </c>
      <c r="M215" s="12" t="inlineStr">
        <is>
          <t>Security Audit Sandbox</t>
        </is>
      </c>
      <c r="N215" s="12" t="inlineStr">
        <is>
          <t>Defensive Security Audit Engine</t>
        </is>
      </c>
      <c r="O215" s="12" t="inlineStr">
        <is>
          <t>Screen-specific baseline case for Step Counter &amp; Distance Burn Tracker</t>
        </is>
      </c>
    </row>
    <row r="216" ht="36" customHeight="1">
      <c r="A216" s="11" t="inlineStr">
        <is>
          <t>TC-215</t>
        </is>
      </c>
      <c r="B216" s="12" t="inlineStr">
        <is>
          <t>StepTrackerSection</t>
        </is>
      </c>
      <c r="C216" s="12" t="inlineStr">
        <is>
          <t>Safe Vulnerability &amp; Security Checks</t>
        </is>
      </c>
      <c r="D216" s="12" t="inlineStr">
        <is>
          <t>Safe XSS Script Escaping Validation on Step Counter &amp; Distance Burn Tracker</t>
        </is>
      </c>
      <c r="E216" s="12" t="inlineStr">
        <is>
          <t>1. Launch test runner in Security Audit Sandbox.
2. Navigate to Step Counter &amp; Distance Burn Tracker (StepTrackerSection).
3. Submit safe script payload `&lt;script&gt;alert(1)&lt;/script&gt;` into StepTrackerSection fields.
4. Verify expected results and log evidence.</t>
        </is>
      </c>
      <c r="F216" s="12" t="inlineStr">
        <is>
          <t>Payload: `&lt;script&gt;alert(1)&lt;/script&gt;`</t>
        </is>
      </c>
      <c r="G216" s="12" t="inlineStr">
        <is>
          <t>Payload renders as plain text string; script does not execute.</t>
        </is>
      </c>
      <c r="H216" s="12" t="inlineStr">
        <is>
          <t>Pending Execution</t>
        </is>
      </c>
      <c r="I216" s="13" t="inlineStr">
        <is>
          <t>Not Executed</t>
        </is>
      </c>
      <c r="J216" s="11" t="inlineStr">
        <is>
          <t>Low</t>
        </is>
      </c>
      <c r="K216" s="11" t="inlineStr">
        <is>
          <t>Moderate</t>
        </is>
      </c>
      <c r="L216" s="11" t="inlineStr">
        <is>
          <t>Script Ready</t>
        </is>
      </c>
      <c r="M216" s="12" t="inlineStr">
        <is>
          <t>Security Audit Sandbox</t>
        </is>
      </c>
      <c r="N216" s="12" t="inlineStr">
        <is>
          <t>Defensive Security Audit Engine</t>
        </is>
      </c>
      <c r="O216" s="12" t="inlineStr">
        <is>
          <t>Screen-specific baseline case for Step Counter &amp; Distance Burn Tracker</t>
        </is>
      </c>
    </row>
    <row r="217" ht="36" customHeight="1">
      <c r="A217" s="11" t="inlineStr">
        <is>
          <t>TC-216</t>
        </is>
      </c>
      <c r="B217" s="12" t="inlineStr">
        <is>
          <t>StepTrackerSection</t>
        </is>
      </c>
      <c r="C217" s="12" t="inlineStr">
        <is>
          <t>Safe Vulnerability &amp; Security Checks</t>
        </is>
      </c>
      <c r="D217" s="12" t="inlineStr">
        <is>
          <t>TLS 1.3 Transport Encryption Enforcement on Step Counter &amp; Distance Burn Tracker</t>
        </is>
      </c>
      <c r="E217" s="12" t="inlineStr">
        <is>
          <t>1. Launch test runner in Security Audit Sandbox.
2. Navigate to Step Counter &amp; Distance Burn Tracker (StepTrackerSection).
3. Inspect outbound network traffic for StepTrackerSection using passive OWASP proxy.
4. Verify expected results and log evidence.</t>
        </is>
      </c>
      <c r="F217" s="12" t="inlineStr">
        <is>
          <t>Protocol: TLS 1.3 / HTTPS</t>
        </is>
      </c>
      <c r="G217" s="12" t="inlineStr">
        <is>
          <t>All HTTP connections upgrade to TLS 1.3; unencrypted HTTP blocked.</t>
        </is>
      </c>
      <c r="H217" s="12" t="inlineStr">
        <is>
          <t>Pending Execution</t>
        </is>
      </c>
      <c r="I217" s="13" t="inlineStr">
        <is>
          <t>Not Executed</t>
        </is>
      </c>
      <c r="J217" s="11" t="inlineStr">
        <is>
          <t>High</t>
        </is>
      </c>
      <c r="K217" s="11" t="inlineStr">
        <is>
          <t>Major</t>
        </is>
      </c>
      <c r="L217" s="11" t="inlineStr">
        <is>
          <t>Script Ready</t>
        </is>
      </c>
      <c r="M217" s="12" t="inlineStr">
        <is>
          <t>Security Audit Sandbox</t>
        </is>
      </c>
      <c r="N217" s="12" t="inlineStr">
        <is>
          <t>Defensive Security Audit Engine</t>
        </is>
      </c>
      <c r="O217" s="12" t="inlineStr">
        <is>
          <t>Screen-specific baseline case for Step Counter &amp; Distance Burn Tracker</t>
        </is>
      </c>
    </row>
    <row r="218" ht="36" customHeight="1">
      <c r="A218" s="11" t="inlineStr">
        <is>
          <t>TC-217</t>
        </is>
      </c>
      <c r="B218" s="12" t="inlineStr">
        <is>
          <t>StepTrackerSection</t>
        </is>
      </c>
      <c r="C218" s="12" t="inlineStr">
        <is>
          <t>Safe Vulnerability &amp; Security Checks</t>
        </is>
      </c>
      <c r="D218" s="12" t="inlineStr">
        <is>
          <t>API Rate Limiting 429 Response Check on Step Counter &amp; Distance Burn Tracker</t>
        </is>
      </c>
      <c r="E218" s="12" t="inlineStr">
        <is>
          <t>1. Launch test runner in Security Audit Sandbox.
2. Navigate to Step Counter &amp; Distance Burn Tracker (StepTrackerSection).
3. Send 100 rapid requests within 5 seconds to StepTrackerSection public endpoints.
4. Verify expected results and log evidence.</t>
        </is>
      </c>
      <c r="F218" s="12" t="inlineStr">
        <is>
          <t>Requests: 100 in 5s</t>
        </is>
      </c>
      <c r="G218" s="12" t="inlineStr">
        <is>
          <t>Rate limiter triggers HTTP 429 Too Many Requests response.</t>
        </is>
      </c>
      <c r="H218" s="12" t="inlineStr">
        <is>
          <t>Pending Execution</t>
        </is>
      </c>
      <c r="I218" s="13" t="inlineStr">
        <is>
          <t>Not Executed</t>
        </is>
      </c>
      <c r="J218" s="11" t="inlineStr">
        <is>
          <t>Medium</t>
        </is>
      </c>
      <c r="K218" s="11" t="inlineStr">
        <is>
          <t>Critical</t>
        </is>
      </c>
      <c r="L218" s="11" t="inlineStr">
        <is>
          <t>Script Ready</t>
        </is>
      </c>
      <c r="M218" s="12" t="inlineStr">
        <is>
          <t>Security Audit Sandbox</t>
        </is>
      </c>
      <c r="N218" s="12" t="inlineStr">
        <is>
          <t>Defensive Security Audit Engine</t>
        </is>
      </c>
      <c r="O218" s="12" t="inlineStr">
        <is>
          <t>Screen-specific baseline case for Step Counter &amp; Distance Burn Tracker</t>
        </is>
      </c>
    </row>
    <row r="219" ht="36" customHeight="1">
      <c r="A219" s="11" t="inlineStr">
        <is>
          <t>TC-218</t>
        </is>
      </c>
      <c r="B219" s="12" t="inlineStr">
        <is>
          <t>StepTrackerSection</t>
        </is>
      </c>
      <c r="C219" s="12" t="inlineStr">
        <is>
          <t>Safe Vulnerability &amp; Security Checks</t>
        </is>
      </c>
      <c r="D219" s="12" t="inlineStr">
        <is>
          <t>Supabase Row Level Security (RLS) Audit on Step Counter &amp; Distance Burn Tracker</t>
        </is>
      </c>
      <c r="E219" s="12" t="inlineStr">
        <is>
          <t>1. Launch test runner in Security Audit Sandbox.
2. Navigate to Step Counter &amp; Distance Burn Tracker (StepTrackerSection).
3. Query Supabase PostgreSQL table for StepTrackerSection without auth header.
4. Verify expected results and log evidence.</t>
        </is>
      </c>
      <c r="F219" s="12" t="inlineStr">
        <is>
          <t>RLS Check: StepTrackerSection_table</t>
        </is>
      </c>
      <c r="G219" s="12" t="inlineStr">
        <is>
          <t>Supabase RLS policy blocks unauthorized row query access.</t>
        </is>
      </c>
      <c r="H219" s="12" t="inlineStr">
        <is>
          <t>Pending Execution</t>
        </is>
      </c>
      <c r="I219" s="13" t="inlineStr">
        <is>
          <t>Not Executed</t>
        </is>
      </c>
      <c r="J219" s="11" t="inlineStr">
        <is>
          <t>Medium</t>
        </is>
      </c>
      <c r="K219" s="11" t="inlineStr">
        <is>
          <t>Major</t>
        </is>
      </c>
      <c r="L219" s="11" t="inlineStr">
        <is>
          <t>Script Ready</t>
        </is>
      </c>
      <c r="M219" s="12" t="inlineStr">
        <is>
          <t>Security Audit Sandbox</t>
        </is>
      </c>
      <c r="N219" s="12" t="inlineStr">
        <is>
          <t>Defensive Security Audit Engine</t>
        </is>
      </c>
      <c r="O219" s="12" t="inlineStr">
        <is>
          <t>Screen-specific baseline case for Step Counter &amp; Distance Burn Tracker</t>
        </is>
      </c>
    </row>
    <row r="220" ht="36" customHeight="1">
      <c r="A220" s="11" t="inlineStr">
        <is>
          <t>TC-219</t>
        </is>
      </c>
      <c r="B220" s="12" t="inlineStr">
        <is>
          <t>StepTrackerSection</t>
        </is>
      </c>
      <c r="C220" s="12" t="inlineStr">
        <is>
          <t>Safe Vulnerability &amp; Security Checks</t>
        </is>
      </c>
      <c r="D220" s="12" t="inlineStr">
        <is>
          <t>Privileged Route Guard Verification on Step Counter &amp; Distance Burn Tracker</t>
        </is>
      </c>
      <c r="E220" s="12" t="inlineStr">
        <is>
          <t>1. Launch test runner in Security Audit Sandbox.
2. Navigate to Step Counter &amp; Distance Burn Tracker (StepTrackerSection).
3. Attempt deep linking directly to restricted StepTrackerSection view as unauthenticated user.
4. Verify expected results and log evidence.</t>
        </is>
      </c>
      <c r="F220" s="12" t="inlineStr">
        <is>
          <t>Route: /StepTrackerSection_admin</t>
        </is>
      </c>
      <c r="G220" s="12" t="inlineStr">
        <is>
          <t>Router guard intercepts request and redirects to login screen.</t>
        </is>
      </c>
      <c r="H220" s="12" t="inlineStr">
        <is>
          <t>Pending Execution</t>
        </is>
      </c>
      <c r="I220" s="13" t="inlineStr">
        <is>
          <t>Not Executed</t>
        </is>
      </c>
      <c r="J220" s="11" t="inlineStr">
        <is>
          <t>High</t>
        </is>
      </c>
      <c r="K220" s="11" t="inlineStr">
        <is>
          <t>Moderate</t>
        </is>
      </c>
      <c r="L220" s="11" t="inlineStr">
        <is>
          <t>Script Ready</t>
        </is>
      </c>
      <c r="M220" s="12" t="inlineStr">
        <is>
          <t>Security Audit Sandbox</t>
        </is>
      </c>
      <c r="N220" s="12" t="inlineStr">
        <is>
          <t>Defensive Security Audit Engine</t>
        </is>
      </c>
      <c r="O220" s="12" t="inlineStr">
        <is>
          <t>Screen-specific baseline case for Step Counter &amp; Distance Burn Tracker</t>
        </is>
      </c>
    </row>
    <row r="221" ht="36" customHeight="1">
      <c r="A221" s="11" t="inlineStr">
        <is>
          <t>TC-220</t>
        </is>
      </c>
      <c r="B221" s="12" t="inlineStr">
        <is>
          <t>StepTrackerSection</t>
        </is>
      </c>
      <c r="C221" s="12" t="inlineStr">
        <is>
          <t>Safe Vulnerability &amp; Security Checks</t>
        </is>
      </c>
      <c r="D221" s="12" t="inlineStr">
        <is>
          <t>Sensitive Data Masking &amp; Log Leak Check on Step Counter &amp; Distance Burn Tracker</t>
        </is>
      </c>
      <c r="E221" s="12" t="inlineStr">
        <is>
          <t>1. Launch test runner in Security Audit Sandbox.
2. Navigate to Step Counter &amp; Distance Burn Tracker (StepTrackerSection).
3. Audit application log files and network payloads for exposed StepTrackerSection secrets.
4. Verify expected results and log evidence.</t>
        </is>
      </c>
      <c r="F221" s="12" t="inlineStr">
        <is>
          <t>Audit: Password/Token fields</t>
        </is>
      </c>
      <c r="G221" s="12" t="inlineStr">
        <is>
          <t>Sensitive credentials and PII are masked or omitted from logs.</t>
        </is>
      </c>
      <c r="H221" s="12" t="inlineStr">
        <is>
          <t>Pending Execution</t>
        </is>
      </c>
      <c r="I221" s="13" t="inlineStr">
        <is>
          <t>Not Executed</t>
        </is>
      </c>
      <c r="J221" s="11" t="inlineStr">
        <is>
          <t>Low</t>
        </is>
      </c>
      <c r="K221" s="11" t="inlineStr">
        <is>
          <t>Major</t>
        </is>
      </c>
      <c r="L221" s="11" t="inlineStr">
        <is>
          <t>Script Ready</t>
        </is>
      </c>
      <c r="M221" s="12" t="inlineStr">
        <is>
          <t>Security Audit Sandbox</t>
        </is>
      </c>
      <c r="N221" s="12" t="inlineStr">
        <is>
          <t>Defensive Security Audit Engine</t>
        </is>
      </c>
      <c r="O221" s="12" t="inlineStr">
        <is>
          <t>Screen-specific baseline case for Step Counter &amp; Distance Burn Tracker</t>
        </is>
      </c>
    </row>
    <row r="222" ht="36" customHeight="1">
      <c r="A222" s="11" t="inlineStr">
        <is>
          <t>TC-221</t>
        </is>
      </c>
      <c r="B222" s="12" t="inlineStr">
        <is>
          <t>AITrainerScreen</t>
        </is>
      </c>
      <c r="C222" s="12" t="inlineStr">
        <is>
          <t>Safe Vulnerability &amp; Security Checks</t>
        </is>
      </c>
      <c r="D222" s="12" t="inlineStr">
        <is>
          <t>Authentication Lockout &amp; Brute-Force on AI Fitness &amp; Exercise Trainer Screen</t>
        </is>
      </c>
      <c r="E222" s="12" t="inlineStr">
        <is>
          <t>1. Launch test runner in Security Audit Sandbox.
2. Navigate to AI Fitness &amp; Exercise Trainer Screen (AITrainerScreen).
3. Attempt 10 invalid authentication requests on AITrainerScreen in rapid succession.
4. Verify expected results and log evidence.</t>
        </is>
      </c>
      <c r="F222" s="12" t="inlineStr">
        <is>
          <t>Attempts: 10 invalid</t>
        </is>
      </c>
      <c r="G222" s="12" t="inlineStr">
        <is>
          <t>Account temporarily locks out after 5 failed attempts with 429 response.</t>
        </is>
      </c>
      <c r="H222" s="12" t="inlineStr">
        <is>
          <t>Pending Execution</t>
        </is>
      </c>
      <c r="I222" s="13" t="inlineStr">
        <is>
          <t>Not Executed</t>
        </is>
      </c>
      <c r="J222" s="11" t="inlineStr">
        <is>
          <t>Medium</t>
        </is>
      </c>
      <c r="K222" s="11" t="inlineStr">
        <is>
          <t>Moderate</t>
        </is>
      </c>
      <c r="L222" s="11" t="inlineStr">
        <is>
          <t>Script Ready</t>
        </is>
      </c>
      <c r="M222" s="12" t="inlineStr">
        <is>
          <t>Security Audit Sandbox</t>
        </is>
      </c>
      <c r="N222" s="12" t="inlineStr">
        <is>
          <t>Defensive Security Audit Engine</t>
        </is>
      </c>
      <c r="O222" s="12" t="inlineStr">
        <is>
          <t>Screen-specific baseline case for AI Fitness &amp; Exercise Trainer Screen</t>
        </is>
      </c>
    </row>
    <row r="223" ht="36" customHeight="1">
      <c r="A223" s="11" t="inlineStr">
        <is>
          <t>TC-222</t>
        </is>
      </c>
      <c r="B223" s="12" t="inlineStr">
        <is>
          <t>AITrainerScreen</t>
        </is>
      </c>
      <c r="C223" s="12" t="inlineStr">
        <is>
          <t>Safe Vulnerability &amp; Security Checks</t>
        </is>
      </c>
      <c r="D223" s="12" t="inlineStr">
        <is>
          <t>Role-Based Authorization &amp; IDOR Check on AI Fitness &amp; Exercise Trainer Screen</t>
        </is>
      </c>
      <c r="E223" s="12" t="inlineStr">
        <is>
          <t>1. Launch test runner in Security Audit Sandbox.
2. Navigate to AI Fitness &amp; Exercise Trainer Screen (AITrainerScreen).
3. Attempt querying secondary user private records on AITrainerScreen using guest JWT.
4. Verify expected results and log evidence.</t>
        </is>
      </c>
      <c r="F223" s="12" t="inlineStr">
        <is>
          <t>IDOR Payload: AITrainerScreen_user_999</t>
        </is>
      </c>
      <c r="G223" s="12" t="inlineStr">
        <is>
          <t>Database and API reject request with HTTP 403 Forbidden.</t>
        </is>
      </c>
      <c r="H223" s="12" t="inlineStr">
        <is>
          <t>Pending Execution</t>
        </is>
      </c>
      <c r="I223" s="13" t="inlineStr">
        <is>
          <t>Not Executed</t>
        </is>
      </c>
      <c r="J223" s="11" t="inlineStr">
        <is>
          <t>High</t>
        </is>
      </c>
      <c r="K223" s="11" t="inlineStr">
        <is>
          <t>Major</t>
        </is>
      </c>
      <c r="L223" s="11" t="inlineStr">
        <is>
          <t>Script Ready</t>
        </is>
      </c>
      <c r="M223" s="12" t="inlineStr">
        <is>
          <t>Security Audit Sandbox</t>
        </is>
      </c>
      <c r="N223" s="12" t="inlineStr">
        <is>
          <t>Defensive Security Audit Engine</t>
        </is>
      </c>
      <c r="O223" s="12" t="inlineStr">
        <is>
          <t>Screen-specific baseline case for AI Fitness &amp; Exercise Trainer Screen</t>
        </is>
      </c>
    </row>
    <row r="224" ht="36" customHeight="1">
      <c r="A224" s="11" t="inlineStr">
        <is>
          <t>TC-223</t>
        </is>
      </c>
      <c r="B224" s="12" t="inlineStr">
        <is>
          <t>AITrainerScreen</t>
        </is>
      </c>
      <c r="C224" s="12" t="inlineStr">
        <is>
          <t>Safe Vulnerability &amp; Security Checks</t>
        </is>
      </c>
      <c r="D224" s="12" t="inlineStr">
        <is>
          <t>Session Token Expiration &amp; Revocation on AI Fitness &amp; Exercise Trainer Screen</t>
        </is>
      </c>
      <c r="E224" s="12" t="inlineStr">
        <is>
          <t>1. Launch test runner in Security Audit Sandbox.
2. Navigate to AI Fitness &amp; Exercise Trainer Screen (AITrainerScreen).
3. Present expired JWT token to AITrainerScreen API endpoint, attempt data fetch.
4. Verify expected results and log evidence.</t>
        </is>
      </c>
      <c r="F224" s="12" t="inlineStr">
        <is>
          <t>JWT Token: Expired/Revoked</t>
        </is>
      </c>
      <c r="G224" s="12" t="inlineStr">
        <is>
          <t>API gateway invalidates session and redirects to login view.</t>
        </is>
      </c>
      <c r="H224" s="12" t="inlineStr">
        <is>
          <t>Pending Execution</t>
        </is>
      </c>
      <c r="I224" s="13" t="inlineStr">
        <is>
          <t>Not Executed</t>
        </is>
      </c>
      <c r="J224" s="11" t="inlineStr">
        <is>
          <t>Medium</t>
        </is>
      </c>
      <c r="K224" s="11" t="inlineStr">
        <is>
          <t>Moderate</t>
        </is>
      </c>
      <c r="L224" s="11" t="inlineStr">
        <is>
          <t>Script Ready</t>
        </is>
      </c>
      <c r="M224" s="12" t="inlineStr">
        <is>
          <t>Security Audit Sandbox</t>
        </is>
      </c>
      <c r="N224" s="12" t="inlineStr">
        <is>
          <t>Defensive Security Audit Engine</t>
        </is>
      </c>
      <c r="O224" s="12" t="inlineStr">
        <is>
          <t>Screen-specific baseline case for AI Fitness &amp; Exercise Trainer Screen</t>
        </is>
      </c>
    </row>
    <row r="225" ht="36" customHeight="1">
      <c r="A225" s="11" t="inlineStr">
        <is>
          <t>TC-224</t>
        </is>
      </c>
      <c r="B225" s="12" t="inlineStr">
        <is>
          <t>AITrainerScreen</t>
        </is>
      </c>
      <c r="C225" s="12" t="inlineStr">
        <is>
          <t>Safe Vulnerability &amp; Security Checks</t>
        </is>
      </c>
      <c r="D225" s="12" t="inlineStr">
        <is>
          <t>Safe SQL Injection Input Defense on AI Fitness &amp; Exercise Trainer Screen</t>
        </is>
      </c>
      <c r="E225" s="12" t="inlineStr">
        <is>
          <t>1. Launch test runner in Security Audit Sandbox.
2. Navigate to AI Fitness &amp; Exercise Trainer Screen (AITrainerScreen).
3. Submit safe SQLi payload `' OR '1'='1` into text input fields on AITrainerScreen.
4. Verify expected results and log evidence.</t>
        </is>
      </c>
      <c r="F225" s="12" t="inlineStr">
        <is>
          <t>Payload: `' OR '1'='1`</t>
        </is>
      </c>
      <c r="G225" s="12" t="inlineStr">
        <is>
          <t>Input is parameterized/escaped cleanly; no SQL error occurs.</t>
        </is>
      </c>
      <c r="H225" s="12" t="inlineStr">
        <is>
          <t>Pending Execution</t>
        </is>
      </c>
      <c r="I225" s="13" t="inlineStr">
        <is>
          <t>Not Executed</t>
        </is>
      </c>
      <c r="J225" s="11" t="inlineStr">
        <is>
          <t>Medium</t>
        </is>
      </c>
      <c r="K225" s="11" t="inlineStr">
        <is>
          <t>Critical</t>
        </is>
      </c>
      <c r="L225" s="11" t="inlineStr">
        <is>
          <t>Script Ready</t>
        </is>
      </c>
      <c r="M225" s="12" t="inlineStr">
        <is>
          <t>Security Audit Sandbox</t>
        </is>
      </c>
      <c r="N225" s="12" t="inlineStr">
        <is>
          <t>Defensive Security Audit Engine</t>
        </is>
      </c>
      <c r="O225" s="12" t="inlineStr">
        <is>
          <t>Screen-specific baseline case for AI Fitness &amp; Exercise Trainer Screen</t>
        </is>
      </c>
    </row>
    <row r="226" ht="36" customHeight="1">
      <c r="A226" s="11" t="inlineStr">
        <is>
          <t>TC-225</t>
        </is>
      </c>
      <c r="B226" s="12" t="inlineStr">
        <is>
          <t>AITrainerScreen</t>
        </is>
      </c>
      <c r="C226" s="12" t="inlineStr">
        <is>
          <t>Safe Vulnerability &amp; Security Checks</t>
        </is>
      </c>
      <c r="D226" s="12" t="inlineStr">
        <is>
          <t>Safe XSS Script Escaping Validation on AI Fitness &amp; Exercise Trainer Screen</t>
        </is>
      </c>
      <c r="E226" s="12" t="inlineStr">
        <is>
          <t>1. Launch test runner in Security Audit Sandbox.
2. Navigate to AI Fitness &amp; Exercise Trainer Screen (AITrainerScreen).
3. Submit safe script payload `&lt;script&gt;alert(1)&lt;/script&gt;` into AITrainerScreen fields.
4. Verify expected results and log evidence.</t>
        </is>
      </c>
      <c r="F226" s="12" t="inlineStr">
        <is>
          <t>Payload: `&lt;script&gt;alert(1)&lt;/script&gt;`</t>
        </is>
      </c>
      <c r="G226" s="12" t="inlineStr">
        <is>
          <t>Payload renders as plain text string; script does not execute.</t>
        </is>
      </c>
      <c r="H226" s="12" t="inlineStr">
        <is>
          <t>Pending Execution</t>
        </is>
      </c>
      <c r="I226" s="13" t="inlineStr">
        <is>
          <t>Not Executed</t>
        </is>
      </c>
      <c r="J226" s="11" t="inlineStr">
        <is>
          <t>High</t>
        </is>
      </c>
      <c r="K226" s="11" t="inlineStr">
        <is>
          <t>Moderate</t>
        </is>
      </c>
      <c r="L226" s="11" t="inlineStr">
        <is>
          <t>Script Ready</t>
        </is>
      </c>
      <c r="M226" s="12" t="inlineStr">
        <is>
          <t>Security Audit Sandbox</t>
        </is>
      </c>
      <c r="N226" s="12" t="inlineStr">
        <is>
          <t>Defensive Security Audit Engine</t>
        </is>
      </c>
      <c r="O226" s="12" t="inlineStr">
        <is>
          <t>Screen-specific baseline case for AI Fitness &amp; Exercise Trainer Screen</t>
        </is>
      </c>
    </row>
    <row r="227" ht="36" customHeight="1">
      <c r="A227" s="11" t="inlineStr">
        <is>
          <t>TC-226</t>
        </is>
      </c>
      <c r="B227" s="12" t="inlineStr">
        <is>
          <t>AITrainerScreen</t>
        </is>
      </c>
      <c r="C227" s="12" t="inlineStr">
        <is>
          <t>Safe Vulnerability &amp; Security Checks</t>
        </is>
      </c>
      <c r="D227" s="12" t="inlineStr">
        <is>
          <t>TLS 1.3 Transport Encryption Enforcement on AI Fitness &amp; Exercise Trainer Screen</t>
        </is>
      </c>
      <c r="E227" s="12" t="inlineStr">
        <is>
          <t>1. Launch test runner in Security Audit Sandbox.
2. Navigate to AI Fitness &amp; Exercise Trainer Screen (AITrainerScreen).
3. Inspect outbound network traffic for AITrainerScreen using passive OWASP proxy.
4. Verify expected results and log evidence.</t>
        </is>
      </c>
      <c r="F227" s="12" t="inlineStr">
        <is>
          <t>Protocol: TLS 1.3 / HTTPS</t>
        </is>
      </c>
      <c r="G227" s="12" t="inlineStr">
        <is>
          <t>All HTTP connections upgrade to TLS 1.3; unencrypted HTTP blocked.</t>
        </is>
      </c>
      <c r="H227" s="12" t="inlineStr">
        <is>
          <t>Pending Execution</t>
        </is>
      </c>
      <c r="I227" s="13" t="inlineStr">
        <is>
          <t>Not Executed</t>
        </is>
      </c>
      <c r="J227" s="11" t="inlineStr">
        <is>
          <t>Medium</t>
        </is>
      </c>
      <c r="K227" s="11" t="inlineStr">
        <is>
          <t>Major</t>
        </is>
      </c>
      <c r="L227" s="11" t="inlineStr">
        <is>
          <t>Script Ready</t>
        </is>
      </c>
      <c r="M227" s="12" t="inlineStr">
        <is>
          <t>Security Audit Sandbox</t>
        </is>
      </c>
      <c r="N227" s="12" t="inlineStr">
        <is>
          <t>Defensive Security Audit Engine</t>
        </is>
      </c>
      <c r="O227" s="12" t="inlineStr">
        <is>
          <t>Screen-specific baseline case for AI Fitness &amp; Exercise Trainer Screen</t>
        </is>
      </c>
    </row>
    <row r="228" ht="36" customHeight="1">
      <c r="A228" s="11" t="inlineStr">
        <is>
          <t>TC-227</t>
        </is>
      </c>
      <c r="B228" s="12" t="inlineStr">
        <is>
          <t>AITrainerScreen</t>
        </is>
      </c>
      <c r="C228" s="12" t="inlineStr">
        <is>
          <t>Safe Vulnerability &amp; Security Checks</t>
        </is>
      </c>
      <c r="D228" s="12" t="inlineStr">
        <is>
          <t>API Rate Limiting 429 Response Check on AI Fitness &amp; Exercise Trainer Screen</t>
        </is>
      </c>
      <c r="E228" s="12" t="inlineStr">
        <is>
          <t>1. Launch test runner in Security Audit Sandbox.
2. Navigate to AI Fitness &amp; Exercise Trainer Screen (AITrainerScreen).
3. Send 100 rapid requests within 5 seconds to AITrainerScreen public endpoints.
4. Verify expected results and log evidence.</t>
        </is>
      </c>
      <c r="F228" s="12" t="inlineStr">
        <is>
          <t>Requests: 100 in 5s</t>
        </is>
      </c>
      <c r="G228" s="12" t="inlineStr">
        <is>
          <t>Rate limiter triggers HTTP 429 Too Many Requests response.</t>
        </is>
      </c>
      <c r="H228" s="12" t="inlineStr">
        <is>
          <t>Pending Execution</t>
        </is>
      </c>
      <c r="I228" s="13" t="inlineStr">
        <is>
          <t>Not Executed</t>
        </is>
      </c>
      <c r="J228" s="11" t="inlineStr">
        <is>
          <t>Medium</t>
        </is>
      </c>
      <c r="K228" s="11" t="inlineStr">
        <is>
          <t>Moderate</t>
        </is>
      </c>
      <c r="L228" s="11" t="inlineStr">
        <is>
          <t>Script Ready</t>
        </is>
      </c>
      <c r="M228" s="12" t="inlineStr">
        <is>
          <t>Security Audit Sandbox</t>
        </is>
      </c>
      <c r="N228" s="12" t="inlineStr">
        <is>
          <t>Defensive Security Audit Engine</t>
        </is>
      </c>
      <c r="O228" s="12" t="inlineStr">
        <is>
          <t>Screen-specific baseline case for AI Fitness &amp; Exercise Trainer Screen</t>
        </is>
      </c>
    </row>
    <row r="229" ht="36" customHeight="1">
      <c r="A229" s="11" t="inlineStr">
        <is>
          <t>TC-228</t>
        </is>
      </c>
      <c r="B229" s="12" t="inlineStr">
        <is>
          <t>AITrainerScreen</t>
        </is>
      </c>
      <c r="C229" s="12" t="inlineStr">
        <is>
          <t>Safe Vulnerability &amp; Security Checks</t>
        </is>
      </c>
      <c r="D229" s="12" t="inlineStr">
        <is>
          <t>Supabase Row Level Security (RLS) Audit on AI Fitness &amp; Exercise Trainer Screen</t>
        </is>
      </c>
      <c r="E229" s="12" t="inlineStr">
        <is>
          <t>1. Launch test runner in Security Audit Sandbox.
2. Navigate to AI Fitness &amp; Exercise Trainer Screen (AITrainerScreen).
3. Query Supabase PostgreSQL table for AITrainerScreen without auth header.
4. Verify expected results and log evidence.</t>
        </is>
      </c>
      <c r="F229" s="12" t="inlineStr">
        <is>
          <t>RLS Check: AITrainerScreen_table</t>
        </is>
      </c>
      <c r="G229" s="12" t="inlineStr">
        <is>
          <t>Supabase RLS policy blocks unauthorized row query access.</t>
        </is>
      </c>
      <c r="H229" s="12" t="inlineStr">
        <is>
          <t>Pending Execution</t>
        </is>
      </c>
      <c r="I229" s="13" t="inlineStr">
        <is>
          <t>Not Executed</t>
        </is>
      </c>
      <c r="J229" s="11" t="inlineStr">
        <is>
          <t>High</t>
        </is>
      </c>
      <c r="K229" s="11" t="inlineStr">
        <is>
          <t>Major</t>
        </is>
      </c>
      <c r="L229" s="11" t="inlineStr">
        <is>
          <t>Script Ready</t>
        </is>
      </c>
      <c r="M229" s="12" t="inlineStr">
        <is>
          <t>Security Audit Sandbox</t>
        </is>
      </c>
      <c r="N229" s="12" t="inlineStr">
        <is>
          <t>Defensive Security Audit Engine</t>
        </is>
      </c>
      <c r="O229" s="12" t="inlineStr">
        <is>
          <t>Screen-specific baseline case for AI Fitness &amp; Exercise Trainer Screen</t>
        </is>
      </c>
    </row>
    <row r="230" ht="36" customHeight="1">
      <c r="A230" s="11" t="inlineStr">
        <is>
          <t>TC-229</t>
        </is>
      </c>
      <c r="B230" s="12" t="inlineStr">
        <is>
          <t>AITrainerScreen</t>
        </is>
      </c>
      <c r="C230" s="12" t="inlineStr">
        <is>
          <t>Safe Vulnerability &amp; Security Checks</t>
        </is>
      </c>
      <c r="D230" s="12" t="inlineStr">
        <is>
          <t>Privileged Route Guard Verification on AI Fitness &amp; Exercise Trainer Screen</t>
        </is>
      </c>
      <c r="E230" s="12" t="inlineStr">
        <is>
          <t>1. Launch test runner in Security Audit Sandbox.
2. Navigate to AI Fitness &amp; Exercise Trainer Screen (AITrainerScreen).
3. Attempt deep linking directly to restricted AITrainerScreen view as unauthenticated user.
4. Verify expected results and log evidence.</t>
        </is>
      </c>
      <c r="F230" s="12" t="inlineStr">
        <is>
          <t>Route: /AITrainerScreen_admin</t>
        </is>
      </c>
      <c r="G230" s="12" t="inlineStr">
        <is>
          <t>Router guard intercepts request and redirects to login screen.</t>
        </is>
      </c>
      <c r="H230" s="12" t="inlineStr">
        <is>
          <t>Pending Execution</t>
        </is>
      </c>
      <c r="I230" s="13" t="inlineStr">
        <is>
          <t>Not Executed</t>
        </is>
      </c>
      <c r="J230" s="11" t="inlineStr">
        <is>
          <t>Medium</t>
        </is>
      </c>
      <c r="K230" s="11" t="inlineStr">
        <is>
          <t>Moderate</t>
        </is>
      </c>
      <c r="L230" s="11" t="inlineStr">
        <is>
          <t>Script Ready</t>
        </is>
      </c>
      <c r="M230" s="12" t="inlineStr">
        <is>
          <t>Security Audit Sandbox</t>
        </is>
      </c>
      <c r="N230" s="12" t="inlineStr">
        <is>
          <t>Defensive Security Audit Engine</t>
        </is>
      </c>
      <c r="O230" s="12" t="inlineStr">
        <is>
          <t>Screen-specific baseline case for AI Fitness &amp; Exercise Trainer Screen</t>
        </is>
      </c>
    </row>
    <row r="231" ht="36" customHeight="1">
      <c r="A231" s="11" t="inlineStr">
        <is>
          <t>TC-230</t>
        </is>
      </c>
      <c r="B231" s="12" t="inlineStr">
        <is>
          <t>AITrainerScreen</t>
        </is>
      </c>
      <c r="C231" s="12" t="inlineStr">
        <is>
          <t>Safe Vulnerability &amp; Security Checks</t>
        </is>
      </c>
      <c r="D231" s="12" t="inlineStr">
        <is>
          <t>Sensitive Data Masking &amp; Log Leak Check on AI Fitness &amp; Exercise Trainer Screen</t>
        </is>
      </c>
      <c r="E231" s="12" t="inlineStr">
        <is>
          <t>1. Launch test runner in Security Audit Sandbox.
2. Navigate to AI Fitness &amp; Exercise Trainer Screen (AITrainerScreen).
3. Audit application log files and network payloads for exposed AITrainerScreen secrets.
4. Verify expected results and log evidence.</t>
        </is>
      </c>
      <c r="F231" s="12" t="inlineStr">
        <is>
          <t>Audit: Password/Token fields</t>
        </is>
      </c>
      <c r="G231" s="12" t="inlineStr">
        <is>
          <t>Sensitive credentials and PII are masked or omitted from logs.</t>
        </is>
      </c>
      <c r="H231" s="12" t="inlineStr">
        <is>
          <t>Pending Execution</t>
        </is>
      </c>
      <c r="I231" s="13" t="inlineStr">
        <is>
          <t>Not Executed</t>
        </is>
      </c>
      <c r="J231" s="11" t="inlineStr">
        <is>
          <t>Low</t>
        </is>
      </c>
      <c r="K231" s="11" t="inlineStr">
        <is>
          <t>Major</t>
        </is>
      </c>
      <c r="L231" s="11" t="inlineStr">
        <is>
          <t>Script Ready</t>
        </is>
      </c>
      <c r="M231" s="12" t="inlineStr">
        <is>
          <t>Security Audit Sandbox</t>
        </is>
      </c>
      <c r="N231" s="12" t="inlineStr">
        <is>
          <t>Defensive Security Audit Engine</t>
        </is>
      </c>
      <c r="O231" s="12" t="inlineStr">
        <is>
          <t>Screen-specific baseline case for AI Fitness &amp; Exercise Trainer Screen</t>
        </is>
      </c>
    </row>
    <row r="232" ht="36" customHeight="1">
      <c r="A232" s="11" t="inlineStr">
        <is>
          <t>TC-231</t>
        </is>
      </c>
      <c r="B232" s="12" t="inlineStr">
        <is>
          <t>ShopTab</t>
        </is>
      </c>
      <c r="C232" s="12" t="inlineStr">
        <is>
          <t>Safe Vulnerability &amp; Security Checks</t>
        </is>
      </c>
      <c r="D232" s="12" t="inlineStr">
        <is>
          <t>Authentication Lockout &amp; Brute-Force on Supplement &amp; Equipment Shop Catalog Tab</t>
        </is>
      </c>
      <c r="E232" s="12" t="inlineStr">
        <is>
          <t>1. Launch test runner in Security Audit Sandbox.
2. Navigate to Supplement &amp; Equipment Shop Catalog Tab (ShopTab).
3. Attempt 10 invalid authentication requests on ShopTab in rapid succession.
4. Verify expected results and log evidence.</t>
        </is>
      </c>
      <c r="F232" s="12" t="inlineStr">
        <is>
          <t>Attempts: 10 invalid</t>
        </is>
      </c>
      <c r="G232" s="12" t="inlineStr">
        <is>
          <t>Account temporarily locks out after 5 failed attempts with 429 response.</t>
        </is>
      </c>
      <c r="H232" s="12" t="inlineStr">
        <is>
          <t>Pending Execution</t>
        </is>
      </c>
      <c r="I232" s="13" t="inlineStr">
        <is>
          <t>Not Executed</t>
        </is>
      </c>
      <c r="J232" s="11" t="inlineStr">
        <is>
          <t>High</t>
        </is>
      </c>
      <c r="K232" s="11" t="inlineStr">
        <is>
          <t>Critical</t>
        </is>
      </c>
      <c r="L232" s="11" t="inlineStr">
        <is>
          <t>Script Ready</t>
        </is>
      </c>
      <c r="M232" s="12" t="inlineStr">
        <is>
          <t>Security Audit Sandbox</t>
        </is>
      </c>
      <c r="N232" s="12" t="inlineStr">
        <is>
          <t>Defensive Security Audit Engine</t>
        </is>
      </c>
      <c r="O232" s="12" t="inlineStr">
        <is>
          <t>Screen-specific baseline case for Supplement &amp; Equipment Shop Catalog Tab</t>
        </is>
      </c>
    </row>
    <row r="233" ht="36" customHeight="1">
      <c r="A233" s="11" t="inlineStr">
        <is>
          <t>TC-232</t>
        </is>
      </c>
      <c r="B233" s="12" t="inlineStr">
        <is>
          <t>ShopTab</t>
        </is>
      </c>
      <c r="C233" s="12" t="inlineStr">
        <is>
          <t>Safe Vulnerability &amp; Security Checks</t>
        </is>
      </c>
      <c r="D233" s="12" t="inlineStr">
        <is>
          <t>Role-Based Authorization &amp; IDOR Check on Supplement &amp; Equipment Shop Catalog Tab</t>
        </is>
      </c>
      <c r="E233" s="12" t="inlineStr">
        <is>
          <t>1. Launch test runner in Security Audit Sandbox.
2. Navigate to Supplement &amp; Equipment Shop Catalog Tab (ShopTab).
3. Attempt querying secondary user private records on ShopTab using guest JWT.
4. Verify expected results and log evidence.</t>
        </is>
      </c>
      <c r="F233" s="12" t="inlineStr">
        <is>
          <t>IDOR Payload: ShopTab_user_999</t>
        </is>
      </c>
      <c r="G233" s="12" t="inlineStr">
        <is>
          <t>Database and API reject request with HTTP 403 Forbidden.</t>
        </is>
      </c>
      <c r="H233" s="12" t="inlineStr">
        <is>
          <t>Pending Execution</t>
        </is>
      </c>
      <c r="I233" s="13" t="inlineStr">
        <is>
          <t>Not Executed</t>
        </is>
      </c>
      <c r="J233" s="11" t="inlineStr">
        <is>
          <t>Medium</t>
        </is>
      </c>
      <c r="K233" s="11" t="inlineStr">
        <is>
          <t>Major</t>
        </is>
      </c>
      <c r="L233" s="11" t="inlineStr">
        <is>
          <t>Script Ready</t>
        </is>
      </c>
      <c r="M233" s="12" t="inlineStr">
        <is>
          <t>Security Audit Sandbox</t>
        </is>
      </c>
      <c r="N233" s="12" t="inlineStr">
        <is>
          <t>Defensive Security Audit Engine</t>
        </is>
      </c>
      <c r="O233" s="12" t="inlineStr">
        <is>
          <t>Screen-specific baseline case for Supplement &amp; Equipment Shop Catalog Tab</t>
        </is>
      </c>
    </row>
    <row r="234" ht="36" customHeight="1">
      <c r="A234" s="11" t="inlineStr">
        <is>
          <t>TC-233</t>
        </is>
      </c>
      <c r="B234" s="12" t="inlineStr">
        <is>
          <t>ShopTab</t>
        </is>
      </c>
      <c r="C234" s="12" t="inlineStr">
        <is>
          <t>Safe Vulnerability &amp; Security Checks</t>
        </is>
      </c>
      <c r="D234" s="12" t="inlineStr">
        <is>
          <t>Session Token Expiration &amp; Revocation on Supplement &amp; Equipment Shop Catalog Tab</t>
        </is>
      </c>
      <c r="E234" s="12" t="inlineStr">
        <is>
          <t>1. Launch test runner in Security Audit Sandbox.
2. Navigate to Supplement &amp; Equipment Shop Catalog Tab (ShopTab).
3. Present expired JWT token to ShopTab API endpoint, attempt data fetch.
4. Verify expected results and log evidence.</t>
        </is>
      </c>
      <c r="F234" s="12" t="inlineStr">
        <is>
          <t>JWT Token: Expired/Revoked</t>
        </is>
      </c>
      <c r="G234" s="12" t="inlineStr">
        <is>
          <t>API gateway invalidates session and redirects to login view.</t>
        </is>
      </c>
      <c r="H234" s="12" t="inlineStr">
        <is>
          <t>Pending Execution</t>
        </is>
      </c>
      <c r="I234" s="13" t="inlineStr">
        <is>
          <t>Not Executed</t>
        </is>
      </c>
      <c r="J234" s="11" t="inlineStr">
        <is>
          <t>Medium</t>
        </is>
      </c>
      <c r="K234" s="11" t="inlineStr">
        <is>
          <t>Moderate</t>
        </is>
      </c>
      <c r="L234" s="11" t="inlineStr">
        <is>
          <t>Script Ready</t>
        </is>
      </c>
      <c r="M234" s="12" t="inlineStr">
        <is>
          <t>Security Audit Sandbox</t>
        </is>
      </c>
      <c r="N234" s="12" t="inlineStr">
        <is>
          <t>Defensive Security Audit Engine</t>
        </is>
      </c>
      <c r="O234" s="12" t="inlineStr">
        <is>
          <t>Screen-specific baseline case for Supplement &amp; Equipment Shop Catalog Tab</t>
        </is>
      </c>
    </row>
    <row r="235" ht="36" customHeight="1">
      <c r="A235" s="11" t="inlineStr">
        <is>
          <t>TC-234</t>
        </is>
      </c>
      <c r="B235" s="12" t="inlineStr">
        <is>
          <t>ShopTab</t>
        </is>
      </c>
      <c r="C235" s="12" t="inlineStr">
        <is>
          <t>Safe Vulnerability &amp; Security Checks</t>
        </is>
      </c>
      <c r="D235" s="12" t="inlineStr">
        <is>
          <t>Safe SQL Injection Input Defense on Supplement &amp; Equipment Shop Catalog Tab</t>
        </is>
      </c>
      <c r="E235" s="12" t="inlineStr">
        <is>
          <t>1. Launch test runner in Security Audit Sandbox.
2. Navigate to Supplement &amp; Equipment Shop Catalog Tab (ShopTab).
3. Submit safe SQLi payload `' OR '1'='1` into text input fields on ShopTab.
4. Verify expected results and log evidence.</t>
        </is>
      </c>
      <c r="F235" s="12" t="inlineStr">
        <is>
          <t>Payload: `' OR '1'='1`</t>
        </is>
      </c>
      <c r="G235" s="12" t="inlineStr">
        <is>
          <t>Input is parameterized/escaped cleanly; no SQL error occurs.</t>
        </is>
      </c>
      <c r="H235" s="12" t="inlineStr">
        <is>
          <t>Pending Execution</t>
        </is>
      </c>
      <c r="I235" s="13" t="inlineStr">
        <is>
          <t>Not Executed</t>
        </is>
      </c>
      <c r="J235" s="11" t="inlineStr">
        <is>
          <t>High</t>
        </is>
      </c>
      <c r="K235" s="11" t="inlineStr">
        <is>
          <t>Major</t>
        </is>
      </c>
      <c r="L235" s="11" t="inlineStr">
        <is>
          <t>Script Ready</t>
        </is>
      </c>
      <c r="M235" s="12" t="inlineStr">
        <is>
          <t>Security Audit Sandbox</t>
        </is>
      </c>
      <c r="N235" s="12" t="inlineStr">
        <is>
          <t>Defensive Security Audit Engine</t>
        </is>
      </c>
      <c r="O235" s="12" t="inlineStr">
        <is>
          <t>Screen-specific baseline case for Supplement &amp; Equipment Shop Catalog Tab</t>
        </is>
      </c>
    </row>
    <row r="236" ht="36" customHeight="1">
      <c r="A236" s="11" t="inlineStr">
        <is>
          <t>TC-235</t>
        </is>
      </c>
      <c r="B236" s="12" t="inlineStr">
        <is>
          <t>ShopTab</t>
        </is>
      </c>
      <c r="C236" s="12" t="inlineStr">
        <is>
          <t>Safe Vulnerability &amp; Security Checks</t>
        </is>
      </c>
      <c r="D236" s="12" t="inlineStr">
        <is>
          <t>Safe XSS Script Escaping Validation on Supplement &amp; Equipment Shop Catalog Tab</t>
        </is>
      </c>
      <c r="E236" s="12" t="inlineStr">
        <is>
          <t>1. Launch test runner in Security Audit Sandbox.
2. Navigate to Supplement &amp; Equipment Shop Catalog Tab (ShopTab).
3. Submit safe script payload `&lt;script&gt;alert(1)&lt;/script&gt;` into ShopTab fields.
4. Verify expected results and log evidence.</t>
        </is>
      </c>
      <c r="F236" s="12" t="inlineStr">
        <is>
          <t>Payload: `&lt;script&gt;alert(1)&lt;/script&gt;`</t>
        </is>
      </c>
      <c r="G236" s="12" t="inlineStr">
        <is>
          <t>Payload renders as plain text string; script does not execute.</t>
        </is>
      </c>
      <c r="H236" s="12" t="inlineStr">
        <is>
          <t>Pending Execution</t>
        </is>
      </c>
      <c r="I236" s="13" t="inlineStr">
        <is>
          <t>Not Executed</t>
        </is>
      </c>
      <c r="J236" s="11" t="inlineStr">
        <is>
          <t>Low</t>
        </is>
      </c>
      <c r="K236" s="11" t="inlineStr">
        <is>
          <t>Moderate</t>
        </is>
      </c>
      <c r="L236" s="11" t="inlineStr">
        <is>
          <t>Script Ready</t>
        </is>
      </c>
      <c r="M236" s="12" t="inlineStr">
        <is>
          <t>Security Audit Sandbox</t>
        </is>
      </c>
      <c r="N236" s="12" t="inlineStr">
        <is>
          <t>Defensive Security Audit Engine</t>
        </is>
      </c>
      <c r="O236" s="12" t="inlineStr">
        <is>
          <t>Screen-specific baseline case for Supplement &amp; Equipment Shop Catalog Tab</t>
        </is>
      </c>
    </row>
    <row r="237" ht="36" customHeight="1">
      <c r="A237" s="11" t="inlineStr">
        <is>
          <t>TC-236</t>
        </is>
      </c>
      <c r="B237" s="12" t="inlineStr">
        <is>
          <t>ShopTab</t>
        </is>
      </c>
      <c r="C237" s="12" t="inlineStr">
        <is>
          <t>Safe Vulnerability &amp; Security Checks</t>
        </is>
      </c>
      <c r="D237" s="12" t="inlineStr">
        <is>
          <t>TLS 1.3 Transport Encryption Enforcement on Supplement &amp; Equipment Shop Catalog Tab</t>
        </is>
      </c>
      <c r="E237" s="12" t="inlineStr">
        <is>
          <t>1. Launch test runner in Security Audit Sandbox.
2. Navigate to Supplement &amp; Equipment Shop Catalog Tab (ShopTab).
3. Inspect outbound network traffic for ShopTab using passive OWASP proxy.
4. Verify expected results and log evidence.</t>
        </is>
      </c>
      <c r="F237" s="12" t="inlineStr">
        <is>
          <t>Protocol: TLS 1.3 / HTTPS</t>
        </is>
      </c>
      <c r="G237" s="12" t="inlineStr">
        <is>
          <t>All HTTP connections upgrade to TLS 1.3; unencrypted HTTP blocked.</t>
        </is>
      </c>
      <c r="H237" s="12" t="inlineStr">
        <is>
          <t>Pending Execution</t>
        </is>
      </c>
      <c r="I237" s="13" t="inlineStr">
        <is>
          <t>Not Executed</t>
        </is>
      </c>
      <c r="J237" s="11" t="inlineStr">
        <is>
          <t>Medium</t>
        </is>
      </c>
      <c r="K237" s="11" t="inlineStr">
        <is>
          <t>Major</t>
        </is>
      </c>
      <c r="L237" s="11" t="inlineStr">
        <is>
          <t>Script Ready</t>
        </is>
      </c>
      <c r="M237" s="12" t="inlineStr">
        <is>
          <t>Security Audit Sandbox</t>
        </is>
      </c>
      <c r="N237" s="12" t="inlineStr">
        <is>
          <t>Defensive Security Audit Engine</t>
        </is>
      </c>
      <c r="O237" s="12" t="inlineStr">
        <is>
          <t>Screen-specific baseline case for Supplement &amp; Equipment Shop Catalog Tab</t>
        </is>
      </c>
    </row>
    <row r="238" ht="36" customHeight="1">
      <c r="A238" s="11" t="inlineStr">
        <is>
          <t>TC-237</t>
        </is>
      </c>
      <c r="B238" s="12" t="inlineStr">
        <is>
          <t>ShopTab</t>
        </is>
      </c>
      <c r="C238" s="12" t="inlineStr">
        <is>
          <t>Safe Vulnerability &amp; Security Checks</t>
        </is>
      </c>
      <c r="D238" s="12" t="inlineStr">
        <is>
          <t>API Rate Limiting 429 Response Check on Supplement &amp; Equipment Shop Catalog Tab</t>
        </is>
      </c>
      <c r="E238" s="12" t="inlineStr">
        <is>
          <t>1. Launch test runner in Security Audit Sandbox.
2. Navigate to Supplement &amp; Equipment Shop Catalog Tab (ShopTab).
3. Send 100 rapid requests within 5 seconds to ShopTab public endpoints.
4. Verify expected results and log evidence.</t>
        </is>
      </c>
      <c r="F238" s="12" t="inlineStr">
        <is>
          <t>Requests: 100 in 5s</t>
        </is>
      </c>
      <c r="G238" s="12" t="inlineStr">
        <is>
          <t>Rate limiter triggers HTTP 429 Too Many Requests response.</t>
        </is>
      </c>
      <c r="H238" s="12" t="inlineStr">
        <is>
          <t>Pending Execution</t>
        </is>
      </c>
      <c r="I238" s="13" t="inlineStr">
        <is>
          <t>Not Executed</t>
        </is>
      </c>
      <c r="J238" s="11" t="inlineStr">
        <is>
          <t>High</t>
        </is>
      </c>
      <c r="K238" s="11" t="inlineStr">
        <is>
          <t>Moderate</t>
        </is>
      </c>
      <c r="L238" s="11" t="inlineStr">
        <is>
          <t>Script Ready</t>
        </is>
      </c>
      <c r="M238" s="12" t="inlineStr">
        <is>
          <t>Security Audit Sandbox</t>
        </is>
      </c>
      <c r="N238" s="12" t="inlineStr">
        <is>
          <t>Defensive Security Audit Engine</t>
        </is>
      </c>
      <c r="O238" s="12" t="inlineStr">
        <is>
          <t>Screen-specific baseline case for Supplement &amp; Equipment Shop Catalog Tab</t>
        </is>
      </c>
    </row>
    <row r="239" ht="36" customHeight="1">
      <c r="A239" s="11" t="inlineStr">
        <is>
          <t>TC-238</t>
        </is>
      </c>
      <c r="B239" s="12" t="inlineStr">
        <is>
          <t>ShopTab</t>
        </is>
      </c>
      <c r="C239" s="12" t="inlineStr">
        <is>
          <t>Safe Vulnerability &amp; Security Checks</t>
        </is>
      </c>
      <c r="D239" s="12" t="inlineStr">
        <is>
          <t>Supabase Row Level Security (RLS) Audit on Supplement &amp; Equipment Shop Catalog Tab</t>
        </is>
      </c>
      <c r="E239" s="12" t="inlineStr">
        <is>
          <t>1. Launch test runner in Security Audit Sandbox.
2. Navigate to Supplement &amp; Equipment Shop Catalog Tab (ShopTab).
3. Query Supabase PostgreSQL table for ShopTab without auth header.
4. Verify expected results and log evidence.</t>
        </is>
      </c>
      <c r="F239" s="12" t="inlineStr">
        <is>
          <t>RLS Check: ShopTab_table</t>
        </is>
      </c>
      <c r="G239" s="12" t="inlineStr">
        <is>
          <t>Supabase RLS policy blocks unauthorized row query access.</t>
        </is>
      </c>
      <c r="H239" s="12" t="inlineStr">
        <is>
          <t>Pending Execution</t>
        </is>
      </c>
      <c r="I239" s="13" t="inlineStr">
        <is>
          <t>Not Executed</t>
        </is>
      </c>
      <c r="J239" s="11" t="inlineStr">
        <is>
          <t>Medium</t>
        </is>
      </c>
      <c r="K239" s="11" t="inlineStr">
        <is>
          <t>Critical</t>
        </is>
      </c>
      <c r="L239" s="11" t="inlineStr">
        <is>
          <t>Script Ready</t>
        </is>
      </c>
      <c r="M239" s="12" t="inlineStr">
        <is>
          <t>Security Audit Sandbox</t>
        </is>
      </c>
      <c r="N239" s="12" t="inlineStr">
        <is>
          <t>Defensive Security Audit Engine</t>
        </is>
      </c>
      <c r="O239" s="12" t="inlineStr">
        <is>
          <t>Screen-specific baseline case for Supplement &amp; Equipment Shop Catalog Tab</t>
        </is>
      </c>
    </row>
    <row r="240" ht="36" customHeight="1">
      <c r="A240" s="11" t="inlineStr">
        <is>
          <t>TC-239</t>
        </is>
      </c>
      <c r="B240" s="12" t="inlineStr">
        <is>
          <t>ShopTab</t>
        </is>
      </c>
      <c r="C240" s="12" t="inlineStr">
        <is>
          <t>Safe Vulnerability &amp; Security Checks</t>
        </is>
      </c>
      <c r="D240" s="12" t="inlineStr">
        <is>
          <t>Privileged Route Guard Verification on Supplement &amp; Equipment Shop Catalog Tab</t>
        </is>
      </c>
      <c r="E240" s="12" t="inlineStr">
        <is>
          <t>1. Launch test runner in Security Audit Sandbox.
2. Navigate to Supplement &amp; Equipment Shop Catalog Tab (ShopTab).
3. Attempt deep linking directly to restricted ShopTab view as unauthenticated user.
4. Verify expected results and log evidence.</t>
        </is>
      </c>
      <c r="F240" s="12" t="inlineStr">
        <is>
          <t>Route: /ShopTab_admin</t>
        </is>
      </c>
      <c r="G240" s="12" t="inlineStr">
        <is>
          <t>Router guard intercepts request and redirects to login screen.</t>
        </is>
      </c>
      <c r="H240" s="12" t="inlineStr">
        <is>
          <t>Pending Execution</t>
        </is>
      </c>
      <c r="I240" s="13" t="inlineStr">
        <is>
          <t>Not Executed</t>
        </is>
      </c>
      <c r="J240" s="11" t="inlineStr">
        <is>
          <t>Medium</t>
        </is>
      </c>
      <c r="K240" s="11" t="inlineStr">
        <is>
          <t>Moderate</t>
        </is>
      </c>
      <c r="L240" s="11" t="inlineStr">
        <is>
          <t>Script Ready</t>
        </is>
      </c>
      <c r="M240" s="12" t="inlineStr">
        <is>
          <t>Security Audit Sandbox</t>
        </is>
      </c>
      <c r="N240" s="12" t="inlineStr">
        <is>
          <t>Defensive Security Audit Engine</t>
        </is>
      </c>
      <c r="O240" s="12" t="inlineStr">
        <is>
          <t>Screen-specific baseline case for Supplement &amp; Equipment Shop Catalog Tab</t>
        </is>
      </c>
    </row>
    <row r="241" ht="36" customHeight="1">
      <c r="A241" s="11" t="inlineStr">
        <is>
          <t>TC-240</t>
        </is>
      </c>
      <c r="B241" s="12" t="inlineStr">
        <is>
          <t>ShopTab</t>
        </is>
      </c>
      <c r="C241" s="12" t="inlineStr">
        <is>
          <t>Safe Vulnerability &amp; Security Checks</t>
        </is>
      </c>
      <c r="D241" s="12" t="inlineStr">
        <is>
          <t>Sensitive Data Masking &amp; Log Leak Check on Supplement &amp; Equipment Shop Catalog Tab</t>
        </is>
      </c>
      <c r="E241" s="12" t="inlineStr">
        <is>
          <t>1. Launch test runner in Security Audit Sandbox.
2. Navigate to Supplement &amp; Equipment Shop Catalog Tab (ShopTab).
3. Audit application log files and network payloads for exposed ShopTab secrets.
4. Verify expected results and log evidence.</t>
        </is>
      </c>
      <c r="F241" s="12" t="inlineStr">
        <is>
          <t>Audit: Password/Token fields</t>
        </is>
      </c>
      <c r="G241" s="12" t="inlineStr">
        <is>
          <t>Sensitive credentials and PII are masked or omitted from logs.</t>
        </is>
      </c>
      <c r="H241" s="12" t="inlineStr">
        <is>
          <t>Pending Execution</t>
        </is>
      </c>
      <c r="I241" s="13" t="inlineStr">
        <is>
          <t>Not Executed</t>
        </is>
      </c>
      <c r="J241" s="11" t="inlineStr">
        <is>
          <t>High</t>
        </is>
      </c>
      <c r="K241" s="11" t="inlineStr">
        <is>
          <t>Major</t>
        </is>
      </c>
      <c r="L241" s="11" t="inlineStr">
        <is>
          <t>Script Ready</t>
        </is>
      </c>
      <c r="M241" s="12" t="inlineStr">
        <is>
          <t>Security Audit Sandbox</t>
        </is>
      </c>
      <c r="N241" s="12" t="inlineStr">
        <is>
          <t>Defensive Security Audit Engine</t>
        </is>
      </c>
      <c r="O241" s="12" t="inlineStr">
        <is>
          <t>Screen-specific baseline case for Supplement &amp; Equipment Shop Catalog Tab</t>
        </is>
      </c>
    </row>
    <row r="242" ht="36" customHeight="1">
      <c r="A242" s="11" t="inlineStr">
        <is>
          <t>TC-241</t>
        </is>
      </c>
      <c r="B242" s="12" t="inlineStr">
        <is>
          <t>BudgetProductCard</t>
        </is>
      </c>
      <c r="C242" s="12" t="inlineStr">
        <is>
          <t>Safe Vulnerability &amp; Security Checks</t>
        </is>
      </c>
      <c r="D242" s="12" t="inlineStr">
        <is>
          <t>Authentication Lockout &amp; Brute-Force on Budget Supplement &amp; Product Details</t>
        </is>
      </c>
      <c r="E242" s="12" t="inlineStr">
        <is>
          <t>1. Launch test runner in Security Audit Sandbox.
2. Navigate to Budget Supplement &amp; Product Details (BudgetProductCard).
3. Attempt 10 invalid authentication requests on BudgetProductCard in rapid succession.
4. Verify expected results and log evidence.</t>
        </is>
      </c>
      <c r="F242" s="12" t="inlineStr">
        <is>
          <t>Attempts: 10 invalid</t>
        </is>
      </c>
      <c r="G242" s="12" t="inlineStr">
        <is>
          <t>Account temporarily locks out after 5 failed attempts with 429 response.</t>
        </is>
      </c>
      <c r="H242" s="12" t="inlineStr">
        <is>
          <t>Pending Execution</t>
        </is>
      </c>
      <c r="I242" s="13" t="inlineStr">
        <is>
          <t>Not Executed</t>
        </is>
      </c>
      <c r="J242" s="11" t="inlineStr">
        <is>
          <t>Medium</t>
        </is>
      </c>
      <c r="K242" s="11" t="inlineStr">
        <is>
          <t>Moderate</t>
        </is>
      </c>
      <c r="L242" s="11" t="inlineStr">
        <is>
          <t>Script Ready</t>
        </is>
      </c>
      <c r="M242" s="12" t="inlineStr">
        <is>
          <t>Security Audit Sandbox</t>
        </is>
      </c>
      <c r="N242" s="12" t="inlineStr">
        <is>
          <t>Defensive Security Audit Engine</t>
        </is>
      </c>
      <c r="O242" s="12" t="inlineStr">
        <is>
          <t>Screen-specific baseline case for Budget Supplement &amp; Product Details</t>
        </is>
      </c>
    </row>
    <row r="243" ht="36" customHeight="1">
      <c r="A243" s="11" t="inlineStr">
        <is>
          <t>TC-242</t>
        </is>
      </c>
      <c r="B243" s="12" t="inlineStr">
        <is>
          <t>BudgetProductCard</t>
        </is>
      </c>
      <c r="C243" s="12" t="inlineStr">
        <is>
          <t>Safe Vulnerability &amp; Security Checks</t>
        </is>
      </c>
      <c r="D243" s="12" t="inlineStr">
        <is>
          <t>Role-Based Authorization &amp; IDOR Check on Budget Supplement &amp; Product Details</t>
        </is>
      </c>
      <c r="E243" s="12" t="inlineStr">
        <is>
          <t>1. Launch test runner in Security Audit Sandbox.
2. Navigate to Budget Supplement &amp; Product Details (BudgetProductCard).
3. Attempt querying secondary user private records on BudgetProductCard using guest JWT.
4. Verify expected results and log evidence.</t>
        </is>
      </c>
      <c r="F243" s="12" t="inlineStr">
        <is>
          <t>IDOR Payload: BudgetProductCard_user_999</t>
        </is>
      </c>
      <c r="G243" s="12" t="inlineStr">
        <is>
          <t>Database and API reject request with HTTP 403 Forbidden.</t>
        </is>
      </c>
      <c r="H243" s="12" t="inlineStr">
        <is>
          <t>Pending Execution</t>
        </is>
      </c>
      <c r="I243" s="13" t="inlineStr">
        <is>
          <t>Not Executed</t>
        </is>
      </c>
      <c r="J243" s="11" t="inlineStr">
        <is>
          <t>Medium</t>
        </is>
      </c>
      <c r="K243" s="11" t="inlineStr">
        <is>
          <t>Major</t>
        </is>
      </c>
      <c r="L243" s="11" t="inlineStr">
        <is>
          <t>Script Ready</t>
        </is>
      </c>
      <c r="M243" s="12" t="inlineStr">
        <is>
          <t>Security Audit Sandbox</t>
        </is>
      </c>
      <c r="N243" s="12" t="inlineStr">
        <is>
          <t>Defensive Security Audit Engine</t>
        </is>
      </c>
      <c r="O243" s="12" t="inlineStr">
        <is>
          <t>Screen-specific baseline case for Budget Supplement &amp; Product Details</t>
        </is>
      </c>
    </row>
    <row r="244" ht="36" customHeight="1">
      <c r="A244" s="11" t="inlineStr">
        <is>
          <t>TC-243</t>
        </is>
      </c>
      <c r="B244" s="12" t="inlineStr">
        <is>
          <t>BudgetProductCard</t>
        </is>
      </c>
      <c r="C244" s="12" t="inlineStr">
        <is>
          <t>Safe Vulnerability &amp; Security Checks</t>
        </is>
      </c>
      <c r="D244" s="12" t="inlineStr">
        <is>
          <t>Session Token Expiration &amp; Revocation on Budget Supplement &amp; Product Details</t>
        </is>
      </c>
      <c r="E244" s="12" t="inlineStr">
        <is>
          <t>1. Launch test runner in Security Audit Sandbox.
2. Navigate to Budget Supplement &amp; Product Details (BudgetProductCard).
3. Present expired JWT token to BudgetProductCard API endpoint, attempt data fetch.
4. Verify expected results and log evidence.</t>
        </is>
      </c>
      <c r="F244" s="12" t="inlineStr">
        <is>
          <t>JWT Token: Expired/Revoked</t>
        </is>
      </c>
      <c r="G244" s="12" t="inlineStr">
        <is>
          <t>API gateway invalidates session and redirects to login view.</t>
        </is>
      </c>
      <c r="H244" s="12" t="inlineStr">
        <is>
          <t>Pending Execution</t>
        </is>
      </c>
      <c r="I244" s="13" t="inlineStr">
        <is>
          <t>Not Executed</t>
        </is>
      </c>
      <c r="J244" s="11" t="inlineStr">
        <is>
          <t>High</t>
        </is>
      </c>
      <c r="K244" s="11" t="inlineStr">
        <is>
          <t>Moderate</t>
        </is>
      </c>
      <c r="L244" s="11" t="inlineStr">
        <is>
          <t>Script Ready</t>
        </is>
      </c>
      <c r="M244" s="12" t="inlineStr">
        <is>
          <t>Security Audit Sandbox</t>
        </is>
      </c>
      <c r="N244" s="12" t="inlineStr">
        <is>
          <t>Defensive Security Audit Engine</t>
        </is>
      </c>
      <c r="O244" s="12" t="inlineStr">
        <is>
          <t>Screen-specific baseline case for Budget Supplement &amp; Product Details</t>
        </is>
      </c>
    </row>
    <row r="245" ht="36" customHeight="1">
      <c r="A245" s="11" t="inlineStr">
        <is>
          <t>TC-244</t>
        </is>
      </c>
      <c r="B245" s="12" t="inlineStr">
        <is>
          <t>BudgetProductCard</t>
        </is>
      </c>
      <c r="C245" s="12" t="inlineStr">
        <is>
          <t>Safe Vulnerability &amp; Security Checks</t>
        </is>
      </c>
      <c r="D245" s="12" t="inlineStr">
        <is>
          <t>Safe SQL Injection Input Defense on Budget Supplement &amp; Product Details</t>
        </is>
      </c>
      <c r="E245" s="12" t="inlineStr">
        <is>
          <t>1. Launch test runner in Security Audit Sandbox.
2. Navigate to Budget Supplement &amp; Product Details (BudgetProductCard).
3. Submit safe SQLi payload `' OR '1'='1` into text input fields on BudgetProductCard.
4. Verify expected results and log evidence.</t>
        </is>
      </c>
      <c r="F245" s="12" t="inlineStr">
        <is>
          <t>Payload: `' OR '1'='1`</t>
        </is>
      </c>
      <c r="G245" s="12" t="inlineStr">
        <is>
          <t>Input is parameterized/escaped cleanly; no SQL error occurs.</t>
        </is>
      </c>
      <c r="H245" s="12" t="inlineStr">
        <is>
          <t>Pending Execution</t>
        </is>
      </c>
      <c r="I245" s="13" t="inlineStr">
        <is>
          <t>Not Executed</t>
        </is>
      </c>
      <c r="J245" s="11" t="inlineStr">
        <is>
          <t>Medium</t>
        </is>
      </c>
      <c r="K245" s="11" t="inlineStr">
        <is>
          <t>Major</t>
        </is>
      </c>
      <c r="L245" s="11" t="inlineStr">
        <is>
          <t>Script Ready</t>
        </is>
      </c>
      <c r="M245" s="12" t="inlineStr">
        <is>
          <t>Security Audit Sandbox</t>
        </is>
      </c>
      <c r="N245" s="12" t="inlineStr">
        <is>
          <t>Defensive Security Audit Engine</t>
        </is>
      </c>
      <c r="O245" s="12" t="inlineStr">
        <is>
          <t>Screen-specific baseline case for Budget Supplement &amp; Product Details</t>
        </is>
      </c>
    </row>
    <row r="246" ht="36" customHeight="1">
      <c r="A246" s="11" t="inlineStr">
        <is>
          <t>TC-245</t>
        </is>
      </c>
      <c r="B246" s="12" t="inlineStr">
        <is>
          <t>BudgetProductCard</t>
        </is>
      </c>
      <c r="C246" s="12" t="inlineStr">
        <is>
          <t>Safe Vulnerability &amp; Security Checks</t>
        </is>
      </c>
      <c r="D246" s="12" t="inlineStr">
        <is>
          <t>Safe XSS Script Escaping Validation on Budget Supplement &amp; Product Details</t>
        </is>
      </c>
      <c r="E246" s="12" t="inlineStr">
        <is>
          <t>1. Launch test runner in Security Audit Sandbox.
2. Navigate to Budget Supplement &amp; Product Details (BudgetProductCard).
3. Submit safe script payload `&lt;script&gt;alert(1)&lt;/script&gt;` into BudgetProductCard fields.
4. Verify expected results and log evidence.</t>
        </is>
      </c>
      <c r="F246" s="12" t="inlineStr">
        <is>
          <t>Payload: `&lt;script&gt;alert(1)&lt;/script&gt;`</t>
        </is>
      </c>
      <c r="G246" s="12" t="inlineStr">
        <is>
          <t>Payload renders as plain text string; script does not execute.</t>
        </is>
      </c>
      <c r="H246" s="12" t="inlineStr">
        <is>
          <t>Pending Execution</t>
        </is>
      </c>
      <c r="I246" s="13" t="inlineStr">
        <is>
          <t>Not Executed</t>
        </is>
      </c>
      <c r="J246" s="11" t="inlineStr">
        <is>
          <t>Low</t>
        </is>
      </c>
      <c r="K246" s="11" t="inlineStr">
        <is>
          <t>Critical</t>
        </is>
      </c>
      <c r="L246" s="11" t="inlineStr">
        <is>
          <t>Script Ready</t>
        </is>
      </c>
      <c r="M246" s="12" t="inlineStr">
        <is>
          <t>Security Audit Sandbox</t>
        </is>
      </c>
      <c r="N246" s="12" t="inlineStr">
        <is>
          <t>Defensive Security Audit Engine</t>
        </is>
      </c>
      <c r="O246" s="12" t="inlineStr">
        <is>
          <t>Screen-specific baseline case for Budget Supplement &amp; Product Details</t>
        </is>
      </c>
    </row>
    <row r="247" ht="36" customHeight="1">
      <c r="A247" s="11" t="inlineStr">
        <is>
          <t>TC-246</t>
        </is>
      </c>
      <c r="B247" s="12" t="inlineStr">
        <is>
          <t>BudgetProductCard</t>
        </is>
      </c>
      <c r="C247" s="12" t="inlineStr">
        <is>
          <t>Safe Vulnerability &amp; Security Checks</t>
        </is>
      </c>
      <c r="D247" s="12" t="inlineStr">
        <is>
          <t>TLS 1.3 Transport Encryption Enforcement on Budget Supplement &amp; Product Details</t>
        </is>
      </c>
      <c r="E247" s="12" t="inlineStr">
        <is>
          <t>1. Launch test runner in Security Audit Sandbox.
2. Navigate to Budget Supplement &amp; Product Details (BudgetProductCard).
3. Inspect outbound network traffic for BudgetProductCard using passive OWASP proxy.
4. Verify expected results and log evidence.</t>
        </is>
      </c>
      <c r="F247" s="12" t="inlineStr">
        <is>
          <t>Protocol: TLS 1.3 / HTTPS</t>
        </is>
      </c>
      <c r="G247" s="12" t="inlineStr">
        <is>
          <t>All HTTP connections upgrade to TLS 1.3; unencrypted HTTP blocked.</t>
        </is>
      </c>
      <c r="H247" s="12" t="inlineStr">
        <is>
          <t>Pending Execution</t>
        </is>
      </c>
      <c r="I247" s="13" t="inlineStr">
        <is>
          <t>Not Executed</t>
        </is>
      </c>
      <c r="J247" s="11" t="inlineStr">
        <is>
          <t>High</t>
        </is>
      </c>
      <c r="K247" s="11" t="inlineStr">
        <is>
          <t>Major</t>
        </is>
      </c>
      <c r="L247" s="11" t="inlineStr">
        <is>
          <t>Script Ready</t>
        </is>
      </c>
      <c r="M247" s="12" t="inlineStr">
        <is>
          <t>Security Audit Sandbox</t>
        </is>
      </c>
      <c r="N247" s="12" t="inlineStr">
        <is>
          <t>Defensive Security Audit Engine</t>
        </is>
      </c>
      <c r="O247" s="12" t="inlineStr">
        <is>
          <t>Screen-specific baseline case for Budget Supplement &amp; Product Details</t>
        </is>
      </c>
    </row>
    <row r="248" ht="36" customHeight="1">
      <c r="A248" s="11" t="inlineStr">
        <is>
          <t>TC-247</t>
        </is>
      </c>
      <c r="B248" s="12" t="inlineStr">
        <is>
          <t>BudgetProductCard</t>
        </is>
      </c>
      <c r="C248" s="12" t="inlineStr">
        <is>
          <t>Safe Vulnerability &amp; Security Checks</t>
        </is>
      </c>
      <c r="D248" s="12" t="inlineStr">
        <is>
          <t>API Rate Limiting 429 Response Check on Budget Supplement &amp; Product Details</t>
        </is>
      </c>
      <c r="E248" s="12" t="inlineStr">
        <is>
          <t>1. Launch test runner in Security Audit Sandbox.
2. Navigate to Budget Supplement &amp; Product Details (BudgetProductCard).
3. Send 100 rapid requests within 5 seconds to BudgetProductCard public endpoints.
4. Verify expected results and log evidence.</t>
        </is>
      </c>
      <c r="F248" s="12" t="inlineStr">
        <is>
          <t>Requests: 100 in 5s</t>
        </is>
      </c>
      <c r="G248" s="12" t="inlineStr">
        <is>
          <t>Rate limiter triggers HTTP 429 Too Many Requests response.</t>
        </is>
      </c>
      <c r="H248" s="12" t="inlineStr">
        <is>
          <t>Pending Execution</t>
        </is>
      </c>
      <c r="I248" s="13" t="inlineStr">
        <is>
          <t>Not Executed</t>
        </is>
      </c>
      <c r="J248" s="11" t="inlineStr">
        <is>
          <t>Medium</t>
        </is>
      </c>
      <c r="K248" s="11" t="inlineStr">
        <is>
          <t>Moderate</t>
        </is>
      </c>
      <c r="L248" s="11" t="inlineStr">
        <is>
          <t>Script Ready</t>
        </is>
      </c>
      <c r="M248" s="12" t="inlineStr">
        <is>
          <t>Security Audit Sandbox</t>
        </is>
      </c>
      <c r="N248" s="12" t="inlineStr">
        <is>
          <t>Defensive Security Audit Engine</t>
        </is>
      </c>
      <c r="O248" s="12" t="inlineStr">
        <is>
          <t>Screen-specific baseline case for Budget Supplement &amp; Product Details</t>
        </is>
      </c>
    </row>
    <row r="249" ht="36" customHeight="1">
      <c r="A249" s="11" t="inlineStr">
        <is>
          <t>TC-248</t>
        </is>
      </c>
      <c r="B249" s="12" t="inlineStr">
        <is>
          <t>BudgetProductCard</t>
        </is>
      </c>
      <c r="C249" s="12" t="inlineStr">
        <is>
          <t>Safe Vulnerability &amp; Security Checks</t>
        </is>
      </c>
      <c r="D249" s="12" t="inlineStr">
        <is>
          <t>Supabase Row Level Security (RLS) Audit on Budget Supplement &amp; Product Details</t>
        </is>
      </c>
      <c r="E249" s="12" t="inlineStr">
        <is>
          <t>1. Launch test runner in Security Audit Sandbox.
2. Navigate to Budget Supplement &amp; Product Details (BudgetProductCard).
3. Query Supabase PostgreSQL table for BudgetProductCard without auth header.
4. Verify expected results and log evidence.</t>
        </is>
      </c>
      <c r="F249" s="12" t="inlineStr">
        <is>
          <t>RLS Check: BudgetProductCard_table</t>
        </is>
      </c>
      <c r="G249" s="12" t="inlineStr">
        <is>
          <t>Supabase RLS policy blocks unauthorized row query access.</t>
        </is>
      </c>
      <c r="H249" s="12" t="inlineStr">
        <is>
          <t>Pending Execution</t>
        </is>
      </c>
      <c r="I249" s="13" t="inlineStr">
        <is>
          <t>Not Executed</t>
        </is>
      </c>
      <c r="J249" s="11" t="inlineStr">
        <is>
          <t>Medium</t>
        </is>
      </c>
      <c r="K249" s="11" t="inlineStr">
        <is>
          <t>Major</t>
        </is>
      </c>
      <c r="L249" s="11" t="inlineStr">
        <is>
          <t>Script Ready</t>
        </is>
      </c>
      <c r="M249" s="12" t="inlineStr">
        <is>
          <t>Security Audit Sandbox</t>
        </is>
      </c>
      <c r="N249" s="12" t="inlineStr">
        <is>
          <t>Defensive Security Audit Engine</t>
        </is>
      </c>
      <c r="O249" s="12" t="inlineStr">
        <is>
          <t>Screen-specific baseline case for Budget Supplement &amp; Product Details</t>
        </is>
      </c>
    </row>
    <row r="250" ht="36" customHeight="1">
      <c r="A250" s="11" t="inlineStr">
        <is>
          <t>TC-249</t>
        </is>
      </c>
      <c r="B250" s="12" t="inlineStr">
        <is>
          <t>BudgetProductCard</t>
        </is>
      </c>
      <c r="C250" s="12" t="inlineStr">
        <is>
          <t>Safe Vulnerability &amp; Security Checks</t>
        </is>
      </c>
      <c r="D250" s="12" t="inlineStr">
        <is>
          <t>Privileged Route Guard Verification on Budget Supplement &amp; Product Details</t>
        </is>
      </c>
      <c r="E250" s="12" t="inlineStr">
        <is>
          <t>1. Launch test runner in Security Audit Sandbox.
2. Navigate to Budget Supplement &amp; Product Details (BudgetProductCard).
3. Attempt deep linking directly to restricted BudgetProductCard view as unauthenticated user.
4. Verify expected results and log evidence.</t>
        </is>
      </c>
      <c r="F250" s="12" t="inlineStr">
        <is>
          <t>Route: /BudgetProductCard_admin</t>
        </is>
      </c>
      <c r="G250" s="12" t="inlineStr">
        <is>
          <t>Router guard intercepts request and redirects to login screen.</t>
        </is>
      </c>
      <c r="H250" s="12" t="inlineStr">
        <is>
          <t>Pending Execution</t>
        </is>
      </c>
      <c r="I250" s="13" t="inlineStr">
        <is>
          <t>Not Executed</t>
        </is>
      </c>
      <c r="J250" s="11" t="inlineStr">
        <is>
          <t>High</t>
        </is>
      </c>
      <c r="K250" s="11" t="inlineStr">
        <is>
          <t>Moderate</t>
        </is>
      </c>
      <c r="L250" s="11" t="inlineStr">
        <is>
          <t>Script Ready</t>
        </is>
      </c>
      <c r="M250" s="12" t="inlineStr">
        <is>
          <t>Security Audit Sandbox</t>
        </is>
      </c>
      <c r="N250" s="12" t="inlineStr">
        <is>
          <t>Defensive Security Audit Engine</t>
        </is>
      </c>
      <c r="O250" s="12" t="inlineStr">
        <is>
          <t>Screen-specific baseline case for Budget Supplement &amp; Product Details</t>
        </is>
      </c>
    </row>
    <row r="251" ht="36" customHeight="1">
      <c r="A251" s="11" t="inlineStr">
        <is>
          <t>TC-250</t>
        </is>
      </c>
      <c r="B251" s="12" t="inlineStr">
        <is>
          <t>BudgetProductCard</t>
        </is>
      </c>
      <c r="C251" s="12" t="inlineStr">
        <is>
          <t>Safe Vulnerability &amp; Security Checks</t>
        </is>
      </c>
      <c r="D251" s="12" t="inlineStr">
        <is>
          <t>Sensitive Data Masking &amp; Log Leak Check on Budget Supplement &amp; Product Details</t>
        </is>
      </c>
      <c r="E251" s="12" t="inlineStr">
        <is>
          <t>1. Launch test runner in Security Audit Sandbox.
2. Navigate to Budget Supplement &amp; Product Details (BudgetProductCard).
3. Audit application log files and network payloads for exposed BudgetProductCard secrets.
4. Verify expected results and log evidence.</t>
        </is>
      </c>
      <c r="F251" s="12" t="inlineStr">
        <is>
          <t>Audit: Password/Token fields</t>
        </is>
      </c>
      <c r="G251" s="12" t="inlineStr">
        <is>
          <t>Sensitive credentials and PII are masked or omitted from logs.</t>
        </is>
      </c>
      <c r="H251" s="12" t="inlineStr">
        <is>
          <t>Pending Execution</t>
        </is>
      </c>
      <c r="I251" s="13" t="inlineStr">
        <is>
          <t>Not Executed</t>
        </is>
      </c>
      <c r="J251" s="11" t="inlineStr">
        <is>
          <t>Low</t>
        </is>
      </c>
      <c r="K251" s="11" t="inlineStr">
        <is>
          <t>Major</t>
        </is>
      </c>
      <c r="L251" s="11" t="inlineStr">
        <is>
          <t>Script Ready</t>
        </is>
      </c>
      <c r="M251" s="12" t="inlineStr">
        <is>
          <t>Security Audit Sandbox</t>
        </is>
      </c>
      <c r="N251" s="12" t="inlineStr">
        <is>
          <t>Defensive Security Audit Engine</t>
        </is>
      </c>
      <c r="O251" s="12" t="inlineStr">
        <is>
          <t>Screen-specific baseline case for Budget Supplement &amp; Product Details</t>
        </is>
      </c>
    </row>
    <row r="252" ht="36" customHeight="1">
      <c r="A252" s="11" t="inlineStr">
        <is>
          <t>TC-251</t>
        </is>
      </c>
      <c r="B252" s="12" t="inlineStr">
        <is>
          <t>CartScreen</t>
        </is>
      </c>
      <c r="C252" s="12" t="inlineStr">
        <is>
          <t>Safe Vulnerability &amp; Security Checks</t>
        </is>
      </c>
      <c r="D252" s="12" t="inlineStr">
        <is>
          <t>Authentication Lockout &amp; Brute-Force on Shopping Cart &amp; Item Summary Screen</t>
        </is>
      </c>
      <c r="E252" s="12" t="inlineStr">
        <is>
          <t>1. Launch test runner in Security Audit Sandbox.
2. Navigate to Shopping Cart &amp; Item Summary Screen (CartScreen).
3. Attempt 10 invalid authentication requests on CartScreen in rapid succession.
4. Verify expected results and log evidence.</t>
        </is>
      </c>
      <c r="F252" s="12" t="inlineStr">
        <is>
          <t>Attempts: 10 invalid</t>
        </is>
      </c>
      <c r="G252" s="12" t="inlineStr">
        <is>
          <t>Account temporarily locks out after 5 failed attempts with 429 response.</t>
        </is>
      </c>
      <c r="H252" s="12" t="inlineStr">
        <is>
          <t>Pending Execution</t>
        </is>
      </c>
      <c r="I252" s="13" t="inlineStr">
        <is>
          <t>Not Executed</t>
        </is>
      </c>
      <c r="J252" s="11" t="inlineStr">
        <is>
          <t>Medium</t>
        </is>
      </c>
      <c r="K252" s="11" t="inlineStr">
        <is>
          <t>Moderate</t>
        </is>
      </c>
      <c r="L252" s="11" t="inlineStr">
        <is>
          <t>Script Ready</t>
        </is>
      </c>
      <c r="M252" s="12" t="inlineStr">
        <is>
          <t>Security Audit Sandbox</t>
        </is>
      </c>
      <c r="N252" s="12" t="inlineStr">
        <is>
          <t>Defensive Security Audit Engine</t>
        </is>
      </c>
      <c r="O252" s="12" t="inlineStr">
        <is>
          <t>Screen-specific baseline case for Shopping Cart &amp; Item Summary Screen</t>
        </is>
      </c>
    </row>
    <row r="253" ht="36" customHeight="1">
      <c r="A253" s="11" t="inlineStr">
        <is>
          <t>TC-252</t>
        </is>
      </c>
      <c r="B253" s="12" t="inlineStr">
        <is>
          <t>CartScreen</t>
        </is>
      </c>
      <c r="C253" s="12" t="inlineStr">
        <is>
          <t>Safe Vulnerability &amp; Security Checks</t>
        </is>
      </c>
      <c r="D253" s="12" t="inlineStr">
        <is>
          <t>Role-Based Authorization &amp; IDOR Check on Shopping Cart &amp; Item Summary Screen</t>
        </is>
      </c>
      <c r="E253" s="12" t="inlineStr">
        <is>
          <t>1. Launch test runner in Security Audit Sandbox.
2. Navigate to Shopping Cart &amp; Item Summary Screen (CartScreen).
3. Attempt querying secondary user private records on CartScreen using guest JWT.
4. Verify expected results and log evidence.</t>
        </is>
      </c>
      <c r="F253" s="12" t="inlineStr">
        <is>
          <t>IDOR Payload: CartScreen_user_999</t>
        </is>
      </c>
      <c r="G253" s="12" t="inlineStr">
        <is>
          <t>Database and API reject request with HTTP 403 Forbidden.</t>
        </is>
      </c>
      <c r="H253" s="12" t="inlineStr">
        <is>
          <t>Pending Execution</t>
        </is>
      </c>
      <c r="I253" s="13" t="inlineStr">
        <is>
          <t>Not Executed</t>
        </is>
      </c>
      <c r="J253" s="11" t="inlineStr">
        <is>
          <t>High</t>
        </is>
      </c>
      <c r="K253" s="11" t="inlineStr">
        <is>
          <t>Critical</t>
        </is>
      </c>
      <c r="L253" s="11" t="inlineStr">
        <is>
          <t>Script Ready</t>
        </is>
      </c>
      <c r="M253" s="12" t="inlineStr">
        <is>
          <t>Security Audit Sandbox</t>
        </is>
      </c>
      <c r="N253" s="12" t="inlineStr">
        <is>
          <t>Defensive Security Audit Engine</t>
        </is>
      </c>
      <c r="O253" s="12" t="inlineStr">
        <is>
          <t>Screen-specific baseline case for Shopping Cart &amp; Item Summary Screen</t>
        </is>
      </c>
    </row>
    <row r="254" ht="36" customHeight="1">
      <c r="A254" s="11" t="inlineStr">
        <is>
          <t>TC-253</t>
        </is>
      </c>
      <c r="B254" s="12" t="inlineStr">
        <is>
          <t>CartScreen</t>
        </is>
      </c>
      <c r="C254" s="12" t="inlineStr">
        <is>
          <t>Safe Vulnerability &amp; Security Checks</t>
        </is>
      </c>
      <c r="D254" s="12" t="inlineStr">
        <is>
          <t>Session Token Expiration &amp; Revocation on Shopping Cart &amp; Item Summary Screen</t>
        </is>
      </c>
      <c r="E254" s="12" t="inlineStr">
        <is>
          <t>1. Launch test runner in Security Audit Sandbox.
2. Navigate to Shopping Cart &amp; Item Summary Screen (CartScreen).
3. Present expired JWT token to CartScreen API endpoint, attempt data fetch.
4. Verify expected results and log evidence.</t>
        </is>
      </c>
      <c r="F254" s="12" t="inlineStr">
        <is>
          <t>JWT Token: Expired/Revoked</t>
        </is>
      </c>
      <c r="G254" s="12" t="inlineStr">
        <is>
          <t>API gateway invalidates session and redirects to login view.</t>
        </is>
      </c>
      <c r="H254" s="12" t="inlineStr">
        <is>
          <t>Pending Execution</t>
        </is>
      </c>
      <c r="I254" s="13" t="inlineStr">
        <is>
          <t>Not Executed</t>
        </is>
      </c>
      <c r="J254" s="11" t="inlineStr">
        <is>
          <t>Medium</t>
        </is>
      </c>
      <c r="K254" s="11" t="inlineStr">
        <is>
          <t>Moderate</t>
        </is>
      </c>
      <c r="L254" s="11" t="inlineStr">
        <is>
          <t>Script Ready</t>
        </is>
      </c>
      <c r="M254" s="12" t="inlineStr">
        <is>
          <t>Security Audit Sandbox</t>
        </is>
      </c>
      <c r="N254" s="12" t="inlineStr">
        <is>
          <t>Defensive Security Audit Engine</t>
        </is>
      </c>
      <c r="O254" s="12" t="inlineStr">
        <is>
          <t>Screen-specific baseline case for Shopping Cart &amp; Item Summary Screen</t>
        </is>
      </c>
    </row>
    <row r="255" ht="36" customHeight="1">
      <c r="A255" s="11" t="inlineStr">
        <is>
          <t>TC-254</t>
        </is>
      </c>
      <c r="B255" s="12" t="inlineStr">
        <is>
          <t>CartScreen</t>
        </is>
      </c>
      <c r="C255" s="12" t="inlineStr">
        <is>
          <t>Safe Vulnerability &amp; Security Checks</t>
        </is>
      </c>
      <c r="D255" s="12" t="inlineStr">
        <is>
          <t>Safe SQL Injection Input Defense on Shopping Cart &amp; Item Summary Screen</t>
        </is>
      </c>
      <c r="E255" s="12" t="inlineStr">
        <is>
          <t>1. Launch test runner in Security Audit Sandbox.
2. Navigate to Shopping Cart &amp; Item Summary Screen (CartScreen).
3. Submit safe SQLi payload `' OR '1'='1` into text input fields on CartScreen.
4. Verify expected results and log evidence.</t>
        </is>
      </c>
      <c r="F255" s="12" t="inlineStr">
        <is>
          <t>Payload: `' OR '1'='1`</t>
        </is>
      </c>
      <c r="G255" s="12" t="inlineStr">
        <is>
          <t>Input is parameterized/escaped cleanly; no SQL error occurs.</t>
        </is>
      </c>
      <c r="H255" s="12" t="inlineStr">
        <is>
          <t>Pending Execution</t>
        </is>
      </c>
      <c r="I255" s="13" t="inlineStr">
        <is>
          <t>Not Executed</t>
        </is>
      </c>
      <c r="J255" s="11" t="inlineStr">
        <is>
          <t>Medium</t>
        </is>
      </c>
      <c r="K255" s="11" t="inlineStr">
        <is>
          <t>Major</t>
        </is>
      </c>
      <c r="L255" s="11" t="inlineStr">
        <is>
          <t>Script Ready</t>
        </is>
      </c>
      <c r="M255" s="12" t="inlineStr">
        <is>
          <t>Security Audit Sandbox</t>
        </is>
      </c>
      <c r="N255" s="12" t="inlineStr">
        <is>
          <t>Defensive Security Audit Engine</t>
        </is>
      </c>
      <c r="O255" s="12" t="inlineStr">
        <is>
          <t>Screen-specific baseline case for Shopping Cart &amp; Item Summary Screen</t>
        </is>
      </c>
    </row>
    <row r="256" ht="36" customHeight="1">
      <c r="A256" s="11" t="inlineStr">
        <is>
          <t>TC-255</t>
        </is>
      </c>
      <c r="B256" s="12" t="inlineStr">
        <is>
          <t>CartScreen</t>
        </is>
      </c>
      <c r="C256" s="12" t="inlineStr">
        <is>
          <t>Safe Vulnerability &amp; Security Checks</t>
        </is>
      </c>
      <c r="D256" s="12" t="inlineStr">
        <is>
          <t>Safe XSS Script Escaping Validation on Shopping Cart &amp; Item Summary Screen</t>
        </is>
      </c>
      <c r="E256" s="12" t="inlineStr">
        <is>
          <t>1. Launch test runner in Security Audit Sandbox.
2. Navigate to Shopping Cart &amp; Item Summary Screen (CartScreen).
3. Submit safe script payload `&lt;script&gt;alert(1)&lt;/script&gt;` into CartScreen fields.
4. Verify expected results and log evidence.</t>
        </is>
      </c>
      <c r="F256" s="12" t="inlineStr">
        <is>
          <t>Payload: `&lt;script&gt;alert(1)&lt;/script&gt;`</t>
        </is>
      </c>
      <c r="G256" s="12" t="inlineStr">
        <is>
          <t>Payload renders as plain text string; script does not execute.</t>
        </is>
      </c>
      <c r="H256" s="12" t="inlineStr">
        <is>
          <t>Pending Execution</t>
        </is>
      </c>
      <c r="I256" s="13" t="inlineStr">
        <is>
          <t>Not Executed</t>
        </is>
      </c>
      <c r="J256" s="11" t="inlineStr">
        <is>
          <t>High</t>
        </is>
      </c>
      <c r="K256" s="11" t="inlineStr">
        <is>
          <t>Moderate</t>
        </is>
      </c>
      <c r="L256" s="11" t="inlineStr">
        <is>
          <t>Script Ready</t>
        </is>
      </c>
      <c r="M256" s="12" t="inlineStr">
        <is>
          <t>Security Audit Sandbox</t>
        </is>
      </c>
      <c r="N256" s="12" t="inlineStr">
        <is>
          <t>Defensive Security Audit Engine</t>
        </is>
      </c>
      <c r="O256" s="12" t="inlineStr">
        <is>
          <t>Screen-specific baseline case for Shopping Cart &amp; Item Summary Screen</t>
        </is>
      </c>
    </row>
    <row r="257" ht="36" customHeight="1">
      <c r="A257" s="11" t="inlineStr">
        <is>
          <t>TC-256</t>
        </is>
      </c>
      <c r="B257" s="12" t="inlineStr">
        <is>
          <t>CartScreen</t>
        </is>
      </c>
      <c r="C257" s="12" t="inlineStr">
        <is>
          <t>Safe Vulnerability &amp; Security Checks</t>
        </is>
      </c>
      <c r="D257" s="12" t="inlineStr">
        <is>
          <t>TLS 1.3 Transport Encryption Enforcement on Shopping Cart &amp; Item Summary Screen</t>
        </is>
      </c>
      <c r="E257" s="12" t="inlineStr">
        <is>
          <t>1. Launch test runner in Security Audit Sandbox.
2. Navigate to Shopping Cart &amp; Item Summary Screen (CartScreen).
3. Inspect outbound network traffic for CartScreen using passive OWASP proxy.
4. Verify expected results and log evidence.</t>
        </is>
      </c>
      <c r="F257" s="12" t="inlineStr">
        <is>
          <t>Protocol: TLS 1.3 / HTTPS</t>
        </is>
      </c>
      <c r="G257" s="12" t="inlineStr">
        <is>
          <t>All HTTP connections upgrade to TLS 1.3; unencrypted HTTP blocked.</t>
        </is>
      </c>
      <c r="H257" s="12" t="inlineStr">
        <is>
          <t>Pending Execution</t>
        </is>
      </c>
      <c r="I257" s="13" t="inlineStr">
        <is>
          <t>Not Executed</t>
        </is>
      </c>
      <c r="J257" s="11" t="inlineStr">
        <is>
          <t>Medium</t>
        </is>
      </c>
      <c r="K257" s="11" t="inlineStr">
        <is>
          <t>Major</t>
        </is>
      </c>
      <c r="L257" s="11" t="inlineStr">
        <is>
          <t>Script Ready</t>
        </is>
      </c>
      <c r="M257" s="12" t="inlineStr">
        <is>
          <t>Security Audit Sandbox</t>
        </is>
      </c>
      <c r="N257" s="12" t="inlineStr">
        <is>
          <t>Defensive Security Audit Engine</t>
        </is>
      </c>
      <c r="O257" s="12" t="inlineStr">
        <is>
          <t>Screen-specific baseline case for Shopping Cart &amp; Item Summary Screen</t>
        </is>
      </c>
    </row>
    <row r="258" ht="36" customHeight="1">
      <c r="A258" s="11" t="inlineStr">
        <is>
          <t>TC-257</t>
        </is>
      </c>
      <c r="B258" s="12" t="inlineStr">
        <is>
          <t>CartScreen</t>
        </is>
      </c>
      <c r="C258" s="12" t="inlineStr">
        <is>
          <t>Safe Vulnerability &amp; Security Checks</t>
        </is>
      </c>
      <c r="D258" s="12" t="inlineStr">
        <is>
          <t>API Rate Limiting 429 Response Check on Shopping Cart &amp; Item Summary Screen</t>
        </is>
      </c>
      <c r="E258" s="12" t="inlineStr">
        <is>
          <t>1. Launch test runner in Security Audit Sandbox.
2. Navigate to Shopping Cart &amp; Item Summary Screen (CartScreen).
3. Send 100 rapid requests within 5 seconds to CartScreen public endpoints.
4. Verify expected results and log evidence.</t>
        </is>
      </c>
      <c r="F258" s="12" t="inlineStr">
        <is>
          <t>Requests: 100 in 5s</t>
        </is>
      </c>
      <c r="G258" s="12" t="inlineStr">
        <is>
          <t>Rate limiter triggers HTTP 429 Too Many Requests response.</t>
        </is>
      </c>
      <c r="H258" s="12" t="inlineStr">
        <is>
          <t>Pending Execution</t>
        </is>
      </c>
      <c r="I258" s="13" t="inlineStr">
        <is>
          <t>Not Executed</t>
        </is>
      </c>
      <c r="J258" s="11" t="inlineStr">
        <is>
          <t>Medium</t>
        </is>
      </c>
      <c r="K258" s="11" t="inlineStr">
        <is>
          <t>Moderate</t>
        </is>
      </c>
      <c r="L258" s="11" t="inlineStr">
        <is>
          <t>Script Ready</t>
        </is>
      </c>
      <c r="M258" s="12" t="inlineStr">
        <is>
          <t>Security Audit Sandbox</t>
        </is>
      </c>
      <c r="N258" s="12" t="inlineStr">
        <is>
          <t>Defensive Security Audit Engine</t>
        </is>
      </c>
      <c r="O258" s="12" t="inlineStr">
        <is>
          <t>Screen-specific baseline case for Shopping Cart &amp; Item Summary Screen</t>
        </is>
      </c>
    </row>
    <row r="259" ht="36" customHeight="1">
      <c r="A259" s="11" t="inlineStr">
        <is>
          <t>TC-258</t>
        </is>
      </c>
      <c r="B259" s="12" t="inlineStr">
        <is>
          <t>CartScreen</t>
        </is>
      </c>
      <c r="C259" s="12" t="inlineStr">
        <is>
          <t>Safe Vulnerability &amp; Security Checks</t>
        </is>
      </c>
      <c r="D259" s="12" t="inlineStr">
        <is>
          <t>Supabase Row Level Security (RLS) Audit on Shopping Cart &amp; Item Summary Screen</t>
        </is>
      </c>
      <c r="E259" s="12" t="inlineStr">
        <is>
          <t>1. Launch test runner in Security Audit Sandbox.
2. Navigate to Shopping Cart &amp; Item Summary Screen (CartScreen).
3. Query Supabase PostgreSQL table for CartScreen without auth header.
4. Verify expected results and log evidence.</t>
        </is>
      </c>
      <c r="F259" s="12" t="inlineStr">
        <is>
          <t>RLS Check: CartScreen_table</t>
        </is>
      </c>
      <c r="G259" s="12" t="inlineStr">
        <is>
          <t>Supabase RLS policy blocks unauthorized row query access.</t>
        </is>
      </c>
      <c r="H259" s="12" t="inlineStr">
        <is>
          <t>Pending Execution</t>
        </is>
      </c>
      <c r="I259" s="13" t="inlineStr">
        <is>
          <t>Not Executed</t>
        </is>
      </c>
      <c r="J259" s="11" t="inlineStr">
        <is>
          <t>High</t>
        </is>
      </c>
      <c r="K259" s="11" t="inlineStr">
        <is>
          <t>Major</t>
        </is>
      </c>
      <c r="L259" s="11" t="inlineStr">
        <is>
          <t>Script Ready</t>
        </is>
      </c>
      <c r="M259" s="12" t="inlineStr">
        <is>
          <t>Security Audit Sandbox</t>
        </is>
      </c>
      <c r="N259" s="12" t="inlineStr">
        <is>
          <t>Defensive Security Audit Engine</t>
        </is>
      </c>
      <c r="O259" s="12" t="inlineStr">
        <is>
          <t>Screen-specific baseline case for Shopping Cart &amp; Item Summary Screen</t>
        </is>
      </c>
    </row>
    <row r="260" ht="36" customHeight="1">
      <c r="A260" s="11" t="inlineStr">
        <is>
          <t>TC-259</t>
        </is>
      </c>
      <c r="B260" s="12" t="inlineStr">
        <is>
          <t>CartScreen</t>
        </is>
      </c>
      <c r="C260" s="12" t="inlineStr">
        <is>
          <t>Safe Vulnerability &amp; Security Checks</t>
        </is>
      </c>
      <c r="D260" s="12" t="inlineStr">
        <is>
          <t>Privileged Route Guard Verification on Shopping Cart &amp; Item Summary Screen</t>
        </is>
      </c>
      <c r="E260" s="12" t="inlineStr">
        <is>
          <t>1. Launch test runner in Security Audit Sandbox.
2. Navigate to Shopping Cart &amp; Item Summary Screen (CartScreen).
3. Attempt deep linking directly to restricted CartScreen view as unauthenticated user.
4. Verify expected results and log evidence.</t>
        </is>
      </c>
      <c r="F260" s="12" t="inlineStr">
        <is>
          <t>Route: /CartScreen_admin</t>
        </is>
      </c>
      <c r="G260" s="12" t="inlineStr">
        <is>
          <t>Router guard intercepts request and redirects to login screen.</t>
        </is>
      </c>
      <c r="H260" s="12" t="inlineStr">
        <is>
          <t>Pending Execution</t>
        </is>
      </c>
      <c r="I260" s="13" t="inlineStr">
        <is>
          <t>Not Executed</t>
        </is>
      </c>
      <c r="J260" s="11" t="inlineStr">
        <is>
          <t>Medium</t>
        </is>
      </c>
      <c r="K260" s="11" t="inlineStr">
        <is>
          <t>Critical</t>
        </is>
      </c>
      <c r="L260" s="11" t="inlineStr">
        <is>
          <t>Script Ready</t>
        </is>
      </c>
      <c r="M260" s="12" t="inlineStr">
        <is>
          <t>Security Audit Sandbox</t>
        </is>
      </c>
      <c r="N260" s="12" t="inlineStr">
        <is>
          <t>Defensive Security Audit Engine</t>
        </is>
      </c>
      <c r="O260" s="12" t="inlineStr">
        <is>
          <t>Screen-specific baseline case for Shopping Cart &amp; Item Summary Screen</t>
        </is>
      </c>
    </row>
    <row r="261" ht="36" customHeight="1">
      <c r="A261" s="11" t="inlineStr">
        <is>
          <t>TC-260</t>
        </is>
      </c>
      <c r="B261" s="12" t="inlineStr">
        <is>
          <t>CartScreen</t>
        </is>
      </c>
      <c r="C261" s="12" t="inlineStr">
        <is>
          <t>Safe Vulnerability &amp; Security Checks</t>
        </is>
      </c>
      <c r="D261" s="12" t="inlineStr">
        <is>
          <t>Sensitive Data Masking &amp; Log Leak Check on Shopping Cart &amp; Item Summary Screen</t>
        </is>
      </c>
      <c r="E261" s="12" t="inlineStr">
        <is>
          <t>1. Launch test runner in Security Audit Sandbox.
2. Navigate to Shopping Cart &amp; Item Summary Screen (CartScreen).
3. Audit application log files and network payloads for exposed CartScreen secrets.
4. Verify expected results and log evidence.</t>
        </is>
      </c>
      <c r="F261" s="12" t="inlineStr">
        <is>
          <t>Audit: Password/Token fields</t>
        </is>
      </c>
      <c r="G261" s="12" t="inlineStr">
        <is>
          <t>Sensitive credentials and PII are masked or omitted from logs.</t>
        </is>
      </c>
      <c r="H261" s="12" t="inlineStr">
        <is>
          <t>Pending Execution</t>
        </is>
      </c>
      <c r="I261" s="13" t="inlineStr">
        <is>
          <t>Not Executed</t>
        </is>
      </c>
      <c r="J261" s="11" t="inlineStr">
        <is>
          <t>Low</t>
        </is>
      </c>
      <c r="K261" s="11" t="inlineStr">
        <is>
          <t>Major</t>
        </is>
      </c>
      <c r="L261" s="11" t="inlineStr">
        <is>
          <t>Script Ready</t>
        </is>
      </c>
      <c r="M261" s="12" t="inlineStr">
        <is>
          <t>Security Audit Sandbox</t>
        </is>
      </c>
      <c r="N261" s="12" t="inlineStr">
        <is>
          <t>Defensive Security Audit Engine</t>
        </is>
      </c>
      <c r="O261" s="12" t="inlineStr">
        <is>
          <t>Screen-specific baseline case for Shopping Cart &amp; Item Summary Screen</t>
        </is>
      </c>
    </row>
    <row r="262" ht="36" customHeight="1">
      <c r="A262" s="11" t="inlineStr">
        <is>
          <t>TC-261</t>
        </is>
      </c>
      <c r="B262" s="12" t="inlineStr">
        <is>
          <t>CheckoutScreen</t>
        </is>
      </c>
      <c r="C262" s="12" t="inlineStr">
        <is>
          <t>Safe Vulnerability &amp; Security Checks</t>
        </is>
      </c>
      <c r="D262" s="12" t="inlineStr">
        <is>
          <t>Authentication Lockout &amp; Brute-Force on Checkout &amp; Payment Gateway Screen</t>
        </is>
      </c>
      <c r="E262" s="12" t="inlineStr">
        <is>
          <t>1. Launch test runner in Security Audit Sandbox.
2. Navigate to Checkout &amp; Payment Gateway Screen (CheckoutScreen).
3. Attempt 10 invalid authentication requests on CheckoutScreen in rapid succession.
4. Verify expected results and log evidence.</t>
        </is>
      </c>
      <c r="F262" s="12" t="inlineStr">
        <is>
          <t>Attempts: 10 invalid</t>
        </is>
      </c>
      <c r="G262" s="12" t="inlineStr">
        <is>
          <t>Account temporarily locks out after 5 failed attempts with 429 response.</t>
        </is>
      </c>
      <c r="H262" s="12" t="inlineStr">
        <is>
          <t>Pending Execution</t>
        </is>
      </c>
      <c r="I262" s="13" t="inlineStr">
        <is>
          <t>Not Executed</t>
        </is>
      </c>
      <c r="J262" s="11" t="inlineStr">
        <is>
          <t>High</t>
        </is>
      </c>
      <c r="K262" s="11" t="inlineStr">
        <is>
          <t>Moderate</t>
        </is>
      </c>
      <c r="L262" s="11" t="inlineStr">
        <is>
          <t>Script Ready</t>
        </is>
      </c>
      <c r="M262" s="12" t="inlineStr">
        <is>
          <t>Security Audit Sandbox</t>
        </is>
      </c>
      <c r="N262" s="12" t="inlineStr">
        <is>
          <t>Defensive Security Audit Engine</t>
        </is>
      </c>
      <c r="O262" s="12" t="inlineStr">
        <is>
          <t>Screen-specific baseline case for Checkout &amp; Payment Gateway Screen</t>
        </is>
      </c>
    </row>
    <row r="263" ht="36" customHeight="1">
      <c r="A263" s="11" t="inlineStr">
        <is>
          <t>TC-262</t>
        </is>
      </c>
      <c r="B263" s="12" t="inlineStr">
        <is>
          <t>CheckoutScreen</t>
        </is>
      </c>
      <c r="C263" s="12" t="inlineStr">
        <is>
          <t>Safe Vulnerability &amp; Security Checks</t>
        </is>
      </c>
      <c r="D263" s="12" t="inlineStr">
        <is>
          <t>Role-Based Authorization &amp; IDOR Check on Checkout &amp; Payment Gateway Screen</t>
        </is>
      </c>
      <c r="E263" s="12" t="inlineStr">
        <is>
          <t>1. Launch test runner in Security Audit Sandbox.
2. Navigate to Checkout &amp; Payment Gateway Screen (CheckoutScreen).
3. Attempt querying secondary user private records on CheckoutScreen using guest JWT.
4. Verify expected results and log evidence.</t>
        </is>
      </c>
      <c r="F263" s="12" t="inlineStr">
        <is>
          <t>IDOR Payload: CheckoutScreen_user_999</t>
        </is>
      </c>
      <c r="G263" s="12" t="inlineStr">
        <is>
          <t>Database and API reject request with HTTP 403 Forbidden.</t>
        </is>
      </c>
      <c r="H263" s="12" t="inlineStr">
        <is>
          <t>Pending Execution</t>
        </is>
      </c>
      <c r="I263" s="13" t="inlineStr">
        <is>
          <t>Not Executed</t>
        </is>
      </c>
      <c r="J263" s="11" t="inlineStr">
        <is>
          <t>Medium</t>
        </is>
      </c>
      <c r="K263" s="11" t="inlineStr">
        <is>
          <t>Major</t>
        </is>
      </c>
      <c r="L263" s="11" t="inlineStr">
        <is>
          <t>Script Ready</t>
        </is>
      </c>
      <c r="M263" s="12" t="inlineStr">
        <is>
          <t>Security Audit Sandbox</t>
        </is>
      </c>
      <c r="N263" s="12" t="inlineStr">
        <is>
          <t>Defensive Security Audit Engine</t>
        </is>
      </c>
      <c r="O263" s="12" t="inlineStr">
        <is>
          <t>Screen-specific baseline case for Checkout &amp; Payment Gateway Screen</t>
        </is>
      </c>
    </row>
    <row r="264" ht="36" customHeight="1">
      <c r="A264" s="11" t="inlineStr">
        <is>
          <t>TC-263</t>
        </is>
      </c>
      <c r="B264" s="12" t="inlineStr">
        <is>
          <t>CheckoutScreen</t>
        </is>
      </c>
      <c r="C264" s="12" t="inlineStr">
        <is>
          <t>Safe Vulnerability &amp; Security Checks</t>
        </is>
      </c>
      <c r="D264" s="12" t="inlineStr">
        <is>
          <t>Session Token Expiration &amp; Revocation on Checkout &amp; Payment Gateway Screen</t>
        </is>
      </c>
      <c r="E264" s="12" t="inlineStr">
        <is>
          <t>1. Launch test runner in Security Audit Sandbox.
2. Navigate to Checkout &amp; Payment Gateway Screen (CheckoutScreen).
3. Present expired JWT token to CheckoutScreen API endpoint, attempt data fetch.
4. Verify expected results and log evidence.</t>
        </is>
      </c>
      <c r="F264" s="12" t="inlineStr">
        <is>
          <t>JWT Token: Expired/Revoked</t>
        </is>
      </c>
      <c r="G264" s="12" t="inlineStr">
        <is>
          <t>API gateway invalidates session and redirects to login view.</t>
        </is>
      </c>
      <c r="H264" s="12" t="inlineStr">
        <is>
          <t>Pending Execution</t>
        </is>
      </c>
      <c r="I264" s="13" t="inlineStr">
        <is>
          <t>Not Executed</t>
        </is>
      </c>
      <c r="J264" s="11" t="inlineStr">
        <is>
          <t>Medium</t>
        </is>
      </c>
      <c r="K264" s="11" t="inlineStr">
        <is>
          <t>Moderate</t>
        </is>
      </c>
      <c r="L264" s="11" t="inlineStr">
        <is>
          <t>Script Ready</t>
        </is>
      </c>
      <c r="M264" s="12" t="inlineStr">
        <is>
          <t>Security Audit Sandbox</t>
        </is>
      </c>
      <c r="N264" s="12" t="inlineStr">
        <is>
          <t>Defensive Security Audit Engine</t>
        </is>
      </c>
      <c r="O264" s="12" t="inlineStr">
        <is>
          <t>Screen-specific baseline case for Checkout &amp; Payment Gateway Screen</t>
        </is>
      </c>
    </row>
    <row r="265" ht="36" customHeight="1">
      <c r="A265" s="11" t="inlineStr">
        <is>
          <t>TC-264</t>
        </is>
      </c>
      <c r="B265" s="12" t="inlineStr">
        <is>
          <t>CheckoutScreen</t>
        </is>
      </c>
      <c r="C265" s="12" t="inlineStr">
        <is>
          <t>Safe Vulnerability &amp; Security Checks</t>
        </is>
      </c>
      <c r="D265" s="12" t="inlineStr">
        <is>
          <t>Safe SQL Injection Input Defense on Checkout &amp; Payment Gateway Screen</t>
        </is>
      </c>
      <c r="E265" s="12" t="inlineStr">
        <is>
          <t>1. Launch test runner in Security Audit Sandbox.
2. Navigate to Checkout &amp; Payment Gateway Screen (CheckoutScreen).
3. Submit safe SQLi payload `' OR '1'='1` into text input fields on CheckoutScreen.
4. Verify expected results and log evidence.</t>
        </is>
      </c>
      <c r="F265" s="12" t="inlineStr">
        <is>
          <t>Payload: `' OR '1'='1`</t>
        </is>
      </c>
      <c r="G265" s="12" t="inlineStr">
        <is>
          <t>Input is parameterized/escaped cleanly; no SQL error occurs.</t>
        </is>
      </c>
      <c r="H265" s="12" t="inlineStr">
        <is>
          <t>Pending Execution</t>
        </is>
      </c>
      <c r="I265" s="13" t="inlineStr">
        <is>
          <t>Not Executed</t>
        </is>
      </c>
      <c r="J265" s="11" t="inlineStr">
        <is>
          <t>High</t>
        </is>
      </c>
      <c r="K265" s="11" t="inlineStr">
        <is>
          <t>Major</t>
        </is>
      </c>
      <c r="L265" s="11" t="inlineStr">
        <is>
          <t>Script Ready</t>
        </is>
      </c>
      <c r="M265" s="12" t="inlineStr">
        <is>
          <t>Security Audit Sandbox</t>
        </is>
      </c>
      <c r="N265" s="12" t="inlineStr">
        <is>
          <t>Defensive Security Audit Engine</t>
        </is>
      </c>
      <c r="O265" s="12" t="inlineStr">
        <is>
          <t>Screen-specific baseline case for Checkout &amp; Payment Gateway Screen</t>
        </is>
      </c>
    </row>
    <row r="266" ht="36" customHeight="1">
      <c r="A266" s="11" t="inlineStr">
        <is>
          <t>TC-265</t>
        </is>
      </c>
      <c r="B266" s="12" t="inlineStr">
        <is>
          <t>CheckoutScreen</t>
        </is>
      </c>
      <c r="C266" s="12" t="inlineStr">
        <is>
          <t>Safe Vulnerability &amp; Security Checks</t>
        </is>
      </c>
      <c r="D266" s="12" t="inlineStr">
        <is>
          <t>Safe XSS Script Escaping Validation on Checkout &amp; Payment Gateway Screen</t>
        </is>
      </c>
      <c r="E266" s="12" t="inlineStr">
        <is>
          <t>1. Launch test runner in Security Audit Sandbox.
2. Navigate to Checkout &amp; Payment Gateway Screen (CheckoutScreen).
3. Submit safe script payload `&lt;script&gt;alert(1)&lt;/script&gt;` into CheckoutScreen fields.
4. Verify expected results and log evidence.</t>
        </is>
      </c>
      <c r="F266" s="12" t="inlineStr">
        <is>
          <t>Payload: `&lt;script&gt;alert(1)&lt;/script&gt;`</t>
        </is>
      </c>
      <c r="G266" s="12" t="inlineStr">
        <is>
          <t>Payload renders as plain text string; script does not execute.</t>
        </is>
      </c>
      <c r="H266" s="12" t="inlineStr">
        <is>
          <t>Pending Execution</t>
        </is>
      </c>
      <c r="I266" s="13" t="inlineStr">
        <is>
          <t>Not Executed</t>
        </is>
      </c>
      <c r="J266" s="11" t="inlineStr">
        <is>
          <t>Low</t>
        </is>
      </c>
      <c r="K266" s="11" t="inlineStr">
        <is>
          <t>Moderate</t>
        </is>
      </c>
      <c r="L266" s="11" t="inlineStr">
        <is>
          <t>Script Ready</t>
        </is>
      </c>
      <c r="M266" s="12" t="inlineStr">
        <is>
          <t>Security Audit Sandbox</t>
        </is>
      </c>
      <c r="N266" s="12" t="inlineStr">
        <is>
          <t>Defensive Security Audit Engine</t>
        </is>
      </c>
      <c r="O266" s="12" t="inlineStr">
        <is>
          <t>Screen-specific baseline case for Checkout &amp; Payment Gateway Screen</t>
        </is>
      </c>
    </row>
    <row r="267" ht="36" customHeight="1">
      <c r="A267" s="11" t="inlineStr">
        <is>
          <t>TC-266</t>
        </is>
      </c>
      <c r="B267" s="12" t="inlineStr">
        <is>
          <t>CheckoutScreen</t>
        </is>
      </c>
      <c r="C267" s="12" t="inlineStr">
        <is>
          <t>Safe Vulnerability &amp; Security Checks</t>
        </is>
      </c>
      <c r="D267" s="12" t="inlineStr">
        <is>
          <t>TLS 1.3 Transport Encryption Enforcement on Checkout &amp; Payment Gateway Screen</t>
        </is>
      </c>
      <c r="E267" s="12" t="inlineStr">
        <is>
          <t>1. Launch test runner in Security Audit Sandbox.
2. Navigate to Checkout &amp; Payment Gateway Screen (CheckoutScreen).
3. Inspect outbound network traffic for CheckoutScreen using passive OWASP proxy.
4. Verify expected results and log evidence.</t>
        </is>
      </c>
      <c r="F267" s="12" t="inlineStr">
        <is>
          <t>Protocol: TLS 1.3 / HTTPS</t>
        </is>
      </c>
      <c r="G267" s="12" t="inlineStr">
        <is>
          <t>All HTTP connections upgrade to TLS 1.3; unencrypted HTTP blocked.</t>
        </is>
      </c>
      <c r="H267" s="12" t="inlineStr">
        <is>
          <t>Pending Execution</t>
        </is>
      </c>
      <c r="I267" s="13" t="inlineStr">
        <is>
          <t>Not Executed</t>
        </is>
      </c>
      <c r="J267" s="11" t="inlineStr">
        <is>
          <t>Medium</t>
        </is>
      </c>
      <c r="K267" s="11" t="inlineStr">
        <is>
          <t>Critical</t>
        </is>
      </c>
      <c r="L267" s="11" t="inlineStr">
        <is>
          <t>Script Ready</t>
        </is>
      </c>
      <c r="M267" s="12" t="inlineStr">
        <is>
          <t>Security Audit Sandbox</t>
        </is>
      </c>
      <c r="N267" s="12" t="inlineStr">
        <is>
          <t>Defensive Security Audit Engine</t>
        </is>
      </c>
      <c r="O267" s="12" t="inlineStr">
        <is>
          <t>Screen-specific baseline case for Checkout &amp; Payment Gateway Screen</t>
        </is>
      </c>
    </row>
    <row r="268" ht="36" customHeight="1">
      <c r="A268" s="11" t="inlineStr">
        <is>
          <t>TC-267</t>
        </is>
      </c>
      <c r="B268" s="12" t="inlineStr">
        <is>
          <t>CheckoutScreen</t>
        </is>
      </c>
      <c r="C268" s="12" t="inlineStr">
        <is>
          <t>Safe Vulnerability &amp; Security Checks</t>
        </is>
      </c>
      <c r="D268" s="12" t="inlineStr">
        <is>
          <t>API Rate Limiting 429 Response Check on Checkout &amp; Payment Gateway Screen</t>
        </is>
      </c>
      <c r="E268" s="12" t="inlineStr">
        <is>
          <t>1. Launch test runner in Security Audit Sandbox.
2. Navigate to Checkout &amp; Payment Gateway Screen (CheckoutScreen).
3. Send 100 rapid requests within 5 seconds to CheckoutScreen public endpoints.
4. Verify expected results and log evidence.</t>
        </is>
      </c>
      <c r="F268" s="12" t="inlineStr">
        <is>
          <t>Requests: 100 in 5s</t>
        </is>
      </c>
      <c r="G268" s="12" t="inlineStr">
        <is>
          <t>Rate limiter triggers HTTP 429 Too Many Requests response.</t>
        </is>
      </c>
      <c r="H268" s="12" t="inlineStr">
        <is>
          <t>Pending Execution</t>
        </is>
      </c>
      <c r="I268" s="13" t="inlineStr">
        <is>
          <t>Not Executed</t>
        </is>
      </c>
      <c r="J268" s="11" t="inlineStr">
        <is>
          <t>High</t>
        </is>
      </c>
      <c r="K268" s="11" t="inlineStr">
        <is>
          <t>Moderate</t>
        </is>
      </c>
      <c r="L268" s="11" t="inlineStr">
        <is>
          <t>Script Ready</t>
        </is>
      </c>
      <c r="M268" s="12" t="inlineStr">
        <is>
          <t>Security Audit Sandbox</t>
        </is>
      </c>
      <c r="N268" s="12" t="inlineStr">
        <is>
          <t>Defensive Security Audit Engine</t>
        </is>
      </c>
      <c r="O268" s="12" t="inlineStr">
        <is>
          <t>Screen-specific baseline case for Checkout &amp; Payment Gateway Screen</t>
        </is>
      </c>
    </row>
    <row r="269" ht="36" customHeight="1">
      <c r="A269" s="11" t="inlineStr">
        <is>
          <t>TC-268</t>
        </is>
      </c>
      <c r="B269" s="12" t="inlineStr">
        <is>
          <t>CheckoutScreen</t>
        </is>
      </c>
      <c r="C269" s="12" t="inlineStr">
        <is>
          <t>Safe Vulnerability &amp; Security Checks</t>
        </is>
      </c>
      <c r="D269" s="12" t="inlineStr">
        <is>
          <t>Supabase Row Level Security (RLS) Audit on Checkout &amp; Payment Gateway Screen</t>
        </is>
      </c>
      <c r="E269" s="12" t="inlineStr">
        <is>
          <t>1. Launch test runner in Security Audit Sandbox.
2. Navigate to Checkout &amp; Payment Gateway Screen (CheckoutScreen).
3. Query Supabase PostgreSQL table for CheckoutScreen without auth header.
4. Verify expected results and log evidence.</t>
        </is>
      </c>
      <c r="F269" s="12" t="inlineStr">
        <is>
          <t>RLS Check: CheckoutScreen_table</t>
        </is>
      </c>
      <c r="G269" s="12" t="inlineStr">
        <is>
          <t>Supabase RLS policy blocks unauthorized row query access.</t>
        </is>
      </c>
      <c r="H269" s="12" t="inlineStr">
        <is>
          <t>Pending Execution</t>
        </is>
      </c>
      <c r="I269" s="13" t="inlineStr">
        <is>
          <t>Not Executed</t>
        </is>
      </c>
      <c r="J269" s="11" t="inlineStr">
        <is>
          <t>Medium</t>
        </is>
      </c>
      <c r="K269" s="11" t="inlineStr">
        <is>
          <t>Major</t>
        </is>
      </c>
      <c r="L269" s="11" t="inlineStr">
        <is>
          <t>Script Ready</t>
        </is>
      </c>
      <c r="M269" s="12" t="inlineStr">
        <is>
          <t>Security Audit Sandbox</t>
        </is>
      </c>
      <c r="N269" s="12" t="inlineStr">
        <is>
          <t>Defensive Security Audit Engine</t>
        </is>
      </c>
      <c r="O269" s="12" t="inlineStr">
        <is>
          <t>Screen-specific baseline case for Checkout &amp; Payment Gateway Screen</t>
        </is>
      </c>
    </row>
    <row r="270" ht="36" customHeight="1">
      <c r="A270" s="11" t="inlineStr">
        <is>
          <t>TC-269</t>
        </is>
      </c>
      <c r="B270" s="12" t="inlineStr">
        <is>
          <t>CheckoutScreen</t>
        </is>
      </c>
      <c r="C270" s="12" t="inlineStr">
        <is>
          <t>Safe Vulnerability &amp; Security Checks</t>
        </is>
      </c>
      <c r="D270" s="12" t="inlineStr">
        <is>
          <t>Privileged Route Guard Verification on Checkout &amp; Payment Gateway Screen</t>
        </is>
      </c>
      <c r="E270" s="12" t="inlineStr">
        <is>
          <t>1. Launch test runner in Security Audit Sandbox.
2. Navigate to Checkout &amp; Payment Gateway Screen (CheckoutScreen).
3. Attempt deep linking directly to restricted CheckoutScreen view as unauthenticated user.
4. Verify expected results and log evidence.</t>
        </is>
      </c>
      <c r="F270" s="12" t="inlineStr">
        <is>
          <t>Route: /CheckoutScreen_admin</t>
        </is>
      </c>
      <c r="G270" s="12" t="inlineStr">
        <is>
          <t>Router guard intercepts request and redirects to login screen.</t>
        </is>
      </c>
      <c r="H270" s="12" t="inlineStr">
        <is>
          <t>Pending Execution</t>
        </is>
      </c>
      <c r="I270" s="13" t="inlineStr">
        <is>
          <t>Not Executed</t>
        </is>
      </c>
      <c r="J270" s="11" t="inlineStr">
        <is>
          <t>Medium</t>
        </is>
      </c>
      <c r="K270" s="11" t="inlineStr">
        <is>
          <t>Moderate</t>
        </is>
      </c>
      <c r="L270" s="11" t="inlineStr">
        <is>
          <t>Script Ready</t>
        </is>
      </c>
      <c r="M270" s="12" t="inlineStr">
        <is>
          <t>Security Audit Sandbox</t>
        </is>
      </c>
      <c r="N270" s="12" t="inlineStr">
        <is>
          <t>Defensive Security Audit Engine</t>
        </is>
      </c>
      <c r="O270" s="12" t="inlineStr">
        <is>
          <t>Screen-specific baseline case for Checkout &amp; Payment Gateway Screen</t>
        </is>
      </c>
    </row>
    <row r="271" ht="36" customHeight="1">
      <c r="A271" s="11" t="inlineStr">
        <is>
          <t>TC-270</t>
        </is>
      </c>
      <c r="B271" s="12" t="inlineStr">
        <is>
          <t>CheckoutScreen</t>
        </is>
      </c>
      <c r="C271" s="12" t="inlineStr">
        <is>
          <t>Safe Vulnerability &amp; Security Checks</t>
        </is>
      </c>
      <c r="D271" s="12" t="inlineStr">
        <is>
          <t>Sensitive Data Masking &amp; Log Leak Check on Checkout &amp; Payment Gateway Screen</t>
        </is>
      </c>
      <c r="E271" s="12" t="inlineStr">
        <is>
          <t>1. Launch test runner in Security Audit Sandbox.
2. Navigate to Checkout &amp; Payment Gateway Screen (CheckoutScreen).
3. Audit application log files and network payloads for exposed CheckoutScreen secrets.
4. Verify expected results and log evidence.</t>
        </is>
      </c>
      <c r="F271" s="12" t="inlineStr">
        <is>
          <t>Audit: Password/Token fields</t>
        </is>
      </c>
      <c r="G271" s="12" t="inlineStr">
        <is>
          <t>Sensitive credentials and PII are masked or omitted from logs.</t>
        </is>
      </c>
      <c r="H271" s="12" t="inlineStr">
        <is>
          <t>Pending Execution</t>
        </is>
      </c>
      <c r="I271" s="13" t="inlineStr">
        <is>
          <t>Not Executed</t>
        </is>
      </c>
      <c r="J271" s="11" t="inlineStr">
        <is>
          <t>High</t>
        </is>
      </c>
      <c r="K271" s="11" t="inlineStr">
        <is>
          <t>Major</t>
        </is>
      </c>
      <c r="L271" s="11" t="inlineStr">
        <is>
          <t>Script Ready</t>
        </is>
      </c>
      <c r="M271" s="12" t="inlineStr">
        <is>
          <t>Security Audit Sandbox</t>
        </is>
      </c>
      <c r="N271" s="12" t="inlineStr">
        <is>
          <t>Defensive Security Audit Engine</t>
        </is>
      </c>
      <c r="O271" s="12" t="inlineStr">
        <is>
          <t>Screen-specific baseline case for Checkout &amp; Payment Gateway Screen</t>
        </is>
      </c>
    </row>
    <row r="272" ht="36" customHeight="1">
      <c r="A272" s="11" t="inlineStr">
        <is>
          <t>TC-271</t>
        </is>
      </c>
      <c r="B272" s="12" t="inlineStr">
        <is>
          <t>AddressManagementSection</t>
        </is>
      </c>
      <c r="C272" s="12" t="inlineStr">
        <is>
          <t>Safe Vulnerability &amp; Security Checks</t>
        </is>
      </c>
      <c r="D272" s="12" t="inlineStr">
        <is>
          <t>Authentication Lockout &amp; Brute-Force on Shipping Address &amp; Delivery Form</t>
        </is>
      </c>
      <c r="E272" s="12" t="inlineStr">
        <is>
          <t>1. Launch test runner in Security Audit Sandbox.
2. Navigate to Shipping Address &amp; Delivery Form (AddressManagementSection).
3. Attempt 10 invalid authentication requests on AddressManagementSection in rapid succession.
4. Verify expected results and log evidence.</t>
        </is>
      </c>
      <c r="F272" s="12" t="inlineStr">
        <is>
          <t>Attempts: 10 invalid</t>
        </is>
      </c>
      <c r="G272" s="12" t="inlineStr">
        <is>
          <t>Account temporarily locks out after 5 failed attempts with 429 response.</t>
        </is>
      </c>
      <c r="H272" s="12" t="inlineStr">
        <is>
          <t>Pending Execution</t>
        </is>
      </c>
      <c r="I272" s="13" t="inlineStr">
        <is>
          <t>Not Executed</t>
        </is>
      </c>
      <c r="J272" s="11" t="inlineStr">
        <is>
          <t>Medium</t>
        </is>
      </c>
      <c r="K272" s="11" t="inlineStr">
        <is>
          <t>Moderate</t>
        </is>
      </c>
      <c r="L272" s="11" t="inlineStr">
        <is>
          <t>Script Ready</t>
        </is>
      </c>
      <c r="M272" s="12" t="inlineStr">
        <is>
          <t>Security Audit Sandbox</t>
        </is>
      </c>
      <c r="N272" s="12" t="inlineStr">
        <is>
          <t>Defensive Security Audit Engine</t>
        </is>
      </c>
      <c r="O272" s="12" t="inlineStr">
        <is>
          <t>Screen-specific baseline case for Shipping Address &amp; Delivery Form</t>
        </is>
      </c>
    </row>
    <row r="273" ht="36" customHeight="1">
      <c r="A273" s="11" t="inlineStr">
        <is>
          <t>TC-272</t>
        </is>
      </c>
      <c r="B273" s="12" t="inlineStr">
        <is>
          <t>AddressManagementSection</t>
        </is>
      </c>
      <c r="C273" s="12" t="inlineStr">
        <is>
          <t>Safe Vulnerability &amp; Security Checks</t>
        </is>
      </c>
      <c r="D273" s="12" t="inlineStr">
        <is>
          <t>Role-Based Authorization &amp; IDOR Check on Shipping Address &amp; Delivery Form</t>
        </is>
      </c>
      <c r="E273" s="12" t="inlineStr">
        <is>
          <t>1. Launch test runner in Security Audit Sandbox.
2. Navigate to Shipping Address &amp; Delivery Form (AddressManagementSection).
3. Attempt querying secondary user private records on AddressManagementSection using guest JWT.
4. Verify expected results and log evidence.</t>
        </is>
      </c>
      <c r="F273" s="12" t="inlineStr">
        <is>
          <t>IDOR Payload: AddressManagementSection_user_999</t>
        </is>
      </c>
      <c r="G273" s="12" t="inlineStr">
        <is>
          <t>Database and API reject request with HTTP 403 Forbidden.</t>
        </is>
      </c>
      <c r="H273" s="12" t="inlineStr">
        <is>
          <t>Pending Execution</t>
        </is>
      </c>
      <c r="I273" s="13" t="inlineStr">
        <is>
          <t>Not Executed</t>
        </is>
      </c>
      <c r="J273" s="11" t="inlineStr">
        <is>
          <t>Medium</t>
        </is>
      </c>
      <c r="K273" s="11" t="inlineStr">
        <is>
          <t>Major</t>
        </is>
      </c>
      <c r="L273" s="11" t="inlineStr">
        <is>
          <t>Script Ready</t>
        </is>
      </c>
      <c r="M273" s="12" t="inlineStr">
        <is>
          <t>Security Audit Sandbox</t>
        </is>
      </c>
      <c r="N273" s="12" t="inlineStr">
        <is>
          <t>Defensive Security Audit Engine</t>
        </is>
      </c>
      <c r="O273" s="12" t="inlineStr">
        <is>
          <t>Screen-specific baseline case for Shipping Address &amp; Delivery Form</t>
        </is>
      </c>
    </row>
    <row r="274" ht="36" customHeight="1">
      <c r="A274" s="11" t="inlineStr">
        <is>
          <t>TC-273</t>
        </is>
      </c>
      <c r="B274" s="12" t="inlineStr">
        <is>
          <t>AddressManagementSection</t>
        </is>
      </c>
      <c r="C274" s="12" t="inlineStr">
        <is>
          <t>Safe Vulnerability &amp; Security Checks</t>
        </is>
      </c>
      <c r="D274" s="12" t="inlineStr">
        <is>
          <t>Session Token Expiration &amp; Revocation on Shipping Address &amp; Delivery Form</t>
        </is>
      </c>
      <c r="E274" s="12" t="inlineStr">
        <is>
          <t>1. Launch test runner in Security Audit Sandbox.
2. Navigate to Shipping Address &amp; Delivery Form (AddressManagementSection).
3. Present expired JWT token to AddressManagementSection API endpoint, attempt data fetch.
4. Verify expected results and log evidence.</t>
        </is>
      </c>
      <c r="F274" s="12" t="inlineStr">
        <is>
          <t>JWT Token: Expired/Revoked</t>
        </is>
      </c>
      <c r="G274" s="12" t="inlineStr">
        <is>
          <t>API gateway invalidates session and redirects to login view.</t>
        </is>
      </c>
      <c r="H274" s="12" t="inlineStr">
        <is>
          <t>Pending Execution</t>
        </is>
      </c>
      <c r="I274" s="13" t="inlineStr">
        <is>
          <t>Not Executed</t>
        </is>
      </c>
      <c r="J274" s="11" t="inlineStr">
        <is>
          <t>High</t>
        </is>
      </c>
      <c r="K274" s="11" t="inlineStr">
        <is>
          <t>Critical</t>
        </is>
      </c>
      <c r="L274" s="11" t="inlineStr">
        <is>
          <t>Script Ready</t>
        </is>
      </c>
      <c r="M274" s="12" t="inlineStr">
        <is>
          <t>Security Audit Sandbox</t>
        </is>
      </c>
      <c r="N274" s="12" t="inlineStr">
        <is>
          <t>Defensive Security Audit Engine</t>
        </is>
      </c>
      <c r="O274" s="12" t="inlineStr">
        <is>
          <t>Screen-specific baseline case for Shipping Address &amp; Delivery Form</t>
        </is>
      </c>
    </row>
    <row r="275" ht="36" customHeight="1">
      <c r="A275" s="11" t="inlineStr">
        <is>
          <t>TC-274</t>
        </is>
      </c>
      <c r="B275" s="12" t="inlineStr">
        <is>
          <t>AddressManagementSection</t>
        </is>
      </c>
      <c r="C275" s="12" t="inlineStr">
        <is>
          <t>Safe Vulnerability &amp; Security Checks</t>
        </is>
      </c>
      <c r="D275" s="12" t="inlineStr">
        <is>
          <t>Safe SQL Injection Input Defense on Shipping Address &amp; Delivery Form</t>
        </is>
      </c>
      <c r="E275" s="12" t="inlineStr">
        <is>
          <t>1. Launch test runner in Security Audit Sandbox.
2. Navigate to Shipping Address &amp; Delivery Form (AddressManagementSection).
3. Submit safe SQLi payload `' OR '1'='1` into text input fields on AddressManagementSection.
4. Verify expected results and log evidence.</t>
        </is>
      </c>
      <c r="F275" s="12" t="inlineStr">
        <is>
          <t>Payload: `' OR '1'='1`</t>
        </is>
      </c>
      <c r="G275" s="12" t="inlineStr">
        <is>
          <t>Input is parameterized/escaped cleanly; no SQL error occurs.</t>
        </is>
      </c>
      <c r="H275" s="12" t="inlineStr">
        <is>
          <t>Pending Execution</t>
        </is>
      </c>
      <c r="I275" s="13" t="inlineStr">
        <is>
          <t>Not Executed</t>
        </is>
      </c>
      <c r="J275" s="11" t="inlineStr">
        <is>
          <t>Medium</t>
        </is>
      </c>
      <c r="K275" s="11" t="inlineStr">
        <is>
          <t>Major</t>
        </is>
      </c>
      <c r="L275" s="11" t="inlineStr">
        <is>
          <t>Script Ready</t>
        </is>
      </c>
      <c r="M275" s="12" t="inlineStr">
        <is>
          <t>Security Audit Sandbox</t>
        </is>
      </c>
      <c r="N275" s="12" t="inlineStr">
        <is>
          <t>Defensive Security Audit Engine</t>
        </is>
      </c>
      <c r="O275" s="12" t="inlineStr">
        <is>
          <t>Screen-specific baseline case for Shipping Address &amp; Delivery Form</t>
        </is>
      </c>
    </row>
    <row r="276" ht="36" customHeight="1">
      <c r="A276" s="11" t="inlineStr">
        <is>
          <t>TC-275</t>
        </is>
      </c>
      <c r="B276" s="12" t="inlineStr">
        <is>
          <t>AddressManagementSection</t>
        </is>
      </c>
      <c r="C276" s="12" t="inlineStr">
        <is>
          <t>Safe Vulnerability &amp; Security Checks</t>
        </is>
      </c>
      <c r="D276" s="12" t="inlineStr">
        <is>
          <t>Safe XSS Script Escaping Validation on Shipping Address &amp; Delivery Form</t>
        </is>
      </c>
      <c r="E276" s="12" t="inlineStr">
        <is>
          <t>1. Launch test runner in Security Audit Sandbox.
2. Navigate to Shipping Address &amp; Delivery Form (AddressManagementSection).
3. Submit safe script payload `&lt;script&gt;alert(1)&lt;/script&gt;` into AddressManagementSection fields.
4. Verify expected results and log evidence.</t>
        </is>
      </c>
      <c r="F276" s="12" t="inlineStr">
        <is>
          <t>Payload: `&lt;script&gt;alert(1)&lt;/script&gt;`</t>
        </is>
      </c>
      <c r="G276" s="12" t="inlineStr">
        <is>
          <t>Payload renders as plain text string; script does not execute.</t>
        </is>
      </c>
      <c r="H276" s="12" t="inlineStr">
        <is>
          <t>Pending Execution</t>
        </is>
      </c>
      <c r="I276" s="13" t="inlineStr">
        <is>
          <t>Not Executed</t>
        </is>
      </c>
      <c r="J276" s="11" t="inlineStr">
        <is>
          <t>Low</t>
        </is>
      </c>
      <c r="K276" s="11" t="inlineStr">
        <is>
          <t>Moderate</t>
        </is>
      </c>
      <c r="L276" s="11" t="inlineStr">
        <is>
          <t>Script Ready</t>
        </is>
      </c>
      <c r="M276" s="12" t="inlineStr">
        <is>
          <t>Security Audit Sandbox</t>
        </is>
      </c>
      <c r="N276" s="12" t="inlineStr">
        <is>
          <t>Defensive Security Audit Engine</t>
        </is>
      </c>
      <c r="O276" s="12" t="inlineStr">
        <is>
          <t>Screen-specific baseline case for Shipping Address &amp; Delivery Form</t>
        </is>
      </c>
    </row>
    <row r="277" ht="36" customHeight="1">
      <c r="A277" s="11" t="inlineStr">
        <is>
          <t>TC-276</t>
        </is>
      </c>
      <c r="B277" s="12" t="inlineStr">
        <is>
          <t>AddressManagementSection</t>
        </is>
      </c>
      <c r="C277" s="12" t="inlineStr">
        <is>
          <t>Safe Vulnerability &amp; Security Checks</t>
        </is>
      </c>
      <c r="D277" s="12" t="inlineStr">
        <is>
          <t>TLS 1.3 Transport Encryption Enforcement on Shipping Address &amp; Delivery Form</t>
        </is>
      </c>
      <c r="E277" s="12" t="inlineStr">
        <is>
          <t>1. Launch test runner in Security Audit Sandbox.
2. Navigate to Shipping Address &amp; Delivery Form (AddressManagementSection).
3. Inspect outbound network traffic for AddressManagementSection using passive OWASP proxy.
4. Verify expected results and log evidence.</t>
        </is>
      </c>
      <c r="F277" s="12" t="inlineStr">
        <is>
          <t>Protocol: TLS 1.3 / HTTPS</t>
        </is>
      </c>
      <c r="G277" s="12" t="inlineStr">
        <is>
          <t>All HTTP connections upgrade to TLS 1.3; unencrypted HTTP blocked.</t>
        </is>
      </c>
      <c r="H277" s="12" t="inlineStr">
        <is>
          <t>Pending Execution</t>
        </is>
      </c>
      <c r="I277" s="13" t="inlineStr">
        <is>
          <t>Not Executed</t>
        </is>
      </c>
      <c r="J277" s="11" t="inlineStr">
        <is>
          <t>High</t>
        </is>
      </c>
      <c r="K277" s="11" t="inlineStr">
        <is>
          <t>Major</t>
        </is>
      </c>
      <c r="L277" s="11" t="inlineStr">
        <is>
          <t>Script Ready</t>
        </is>
      </c>
      <c r="M277" s="12" t="inlineStr">
        <is>
          <t>Security Audit Sandbox</t>
        </is>
      </c>
      <c r="N277" s="12" t="inlineStr">
        <is>
          <t>Defensive Security Audit Engine</t>
        </is>
      </c>
      <c r="O277" s="12" t="inlineStr">
        <is>
          <t>Screen-specific baseline case for Shipping Address &amp; Delivery Form</t>
        </is>
      </c>
    </row>
    <row r="278" ht="36" customHeight="1">
      <c r="A278" s="11" t="inlineStr">
        <is>
          <t>TC-277</t>
        </is>
      </c>
      <c r="B278" s="12" t="inlineStr">
        <is>
          <t>AddressManagementSection</t>
        </is>
      </c>
      <c r="C278" s="12" t="inlineStr">
        <is>
          <t>Safe Vulnerability &amp; Security Checks</t>
        </is>
      </c>
      <c r="D278" s="12" t="inlineStr">
        <is>
          <t>API Rate Limiting 429 Response Check on Shipping Address &amp; Delivery Form</t>
        </is>
      </c>
      <c r="E278" s="12" t="inlineStr">
        <is>
          <t>1. Launch test runner in Security Audit Sandbox.
2. Navigate to Shipping Address &amp; Delivery Form (AddressManagementSection).
3. Send 100 rapid requests within 5 seconds to AddressManagementSection public endpoints.
4. Verify expected results and log evidence.</t>
        </is>
      </c>
      <c r="F278" s="12" t="inlineStr">
        <is>
          <t>Requests: 100 in 5s</t>
        </is>
      </c>
      <c r="G278" s="12" t="inlineStr">
        <is>
          <t>Rate limiter triggers HTTP 429 Too Many Requests response.</t>
        </is>
      </c>
      <c r="H278" s="12" t="inlineStr">
        <is>
          <t>Pending Execution</t>
        </is>
      </c>
      <c r="I278" s="13" t="inlineStr">
        <is>
          <t>Not Executed</t>
        </is>
      </c>
      <c r="J278" s="11" t="inlineStr">
        <is>
          <t>Medium</t>
        </is>
      </c>
      <c r="K278" s="11" t="inlineStr">
        <is>
          <t>Moderate</t>
        </is>
      </c>
      <c r="L278" s="11" t="inlineStr">
        <is>
          <t>Script Ready</t>
        </is>
      </c>
      <c r="M278" s="12" t="inlineStr">
        <is>
          <t>Security Audit Sandbox</t>
        </is>
      </c>
      <c r="N278" s="12" t="inlineStr">
        <is>
          <t>Defensive Security Audit Engine</t>
        </is>
      </c>
      <c r="O278" s="12" t="inlineStr">
        <is>
          <t>Screen-specific baseline case for Shipping Address &amp; Delivery Form</t>
        </is>
      </c>
    </row>
    <row r="279" ht="36" customHeight="1">
      <c r="A279" s="11" t="inlineStr">
        <is>
          <t>TC-278</t>
        </is>
      </c>
      <c r="B279" s="12" t="inlineStr">
        <is>
          <t>AddressManagementSection</t>
        </is>
      </c>
      <c r="C279" s="12" t="inlineStr">
        <is>
          <t>Safe Vulnerability &amp; Security Checks</t>
        </is>
      </c>
      <c r="D279" s="12" t="inlineStr">
        <is>
          <t>Supabase Row Level Security (RLS) Audit on Shipping Address &amp; Delivery Form</t>
        </is>
      </c>
      <c r="E279" s="12" t="inlineStr">
        <is>
          <t>1. Launch test runner in Security Audit Sandbox.
2. Navigate to Shipping Address &amp; Delivery Form (AddressManagementSection).
3. Query Supabase PostgreSQL table for AddressManagementSection without auth header.
4. Verify expected results and log evidence.</t>
        </is>
      </c>
      <c r="F279" s="12" t="inlineStr">
        <is>
          <t>RLS Check: AddressManagementSection_table</t>
        </is>
      </c>
      <c r="G279" s="12" t="inlineStr">
        <is>
          <t>Supabase RLS policy blocks unauthorized row query access.</t>
        </is>
      </c>
      <c r="H279" s="12" t="inlineStr">
        <is>
          <t>Pending Execution</t>
        </is>
      </c>
      <c r="I279" s="13" t="inlineStr">
        <is>
          <t>Not Executed</t>
        </is>
      </c>
      <c r="J279" s="11" t="inlineStr">
        <is>
          <t>Medium</t>
        </is>
      </c>
      <c r="K279" s="11" t="inlineStr">
        <is>
          <t>Major</t>
        </is>
      </c>
      <c r="L279" s="11" t="inlineStr">
        <is>
          <t>Script Ready</t>
        </is>
      </c>
      <c r="M279" s="12" t="inlineStr">
        <is>
          <t>Security Audit Sandbox</t>
        </is>
      </c>
      <c r="N279" s="12" t="inlineStr">
        <is>
          <t>Defensive Security Audit Engine</t>
        </is>
      </c>
      <c r="O279" s="12" t="inlineStr">
        <is>
          <t>Screen-specific baseline case for Shipping Address &amp; Delivery Form</t>
        </is>
      </c>
    </row>
    <row r="280" ht="36" customHeight="1">
      <c r="A280" s="11" t="inlineStr">
        <is>
          <t>TC-279</t>
        </is>
      </c>
      <c r="B280" s="12" t="inlineStr">
        <is>
          <t>AddressManagementSection</t>
        </is>
      </c>
      <c r="C280" s="12" t="inlineStr">
        <is>
          <t>Safe Vulnerability &amp; Security Checks</t>
        </is>
      </c>
      <c r="D280" s="12" t="inlineStr">
        <is>
          <t>Privileged Route Guard Verification on Shipping Address &amp; Delivery Form</t>
        </is>
      </c>
      <c r="E280" s="12" t="inlineStr">
        <is>
          <t>1. Launch test runner in Security Audit Sandbox.
2. Navigate to Shipping Address &amp; Delivery Form (AddressManagementSection).
3. Attempt deep linking directly to restricted AddressManagementSection view as unauthenticated user.
4. Verify expected results and log evidence.</t>
        </is>
      </c>
      <c r="F280" s="12" t="inlineStr">
        <is>
          <t>Route: /AddressManagementSection_admin</t>
        </is>
      </c>
      <c r="G280" s="12" t="inlineStr">
        <is>
          <t>Router guard intercepts request and redirects to login screen.</t>
        </is>
      </c>
      <c r="H280" s="12" t="inlineStr">
        <is>
          <t>Pending Execution</t>
        </is>
      </c>
      <c r="I280" s="13" t="inlineStr">
        <is>
          <t>Not Executed</t>
        </is>
      </c>
      <c r="J280" s="11" t="inlineStr">
        <is>
          <t>High</t>
        </is>
      </c>
      <c r="K280" s="11" t="inlineStr">
        <is>
          <t>Moderate</t>
        </is>
      </c>
      <c r="L280" s="11" t="inlineStr">
        <is>
          <t>Script Ready</t>
        </is>
      </c>
      <c r="M280" s="12" t="inlineStr">
        <is>
          <t>Security Audit Sandbox</t>
        </is>
      </c>
      <c r="N280" s="12" t="inlineStr">
        <is>
          <t>Defensive Security Audit Engine</t>
        </is>
      </c>
      <c r="O280" s="12" t="inlineStr">
        <is>
          <t>Screen-specific baseline case for Shipping Address &amp; Delivery Form</t>
        </is>
      </c>
    </row>
    <row r="281" ht="36" customHeight="1">
      <c r="A281" s="11" t="inlineStr">
        <is>
          <t>TC-280</t>
        </is>
      </c>
      <c r="B281" s="12" t="inlineStr">
        <is>
          <t>AddressManagementSection</t>
        </is>
      </c>
      <c r="C281" s="12" t="inlineStr">
        <is>
          <t>Safe Vulnerability &amp; Security Checks</t>
        </is>
      </c>
      <c r="D281" s="12" t="inlineStr">
        <is>
          <t>Sensitive Data Masking &amp; Log Leak Check on Shipping Address &amp; Delivery Form</t>
        </is>
      </c>
      <c r="E281" s="12" t="inlineStr">
        <is>
          <t>1. Launch test runner in Security Audit Sandbox.
2. Navigate to Shipping Address &amp; Delivery Form (AddressManagementSection).
3. Audit application log files and network payloads for exposed AddressManagementSection secrets.
4. Verify expected results and log evidence.</t>
        </is>
      </c>
      <c r="F281" s="12" t="inlineStr">
        <is>
          <t>Audit: Password/Token fields</t>
        </is>
      </c>
      <c r="G281" s="12" t="inlineStr">
        <is>
          <t>Sensitive credentials and PII are masked or omitted from logs.</t>
        </is>
      </c>
      <c r="H281" s="12" t="inlineStr">
        <is>
          <t>Pending Execution</t>
        </is>
      </c>
      <c r="I281" s="13" t="inlineStr">
        <is>
          <t>Not Executed</t>
        </is>
      </c>
      <c r="J281" s="11" t="inlineStr">
        <is>
          <t>Low</t>
        </is>
      </c>
      <c r="K281" s="11" t="inlineStr">
        <is>
          <t>Critical</t>
        </is>
      </c>
      <c r="L281" s="11" t="inlineStr">
        <is>
          <t>Script Ready</t>
        </is>
      </c>
      <c r="M281" s="12" t="inlineStr">
        <is>
          <t>Security Audit Sandbox</t>
        </is>
      </c>
      <c r="N281" s="12" t="inlineStr">
        <is>
          <t>Defensive Security Audit Engine</t>
        </is>
      </c>
      <c r="O281" s="12" t="inlineStr">
        <is>
          <t>Screen-specific baseline case for Shipping Address &amp; Delivery Form</t>
        </is>
      </c>
    </row>
    <row r="282" ht="36" customHeight="1">
      <c r="A282" s="11" t="inlineStr">
        <is>
          <t>TC-281</t>
        </is>
      </c>
      <c r="B282" s="12" t="inlineStr">
        <is>
          <t>OrderConfirmationScreen</t>
        </is>
      </c>
      <c r="C282" s="12" t="inlineStr">
        <is>
          <t>Safe Vulnerability &amp; Security Checks</t>
        </is>
      </c>
      <c r="D282" s="12" t="inlineStr">
        <is>
          <t>Authentication Lockout &amp; Brute-Force on Order Confirmation &amp; Receipt Screen</t>
        </is>
      </c>
      <c r="E282" s="12" t="inlineStr">
        <is>
          <t>1. Launch test runner in Security Audit Sandbox.
2. Navigate to Order Confirmation &amp; Receipt Screen (OrderConfirmationScreen).
3. Attempt 10 invalid authentication requests on OrderConfirmationScreen in rapid succession.
4. Verify expected results and log evidence.</t>
        </is>
      </c>
      <c r="F282" s="12" t="inlineStr">
        <is>
          <t>Attempts: 10 invalid</t>
        </is>
      </c>
      <c r="G282" s="12" t="inlineStr">
        <is>
          <t>Account temporarily locks out after 5 failed attempts with 429 response.</t>
        </is>
      </c>
      <c r="H282" s="12" t="inlineStr">
        <is>
          <t>Pending Execution</t>
        </is>
      </c>
      <c r="I282" s="13" t="inlineStr">
        <is>
          <t>Not Executed</t>
        </is>
      </c>
      <c r="J282" s="11" t="inlineStr">
        <is>
          <t>Medium</t>
        </is>
      </c>
      <c r="K282" s="11" t="inlineStr">
        <is>
          <t>Moderate</t>
        </is>
      </c>
      <c r="L282" s="11" t="inlineStr">
        <is>
          <t>Script Ready</t>
        </is>
      </c>
      <c r="M282" s="12" t="inlineStr">
        <is>
          <t>Security Audit Sandbox</t>
        </is>
      </c>
      <c r="N282" s="12" t="inlineStr">
        <is>
          <t>Defensive Security Audit Engine</t>
        </is>
      </c>
      <c r="O282" s="12" t="inlineStr">
        <is>
          <t>Screen-specific baseline case for Order Confirmation &amp; Receipt Screen</t>
        </is>
      </c>
    </row>
    <row r="283" ht="36" customHeight="1">
      <c r="A283" s="11" t="inlineStr">
        <is>
          <t>TC-282</t>
        </is>
      </c>
      <c r="B283" s="12" t="inlineStr">
        <is>
          <t>OrderConfirmationScreen</t>
        </is>
      </c>
      <c r="C283" s="12" t="inlineStr">
        <is>
          <t>Safe Vulnerability &amp; Security Checks</t>
        </is>
      </c>
      <c r="D283" s="12" t="inlineStr">
        <is>
          <t>Role-Based Authorization &amp; IDOR Check on Order Confirmation &amp; Receipt Screen</t>
        </is>
      </c>
      <c r="E283" s="12" t="inlineStr">
        <is>
          <t>1. Launch test runner in Security Audit Sandbox.
2. Navigate to Order Confirmation &amp; Receipt Screen (OrderConfirmationScreen).
3. Attempt querying secondary user private records on OrderConfirmationScreen using guest JWT.
4. Verify expected results and log evidence.</t>
        </is>
      </c>
      <c r="F283" s="12" t="inlineStr">
        <is>
          <t>IDOR Payload: OrderConfirmationScreen_user_999</t>
        </is>
      </c>
      <c r="G283" s="12" t="inlineStr">
        <is>
          <t>Database and API reject request with HTTP 403 Forbidden.</t>
        </is>
      </c>
      <c r="H283" s="12" t="inlineStr">
        <is>
          <t>Pending Execution</t>
        </is>
      </c>
      <c r="I283" s="13" t="inlineStr">
        <is>
          <t>Not Executed</t>
        </is>
      </c>
      <c r="J283" s="11" t="inlineStr">
        <is>
          <t>High</t>
        </is>
      </c>
      <c r="K283" s="11" t="inlineStr">
        <is>
          <t>Major</t>
        </is>
      </c>
      <c r="L283" s="11" t="inlineStr">
        <is>
          <t>Script Ready</t>
        </is>
      </c>
      <c r="M283" s="12" t="inlineStr">
        <is>
          <t>Security Audit Sandbox</t>
        </is>
      </c>
      <c r="N283" s="12" t="inlineStr">
        <is>
          <t>Defensive Security Audit Engine</t>
        </is>
      </c>
      <c r="O283" s="12" t="inlineStr">
        <is>
          <t>Screen-specific baseline case for Order Confirmation &amp; Receipt Screen</t>
        </is>
      </c>
    </row>
    <row r="284" ht="36" customHeight="1">
      <c r="A284" s="11" t="inlineStr">
        <is>
          <t>TC-283</t>
        </is>
      </c>
      <c r="B284" s="12" t="inlineStr">
        <is>
          <t>OrderConfirmationScreen</t>
        </is>
      </c>
      <c r="C284" s="12" t="inlineStr">
        <is>
          <t>Safe Vulnerability &amp; Security Checks</t>
        </is>
      </c>
      <c r="D284" s="12" t="inlineStr">
        <is>
          <t>Session Token Expiration &amp; Revocation on Order Confirmation &amp; Receipt Screen</t>
        </is>
      </c>
      <c r="E284" s="12" t="inlineStr">
        <is>
          <t>1. Launch test runner in Security Audit Sandbox.
2. Navigate to Order Confirmation &amp; Receipt Screen (OrderConfirmationScreen).
3. Present expired JWT token to OrderConfirmationScreen API endpoint, attempt data fetch.
4. Verify expected results and log evidence.</t>
        </is>
      </c>
      <c r="F284" s="12" t="inlineStr">
        <is>
          <t>JWT Token: Expired/Revoked</t>
        </is>
      </c>
      <c r="G284" s="12" t="inlineStr">
        <is>
          <t>API gateway invalidates session and redirects to login view.</t>
        </is>
      </c>
      <c r="H284" s="12" t="inlineStr">
        <is>
          <t>Pending Execution</t>
        </is>
      </c>
      <c r="I284" s="13" t="inlineStr">
        <is>
          <t>Not Executed</t>
        </is>
      </c>
      <c r="J284" s="11" t="inlineStr">
        <is>
          <t>Medium</t>
        </is>
      </c>
      <c r="K284" s="11" t="inlineStr">
        <is>
          <t>Moderate</t>
        </is>
      </c>
      <c r="L284" s="11" t="inlineStr">
        <is>
          <t>Script Ready</t>
        </is>
      </c>
      <c r="M284" s="12" t="inlineStr">
        <is>
          <t>Security Audit Sandbox</t>
        </is>
      </c>
      <c r="N284" s="12" t="inlineStr">
        <is>
          <t>Defensive Security Audit Engine</t>
        </is>
      </c>
      <c r="O284" s="12" t="inlineStr">
        <is>
          <t>Screen-specific baseline case for Order Confirmation &amp; Receipt Screen</t>
        </is>
      </c>
    </row>
    <row r="285" ht="36" customHeight="1">
      <c r="A285" s="11" t="inlineStr">
        <is>
          <t>TC-284</t>
        </is>
      </c>
      <c r="B285" s="12" t="inlineStr">
        <is>
          <t>OrderConfirmationScreen</t>
        </is>
      </c>
      <c r="C285" s="12" t="inlineStr">
        <is>
          <t>Safe Vulnerability &amp; Security Checks</t>
        </is>
      </c>
      <c r="D285" s="12" t="inlineStr">
        <is>
          <t>Safe SQL Injection Input Defense on Order Confirmation &amp; Receipt Screen</t>
        </is>
      </c>
      <c r="E285" s="12" t="inlineStr">
        <is>
          <t>1. Launch test runner in Security Audit Sandbox.
2. Navigate to Order Confirmation &amp; Receipt Screen (OrderConfirmationScreen).
3. Submit safe SQLi payload `' OR '1'='1` into text input fields on OrderConfirmationScreen.
4. Verify expected results and log evidence.</t>
        </is>
      </c>
      <c r="F285" s="12" t="inlineStr">
        <is>
          <t>Payload: `' OR '1'='1`</t>
        </is>
      </c>
      <c r="G285" s="12" t="inlineStr">
        <is>
          <t>Input is parameterized/escaped cleanly; no SQL error occurs.</t>
        </is>
      </c>
      <c r="H285" s="12" t="inlineStr">
        <is>
          <t>Pending Execution</t>
        </is>
      </c>
      <c r="I285" s="13" t="inlineStr">
        <is>
          <t>Not Executed</t>
        </is>
      </c>
      <c r="J285" s="11" t="inlineStr">
        <is>
          <t>Medium</t>
        </is>
      </c>
      <c r="K285" s="11" t="inlineStr">
        <is>
          <t>Major</t>
        </is>
      </c>
      <c r="L285" s="11" t="inlineStr">
        <is>
          <t>Script Ready</t>
        </is>
      </c>
      <c r="M285" s="12" t="inlineStr">
        <is>
          <t>Security Audit Sandbox</t>
        </is>
      </c>
      <c r="N285" s="12" t="inlineStr">
        <is>
          <t>Defensive Security Audit Engine</t>
        </is>
      </c>
      <c r="O285" s="12" t="inlineStr">
        <is>
          <t>Screen-specific baseline case for Order Confirmation &amp; Receipt Screen</t>
        </is>
      </c>
    </row>
    <row r="286" ht="36" customHeight="1">
      <c r="A286" s="11" t="inlineStr">
        <is>
          <t>TC-285</t>
        </is>
      </c>
      <c r="B286" s="12" t="inlineStr">
        <is>
          <t>OrderConfirmationScreen</t>
        </is>
      </c>
      <c r="C286" s="12" t="inlineStr">
        <is>
          <t>Safe Vulnerability &amp; Security Checks</t>
        </is>
      </c>
      <c r="D286" s="12" t="inlineStr">
        <is>
          <t>Safe XSS Script Escaping Validation on Order Confirmation &amp; Receipt Screen</t>
        </is>
      </c>
      <c r="E286" s="12" t="inlineStr">
        <is>
          <t>1. Launch test runner in Security Audit Sandbox.
2. Navigate to Order Confirmation &amp; Receipt Screen (OrderConfirmationScreen).
3. Submit safe script payload `&lt;script&gt;alert(1)&lt;/script&gt;` into OrderConfirmationScreen fields.
4. Verify expected results and log evidence.</t>
        </is>
      </c>
      <c r="F286" s="12" t="inlineStr">
        <is>
          <t>Payload: `&lt;script&gt;alert(1)&lt;/script&gt;`</t>
        </is>
      </c>
      <c r="G286" s="12" t="inlineStr">
        <is>
          <t>Payload renders as plain text string; script does not execute.</t>
        </is>
      </c>
      <c r="H286" s="12" t="inlineStr">
        <is>
          <t>Pending Execution</t>
        </is>
      </c>
      <c r="I286" s="13" t="inlineStr">
        <is>
          <t>Not Executed</t>
        </is>
      </c>
      <c r="J286" s="11" t="inlineStr">
        <is>
          <t>High</t>
        </is>
      </c>
      <c r="K286" s="11" t="inlineStr">
        <is>
          <t>Moderate</t>
        </is>
      </c>
      <c r="L286" s="11" t="inlineStr">
        <is>
          <t>Script Ready</t>
        </is>
      </c>
      <c r="M286" s="12" t="inlineStr">
        <is>
          <t>Security Audit Sandbox</t>
        </is>
      </c>
      <c r="N286" s="12" t="inlineStr">
        <is>
          <t>Defensive Security Audit Engine</t>
        </is>
      </c>
      <c r="O286" s="12" t="inlineStr">
        <is>
          <t>Screen-specific baseline case for Order Confirmation &amp; Receipt Screen</t>
        </is>
      </c>
    </row>
    <row r="287" ht="36" customHeight="1">
      <c r="A287" s="11" t="inlineStr">
        <is>
          <t>TC-286</t>
        </is>
      </c>
      <c r="B287" s="12" t="inlineStr">
        <is>
          <t>OrderConfirmationScreen</t>
        </is>
      </c>
      <c r="C287" s="12" t="inlineStr">
        <is>
          <t>Safe Vulnerability &amp; Security Checks</t>
        </is>
      </c>
      <c r="D287" s="12" t="inlineStr">
        <is>
          <t>TLS 1.3 Transport Encryption Enforcement on Order Confirmation &amp; Receipt Screen</t>
        </is>
      </c>
      <c r="E287" s="12" t="inlineStr">
        <is>
          <t>1. Launch test runner in Security Audit Sandbox.
2. Navigate to Order Confirmation &amp; Receipt Screen (OrderConfirmationScreen).
3. Inspect outbound network traffic for OrderConfirmationScreen using passive OWASP proxy.
4. Verify expected results and log evidence.</t>
        </is>
      </c>
      <c r="F287" s="12" t="inlineStr">
        <is>
          <t>Protocol: TLS 1.3 / HTTPS</t>
        </is>
      </c>
      <c r="G287" s="12" t="inlineStr">
        <is>
          <t>All HTTP connections upgrade to TLS 1.3; unencrypted HTTP blocked.</t>
        </is>
      </c>
      <c r="H287" s="12" t="inlineStr">
        <is>
          <t>Pending Execution</t>
        </is>
      </c>
      <c r="I287" s="13" t="inlineStr">
        <is>
          <t>Not Executed</t>
        </is>
      </c>
      <c r="J287" s="11" t="inlineStr">
        <is>
          <t>Medium</t>
        </is>
      </c>
      <c r="K287" s="11" t="inlineStr">
        <is>
          <t>Major</t>
        </is>
      </c>
      <c r="L287" s="11" t="inlineStr">
        <is>
          <t>Script Ready</t>
        </is>
      </c>
      <c r="M287" s="12" t="inlineStr">
        <is>
          <t>Security Audit Sandbox</t>
        </is>
      </c>
      <c r="N287" s="12" t="inlineStr">
        <is>
          <t>Defensive Security Audit Engine</t>
        </is>
      </c>
      <c r="O287" s="12" t="inlineStr">
        <is>
          <t>Screen-specific baseline case for Order Confirmation &amp; Receipt Screen</t>
        </is>
      </c>
    </row>
    <row r="288" ht="36" customHeight="1">
      <c r="A288" s="11" t="inlineStr">
        <is>
          <t>TC-287</t>
        </is>
      </c>
      <c r="B288" s="12" t="inlineStr">
        <is>
          <t>OrderConfirmationScreen</t>
        </is>
      </c>
      <c r="C288" s="12" t="inlineStr">
        <is>
          <t>Safe Vulnerability &amp; Security Checks</t>
        </is>
      </c>
      <c r="D288" s="12" t="inlineStr">
        <is>
          <t>API Rate Limiting 429 Response Check on Order Confirmation &amp; Receipt Screen</t>
        </is>
      </c>
      <c r="E288" s="12" t="inlineStr">
        <is>
          <t>1. Launch test runner in Security Audit Sandbox.
2. Navigate to Order Confirmation &amp; Receipt Screen (OrderConfirmationScreen).
3. Send 100 rapid requests within 5 seconds to OrderConfirmationScreen public endpoints.
4. Verify expected results and log evidence.</t>
        </is>
      </c>
      <c r="F288" s="12" t="inlineStr">
        <is>
          <t>Requests: 100 in 5s</t>
        </is>
      </c>
      <c r="G288" s="12" t="inlineStr">
        <is>
          <t>Rate limiter triggers HTTP 429 Too Many Requests response.</t>
        </is>
      </c>
      <c r="H288" s="12" t="inlineStr">
        <is>
          <t>Pending Execution</t>
        </is>
      </c>
      <c r="I288" s="13" t="inlineStr">
        <is>
          <t>Not Executed</t>
        </is>
      </c>
      <c r="J288" s="11" t="inlineStr">
        <is>
          <t>Medium</t>
        </is>
      </c>
      <c r="K288" s="11" t="inlineStr">
        <is>
          <t>Critical</t>
        </is>
      </c>
      <c r="L288" s="11" t="inlineStr">
        <is>
          <t>Script Ready</t>
        </is>
      </c>
      <c r="M288" s="12" t="inlineStr">
        <is>
          <t>Security Audit Sandbox</t>
        </is>
      </c>
      <c r="N288" s="12" t="inlineStr">
        <is>
          <t>Defensive Security Audit Engine</t>
        </is>
      </c>
      <c r="O288" s="12" t="inlineStr">
        <is>
          <t>Screen-specific baseline case for Order Confirmation &amp; Receipt Screen</t>
        </is>
      </c>
    </row>
    <row r="289" ht="36" customHeight="1">
      <c r="A289" s="11" t="inlineStr">
        <is>
          <t>TC-288</t>
        </is>
      </c>
      <c r="B289" s="12" t="inlineStr">
        <is>
          <t>OrderConfirmationScreen</t>
        </is>
      </c>
      <c r="C289" s="12" t="inlineStr">
        <is>
          <t>Safe Vulnerability &amp; Security Checks</t>
        </is>
      </c>
      <c r="D289" s="12" t="inlineStr">
        <is>
          <t>Supabase Row Level Security (RLS) Audit on Order Confirmation &amp; Receipt Screen</t>
        </is>
      </c>
      <c r="E289" s="12" t="inlineStr">
        <is>
          <t>1. Launch test runner in Security Audit Sandbox.
2. Navigate to Order Confirmation &amp; Receipt Screen (OrderConfirmationScreen).
3. Query Supabase PostgreSQL table for OrderConfirmationScreen without auth header.
4. Verify expected results and log evidence.</t>
        </is>
      </c>
      <c r="F289" s="12" t="inlineStr">
        <is>
          <t>RLS Check: OrderConfirmationScreen_table</t>
        </is>
      </c>
      <c r="G289" s="12" t="inlineStr">
        <is>
          <t>Supabase RLS policy blocks unauthorized row query access.</t>
        </is>
      </c>
      <c r="H289" s="12" t="inlineStr">
        <is>
          <t>Pending Execution</t>
        </is>
      </c>
      <c r="I289" s="13" t="inlineStr">
        <is>
          <t>Not Executed</t>
        </is>
      </c>
      <c r="J289" s="11" t="inlineStr">
        <is>
          <t>High</t>
        </is>
      </c>
      <c r="K289" s="11" t="inlineStr">
        <is>
          <t>Major</t>
        </is>
      </c>
      <c r="L289" s="11" t="inlineStr">
        <is>
          <t>Script Ready</t>
        </is>
      </c>
      <c r="M289" s="12" t="inlineStr">
        <is>
          <t>Security Audit Sandbox</t>
        </is>
      </c>
      <c r="N289" s="12" t="inlineStr">
        <is>
          <t>Defensive Security Audit Engine</t>
        </is>
      </c>
      <c r="O289" s="12" t="inlineStr">
        <is>
          <t>Screen-specific baseline case for Order Confirmation &amp; Receipt Screen</t>
        </is>
      </c>
    </row>
    <row r="290" ht="36" customHeight="1">
      <c r="A290" s="11" t="inlineStr">
        <is>
          <t>TC-289</t>
        </is>
      </c>
      <c r="B290" s="12" t="inlineStr">
        <is>
          <t>OrderConfirmationScreen</t>
        </is>
      </c>
      <c r="C290" s="12" t="inlineStr">
        <is>
          <t>Safe Vulnerability &amp; Security Checks</t>
        </is>
      </c>
      <c r="D290" s="12" t="inlineStr">
        <is>
          <t>Privileged Route Guard Verification on Order Confirmation &amp; Receipt Screen</t>
        </is>
      </c>
      <c r="E290" s="12" t="inlineStr">
        <is>
          <t>1. Launch test runner in Security Audit Sandbox.
2. Navigate to Order Confirmation &amp; Receipt Screen (OrderConfirmationScreen).
3. Attempt deep linking directly to restricted OrderConfirmationScreen view as unauthenticated user.
4. Verify expected results and log evidence.</t>
        </is>
      </c>
      <c r="F290" s="12" t="inlineStr">
        <is>
          <t>Route: /OrderConfirmationScreen_admin</t>
        </is>
      </c>
      <c r="G290" s="12" t="inlineStr">
        <is>
          <t>Router guard intercepts request and redirects to login screen.</t>
        </is>
      </c>
      <c r="H290" s="12" t="inlineStr">
        <is>
          <t>Pending Execution</t>
        </is>
      </c>
      <c r="I290" s="13" t="inlineStr">
        <is>
          <t>Not Executed</t>
        </is>
      </c>
      <c r="J290" s="11" t="inlineStr">
        <is>
          <t>Medium</t>
        </is>
      </c>
      <c r="K290" s="11" t="inlineStr">
        <is>
          <t>Moderate</t>
        </is>
      </c>
      <c r="L290" s="11" t="inlineStr">
        <is>
          <t>Script Ready</t>
        </is>
      </c>
      <c r="M290" s="12" t="inlineStr">
        <is>
          <t>Security Audit Sandbox</t>
        </is>
      </c>
      <c r="N290" s="12" t="inlineStr">
        <is>
          <t>Defensive Security Audit Engine</t>
        </is>
      </c>
      <c r="O290" s="12" t="inlineStr">
        <is>
          <t>Screen-specific baseline case for Order Confirmation &amp; Receipt Screen</t>
        </is>
      </c>
    </row>
    <row r="291" ht="36" customHeight="1">
      <c r="A291" s="11" t="inlineStr">
        <is>
          <t>TC-290</t>
        </is>
      </c>
      <c r="B291" s="12" t="inlineStr">
        <is>
          <t>OrderConfirmationScreen</t>
        </is>
      </c>
      <c r="C291" s="12" t="inlineStr">
        <is>
          <t>Safe Vulnerability &amp; Security Checks</t>
        </is>
      </c>
      <c r="D291" s="12" t="inlineStr">
        <is>
          <t>Sensitive Data Masking &amp; Log Leak Check on Order Confirmation &amp; Receipt Screen</t>
        </is>
      </c>
      <c r="E291" s="12" t="inlineStr">
        <is>
          <t>1. Launch test runner in Security Audit Sandbox.
2. Navigate to Order Confirmation &amp; Receipt Screen (OrderConfirmationScreen).
3. Audit application log files and network payloads for exposed OrderConfirmationScreen secrets.
4. Verify expected results and log evidence.</t>
        </is>
      </c>
      <c r="F291" s="12" t="inlineStr">
        <is>
          <t>Audit: Password/Token fields</t>
        </is>
      </c>
      <c r="G291" s="12" t="inlineStr">
        <is>
          <t>Sensitive credentials and PII are masked or omitted from logs.</t>
        </is>
      </c>
      <c r="H291" s="12" t="inlineStr">
        <is>
          <t>Pending Execution</t>
        </is>
      </c>
      <c r="I291" s="13" t="inlineStr">
        <is>
          <t>Not Executed</t>
        </is>
      </c>
      <c r="J291" s="11" t="inlineStr">
        <is>
          <t>Low</t>
        </is>
      </c>
      <c r="K291" s="11" t="inlineStr">
        <is>
          <t>Major</t>
        </is>
      </c>
      <c r="L291" s="11" t="inlineStr">
        <is>
          <t>Script Ready</t>
        </is>
      </c>
      <c r="M291" s="12" t="inlineStr">
        <is>
          <t>Security Audit Sandbox</t>
        </is>
      </c>
      <c r="N291" s="12" t="inlineStr">
        <is>
          <t>Defensive Security Audit Engine</t>
        </is>
      </c>
      <c r="O291" s="12" t="inlineStr">
        <is>
          <t>Screen-specific baseline case for Order Confirmation &amp; Receipt Screen</t>
        </is>
      </c>
    </row>
    <row r="292" ht="36" customHeight="1">
      <c r="A292" s="11" t="inlineStr">
        <is>
          <t>TC-291</t>
        </is>
      </c>
      <c r="B292" s="12" t="inlineStr">
        <is>
          <t>MyOrdersScreen</t>
        </is>
      </c>
      <c r="C292" s="12" t="inlineStr">
        <is>
          <t>Safe Vulnerability &amp; Security Checks</t>
        </is>
      </c>
      <c r="D292" s="12" t="inlineStr">
        <is>
          <t>Authentication Lockout &amp; Brute-Force on My Orders Stepper &amp; History Screen</t>
        </is>
      </c>
      <c r="E292" s="12" t="inlineStr">
        <is>
          <t>1. Launch test runner in Security Audit Sandbox.
2. Navigate to My Orders Stepper &amp; History Screen (MyOrdersScreen).
3. Attempt 10 invalid authentication requests on MyOrdersScreen in rapid succession.
4. Verify expected results and log evidence.</t>
        </is>
      </c>
      <c r="F292" s="12" t="inlineStr">
        <is>
          <t>Attempts: 10 invalid</t>
        </is>
      </c>
      <c r="G292" s="12" t="inlineStr">
        <is>
          <t>Account temporarily locks out after 5 failed attempts with 429 response.</t>
        </is>
      </c>
      <c r="H292" s="12" t="inlineStr">
        <is>
          <t>Pending Execution</t>
        </is>
      </c>
      <c r="I292" s="13" t="inlineStr">
        <is>
          <t>Not Executed</t>
        </is>
      </c>
      <c r="J292" s="11" t="inlineStr">
        <is>
          <t>High</t>
        </is>
      </c>
      <c r="K292" s="11" t="inlineStr">
        <is>
          <t>Moderate</t>
        </is>
      </c>
      <c r="L292" s="11" t="inlineStr">
        <is>
          <t>Script Ready</t>
        </is>
      </c>
      <c r="M292" s="12" t="inlineStr">
        <is>
          <t>Security Audit Sandbox</t>
        </is>
      </c>
      <c r="N292" s="12" t="inlineStr">
        <is>
          <t>Defensive Security Audit Engine</t>
        </is>
      </c>
      <c r="O292" s="12" t="inlineStr">
        <is>
          <t>Screen-specific baseline case for My Orders Stepper &amp; History Screen</t>
        </is>
      </c>
    </row>
    <row r="293" ht="36" customHeight="1">
      <c r="A293" s="11" t="inlineStr">
        <is>
          <t>TC-292</t>
        </is>
      </c>
      <c r="B293" s="12" t="inlineStr">
        <is>
          <t>MyOrdersScreen</t>
        </is>
      </c>
      <c r="C293" s="12" t="inlineStr">
        <is>
          <t>Safe Vulnerability &amp; Security Checks</t>
        </is>
      </c>
      <c r="D293" s="12" t="inlineStr">
        <is>
          <t>Role-Based Authorization &amp; IDOR Check on My Orders Stepper &amp; History Screen</t>
        </is>
      </c>
      <c r="E293" s="12" t="inlineStr">
        <is>
          <t>1. Launch test runner in Security Audit Sandbox.
2. Navigate to My Orders Stepper &amp; History Screen (MyOrdersScreen).
3. Attempt querying secondary user private records on MyOrdersScreen using guest JWT.
4. Verify expected results and log evidence.</t>
        </is>
      </c>
      <c r="F293" s="12" t="inlineStr">
        <is>
          <t>IDOR Payload: MyOrdersScreen_user_999</t>
        </is>
      </c>
      <c r="G293" s="12" t="inlineStr">
        <is>
          <t>Database and API reject request with HTTP 403 Forbidden.</t>
        </is>
      </c>
      <c r="H293" s="12" t="inlineStr">
        <is>
          <t>Pending Execution</t>
        </is>
      </c>
      <c r="I293" s="13" t="inlineStr">
        <is>
          <t>Not Executed</t>
        </is>
      </c>
      <c r="J293" s="11" t="inlineStr">
        <is>
          <t>Medium</t>
        </is>
      </c>
      <c r="K293" s="11" t="inlineStr">
        <is>
          <t>Major</t>
        </is>
      </c>
      <c r="L293" s="11" t="inlineStr">
        <is>
          <t>Script Ready</t>
        </is>
      </c>
      <c r="M293" s="12" t="inlineStr">
        <is>
          <t>Security Audit Sandbox</t>
        </is>
      </c>
      <c r="N293" s="12" t="inlineStr">
        <is>
          <t>Defensive Security Audit Engine</t>
        </is>
      </c>
      <c r="O293" s="12" t="inlineStr">
        <is>
          <t>Screen-specific baseline case for My Orders Stepper &amp; History Screen</t>
        </is>
      </c>
    </row>
    <row r="294" ht="36" customHeight="1">
      <c r="A294" s="11" t="inlineStr">
        <is>
          <t>TC-293</t>
        </is>
      </c>
      <c r="B294" s="12" t="inlineStr">
        <is>
          <t>MyOrdersScreen</t>
        </is>
      </c>
      <c r="C294" s="12" t="inlineStr">
        <is>
          <t>Safe Vulnerability &amp; Security Checks</t>
        </is>
      </c>
      <c r="D294" s="12" t="inlineStr">
        <is>
          <t>Session Token Expiration &amp; Revocation on My Orders Stepper &amp; History Screen</t>
        </is>
      </c>
      <c r="E294" s="12" t="inlineStr">
        <is>
          <t>1. Launch test runner in Security Audit Sandbox.
2. Navigate to My Orders Stepper &amp; History Screen (MyOrdersScreen).
3. Present expired JWT token to MyOrdersScreen API endpoint, attempt data fetch.
4. Verify expected results and log evidence.</t>
        </is>
      </c>
      <c r="F294" s="12" t="inlineStr">
        <is>
          <t>JWT Token: Expired/Revoked</t>
        </is>
      </c>
      <c r="G294" s="12" t="inlineStr">
        <is>
          <t>API gateway invalidates session and redirects to login view.</t>
        </is>
      </c>
      <c r="H294" s="12" t="inlineStr">
        <is>
          <t>Pending Execution</t>
        </is>
      </c>
      <c r="I294" s="13" t="inlineStr">
        <is>
          <t>Not Executed</t>
        </is>
      </c>
      <c r="J294" s="11" t="inlineStr">
        <is>
          <t>Medium</t>
        </is>
      </c>
      <c r="K294" s="11" t="inlineStr">
        <is>
          <t>Moderate</t>
        </is>
      </c>
      <c r="L294" s="11" t="inlineStr">
        <is>
          <t>Script Ready</t>
        </is>
      </c>
      <c r="M294" s="12" t="inlineStr">
        <is>
          <t>Security Audit Sandbox</t>
        </is>
      </c>
      <c r="N294" s="12" t="inlineStr">
        <is>
          <t>Defensive Security Audit Engine</t>
        </is>
      </c>
      <c r="O294" s="12" t="inlineStr">
        <is>
          <t>Screen-specific baseline case for My Orders Stepper &amp; History Screen</t>
        </is>
      </c>
    </row>
    <row r="295" ht="36" customHeight="1">
      <c r="A295" s="11" t="inlineStr">
        <is>
          <t>TC-294</t>
        </is>
      </c>
      <c r="B295" s="12" t="inlineStr">
        <is>
          <t>MyOrdersScreen</t>
        </is>
      </c>
      <c r="C295" s="12" t="inlineStr">
        <is>
          <t>Safe Vulnerability &amp; Security Checks</t>
        </is>
      </c>
      <c r="D295" s="12" t="inlineStr">
        <is>
          <t>Safe SQL Injection Input Defense on My Orders Stepper &amp; History Screen</t>
        </is>
      </c>
      <c r="E295" s="12" t="inlineStr">
        <is>
          <t>1. Launch test runner in Security Audit Sandbox.
2. Navigate to My Orders Stepper &amp; History Screen (MyOrdersScreen).
3. Submit safe SQLi payload `' OR '1'='1` into text input fields on MyOrdersScreen.
4. Verify expected results and log evidence.</t>
        </is>
      </c>
      <c r="F295" s="12" t="inlineStr">
        <is>
          <t>Payload: `' OR '1'='1`</t>
        </is>
      </c>
      <c r="G295" s="12" t="inlineStr">
        <is>
          <t>Input is parameterized/escaped cleanly; no SQL error occurs.</t>
        </is>
      </c>
      <c r="H295" s="12" t="inlineStr">
        <is>
          <t>Pending Execution</t>
        </is>
      </c>
      <c r="I295" s="13" t="inlineStr">
        <is>
          <t>Not Executed</t>
        </is>
      </c>
      <c r="J295" s="11" t="inlineStr">
        <is>
          <t>High</t>
        </is>
      </c>
      <c r="K295" s="11" t="inlineStr">
        <is>
          <t>Critical</t>
        </is>
      </c>
      <c r="L295" s="11" t="inlineStr">
        <is>
          <t>Script Ready</t>
        </is>
      </c>
      <c r="M295" s="12" t="inlineStr">
        <is>
          <t>Security Audit Sandbox</t>
        </is>
      </c>
      <c r="N295" s="12" t="inlineStr">
        <is>
          <t>Defensive Security Audit Engine</t>
        </is>
      </c>
      <c r="O295" s="12" t="inlineStr">
        <is>
          <t>Screen-specific baseline case for My Orders Stepper &amp; History Screen</t>
        </is>
      </c>
    </row>
    <row r="296" ht="36" customHeight="1">
      <c r="A296" s="11" t="inlineStr">
        <is>
          <t>TC-295</t>
        </is>
      </c>
      <c r="B296" s="12" t="inlineStr">
        <is>
          <t>MyOrdersScreen</t>
        </is>
      </c>
      <c r="C296" s="12" t="inlineStr">
        <is>
          <t>Safe Vulnerability &amp; Security Checks</t>
        </is>
      </c>
      <c r="D296" s="12" t="inlineStr">
        <is>
          <t>Safe XSS Script Escaping Validation on My Orders Stepper &amp; History Screen</t>
        </is>
      </c>
      <c r="E296" s="12" t="inlineStr">
        <is>
          <t>1. Launch test runner in Security Audit Sandbox.
2. Navigate to My Orders Stepper &amp; History Screen (MyOrdersScreen).
3. Submit safe script payload `&lt;script&gt;alert(1)&lt;/script&gt;` into MyOrdersScreen fields.
4. Verify expected results and log evidence.</t>
        </is>
      </c>
      <c r="F296" s="12" t="inlineStr">
        <is>
          <t>Payload: `&lt;script&gt;alert(1)&lt;/script&gt;`</t>
        </is>
      </c>
      <c r="G296" s="12" t="inlineStr">
        <is>
          <t>Payload renders as plain text string; script does not execute.</t>
        </is>
      </c>
      <c r="H296" s="12" t="inlineStr">
        <is>
          <t>Pending Execution</t>
        </is>
      </c>
      <c r="I296" s="13" t="inlineStr">
        <is>
          <t>Not Executed</t>
        </is>
      </c>
      <c r="J296" s="11" t="inlineStr">
        <is>
          <t>Low</t>
        </is>
      </c>
      <c r="K296" s="11" t="inlineStr">
        <is>
          <t>Moderate</t>
        </is>
      </c>
      <c r="L296" s="11" t="inlineStr">
        <is>
          <t>Script Ready</t>
        </is>
      </c>
      <c r="M296" s="12" t="inlineStr">
        <is>
          <t>Security Audit Sandbox</t>
        </is>
      </c>
      <c r="N296" s="12" t="inlineStr">
        <is>
          <t>Defensive Security Audit Engine</t>
        </is>
      </c>
      <c r="O296" s="12" t="inlineStr">
        <is>
          <t>Screen-specific baseline case for My Orders Stepper &amp; History Screen</t>
        </is>
      </c>
    </row>
    <row r="297" ht="36" customHeight="1">
      <c r="A297" s="11" t="inlineStr">
        <is>
          <t>TC-296</t>
        </is>
      </c>
      <c r="B297" s="12" t="inlineStr">
        <is>
          <t>MyOrdersScreen</t>
        </is>
      </c>
      <c r="C297" s="12" t="inlineStr">
        <is>
          <t>Safe Vulnerability &amp; Security Checks</t>
        </is>
      </c>
      <c r="D297" s="12" t="inlineStr">
        <is>
          <t>TLS 1.3 Transport Encryption Enforcement on My Orders Stepper &amp; History Screen</t>
        </is>
      </c>
      <c r="E297" s="12" t="inlineStr">
        <is>
          <t>1. Launch test runner in Security Audit Sandbox.
2. Navigate to My Orders Stepper &amp; History Screen (MyOrdersScreen).
3. Inspect outbound network traffic for MyOrdersScreen using passive OWASP proxy.
4. Verify expected results and log evidence.</t>
        </is>
      </c>
      <c r="F297" s="12" t="inlineStr">
        <is>
          <t>Protocol: TLS 1.3 / HTTPS</t>
        </is>
      </c>
      <c r="G297" s="12" t="inlineStr">
        <is>
          <t>All HTTP connections upgrade to TLS 1.3; unencrypted HTTP blocked.</t>
        </is>
      </c>
      <c r="H297" s="12" t="inlineStr">
        <is>
          <t>Pending Execution</t>
        </is>
      </c>
      <c r="I297" s="13" t="inlineStr">
        <is>
          <t>Not Executed</t>
        </is>
      </c>
      <c r="J297" s="11" t="inlineStr">
        <is>
          <t>Medium</t>
        </is>
      </c>
      <c r="K297" s="11" t="inlineStr">
        <is>
          <t>Major</t>
        </is>
      </c>
      <c r="L297" s="11" t="inlineStr">
        <is>
          <t>Script Ready</t>
        </is>
      </c>
      <c r="M297" s="12" t="inlineStr">
        <is>
          <t>Security Audit Sandbox</t>
        </is>
      </c>
      <c r="N297" s="12" t="inlineStr">
        <is>
          <t>Defensive Security Audit Engine</t>
        </is>
      </c>
      <c r="O297" s="12" t="inlineStr">
        <is>
          <t>Screen-specific baseline case for My Orders Stepper &amp; History Screen</t>
        </is>
      </c>
    </row>
    <row r="298" ht="36" customHeight="1">
      <c r="A298" s="11" t="inlineStr">
        <is>
          <t>TC-297</t>
        </is>
      </c>
      <c r="B298" s="12" t="inlineStr">
        <is>
          <t>MyOrdersScreen</t>
        </is>
      </c>
      <c r="C298" s="12" t="inlineStr">
        <is>
          <t>Safe Vulnerability &amp; Security Checks</t>
        </is>
      </c>
      <c r="D298" s="12" t="inlineStr">
        <is>
          <t>API Rate Limiting 429 Response Check on My Orders Stepper &amp; History Screen</t>
        </is>
      </c>
      <c r="E298" s="12" t="inlineStr">
        <is>
          <t>1. Launch test runner in Security Audit Sandbox.
2. Navigate to My Orders Stepper &amp; History Screen (MyOrdersScreen).
3. Send 100 rapid requests within 5 seconds to MyOrdersScreen public endpoints.
4. Verify expected results and log evidence.</t>
        </is>
      </c>
      <c r="F298" s="12" t="inlineStr">
        <is>
          <t>Requests: 100 in 5s</t>
        </is>
      </c>
      <c r="G298" s="12" t="inlineStr">
        <is>
          <t>Rate limiter triggers HTTP 429 Too Many Requests response.</t>
        </is>
      </c>
      <c r="H298" s="12" t="inlineStr">
        <is>
          <t>Pending Execution</t>
        </is>
      </c>
      <c r="I298" s="13" t="inlineStr">
        <is>
          <t>Not Executed</t>
        </is>
      </c>
      <c r="J298" s="11" t="inlineStr">
        <is>
          <t>High</t>
        </is>
      </c>
      <c r="K298" s="11" t="inlineStr">
        <is>
          <t>Moderate</t>
        </is>
      </c>
      <c r="L298" s="11" t="inlineStr">
        <is>
          <t>Script Ready</t>
        </is>
      </c>
      <c r="M298" s="12" t="inlineStr">
        <is>
          <t>Security Audit Sandbox</t>
        </is>
      </c>
      <c r="N298" s="12" t="inlineStr">
        <is>
          <t>Defensive Security Audit Engine</t>
        </is>
      </c>
      <c r="O298" s="12" t="inlineStr">
        <is>
          <t>Screen-specific baseline case for My Orders Stepper &amp; History Screen</t>
        </is>
      </c>
    </row>
    <row r="299" ht="36" customHeight="1">
      <c r="A299" s="11" t="inlineStr">
        <is>
          <t>TC-298</t>
        </is>
      </c>
      <c r="B299" s="12" t="inlineStr">
        <is>
          <t>MyOrdersScreen</t>
        </is>
      </c>
      <c r="C299" s="12" t="inlineStr">
        <is>
          <t>Safe Vulnerability &amp; Security Checks</t>
        </is>
      </c>
      <c r="D299" s="12" t="inlineStr">
        <is>
          <t>Supabase Row Level Security (RLS) Audit on My Orders Stepper &amp; History Screen</t>
        </is>
      </c>
      <c r="E299" s="12" t="inlineStr">
        <is>
          <t>1. Launch test runner in Security Audit Sandbox.
2. Navigate to My Orders Stepper &amp; History Screen (MyOrdersScreen).
3. Query Supabase PostgreSQL table for MyOrdersScreen without auth header.
4. Verify expected results and log evidence.</t>
        </is>
      </c>
      <c r="F299" s="12" t="inlineStr">
        <is>
          <t>RLS Check: MyOrdersScreen_table</t>
        </is>
      </c>
      <c r="G299" s="12" t="inlineStr">
        <is>
          <t>Supabase RLS policy blocks unauthorized row query access.</t>
        </is>
      </c>
      <c r="H299" s="12" t="inlineStr">
        <is>
          <t>Pending Execution</t>
        </is>
      </c>
      <c r="I299" s="13" t="inlineStr">
        <is>
          <t>Not Executed</t>
        </is>
      </c>
      <c r="J299" s="11" t="inlineStr">
        <is>
          <t>Medium</t>
        </is>
      </c>
      <c r="K299" s="11" t="inlineStr">
        <is>
          <t>Major</t>
        </is>
      </c>
      <c r="L299" s="11" t="inlineStr">
        <is>
          <t>Script Ready</t>
        </is>
      </c>
      <c r="M299" s="12" t="inlineStr">
        <is>
          <t>Security Audit Sandbox</t>
        </is>
      </c>
      <c r="N299" s="12" t="inlineStr">
        <is>
          <t>Defensive Security Audit Engine</t>
        </is>
      </c>
      <c r="O299" s="12" t="inlineStr">
        <is>
          <t>Screen-specific baseline case for My Orders Stepper &amp; History Screen</t>
        </is>
      </c>
    </row>
    <row r="300" ht="36" customHeight="1">
      <c r="A300" s="11" t="inlineStr">
        <is>
          <t>TC-299</t>
        </is>
      </c>
      <c r="B300" s="12" t="inlineStr">
        <is>
          <t>MyOrdersScreen</t>
        </is>
      </c>
      <c r="C300" s="12" t="inlineStr">
        <is>
          <t>Safe Vulnerability &amp; Security Checks</t>
        </is>
      </c>
      <c r="D300" s="12" t="inlineStr">
        <is>
          <t>Privileged Route Guard Verification on My Orders Stepper &amp; History Screen</t>
        </is>
      </c>
      <c r="E300" s="12" t="inlineStr">
        <is>
          <t>1. Launch test runner in Security Audit Sandbox.
2. Navigate to My Orders Stepper &amp; History Screen (MyOrdersScreen).
3. Attempt deep linking directly to restricted MyOrdersScreen view as unauthenticated user.
4. Verify expected results and log evidence.</t>
        </is>
      </c>
      <c r="F300" s="12" t="inlineStr">
        <is>
          <t>Route: /MyOrdersScreen_admin</t>
        </is>
      </c>
      <c r="G300" s="12" t="inlineStr">
        <is>
          <t>Router guard intercepts request and redirects to login screen.</t>
        </is>
      </c>
      <c r="H300" s="12" t="inlineStr">
        <is>
          <t>Pending Execution</t>
        </is>
      </c>
      <c r="I300" s="13" t="inlineStr">
        <is>
          <t>Not Executed</t>
        </is>
      </c>
      <c r="J300" s="11" t="inlineStr">
        <is>
          <t>Medium</t>
        </is>
      </c>
      <c r="K300" s="11" t="inlineStr">
        <is>
          <t>Moderate</t>
        </is>
      </c>
      <c r="L300" s="11" t="inlineStr">
        <is>
          <t>Script Ready</t>
        </is>
      </c>
      <c r="M300" s="12" t="inlineStr">
        <is>
          <t>Security Audit Sandbox</t>
        </is>
      </c>
      <c r="N300" s="12" t="inlineStr">
        <is>
          <t>Defensive Security Audit Engine</t>
        </is>
      </c>
      <c r="O300" s="12" t="inlineStr">
        <is>
          <t>Screen-specific baseline case for My Orders Stepper &amp; History Screen</t>
        </is>
      </c>
    </row>
    <row r="301" ht="36" customHeight="1">
      <c r="A301" s="11" t="inlineStr">
        <is>
          <t>TC-300</t>
        </is>
      </c>
      <c r="B301" s="12" t="inlineStr">
        <is>
          <t>MyOrdersScreen</t>
        </is>
      </c>
      <c r="C301" s="12" t="inlineStr">
        <is>
          <t>Safe Vulnerability &amp; Security Checks</t>
        </is>
      </c>
      <c r="D301" s="12" t="inlineStr">
        <is>
          <t>Sensitive Data Masking &amp; Log Leak Check on My Orders Stepper &amp; History Screen</t>
        </is>
      </c>
      <c r="E301" s="12" t="inlineStr">
        <is>
          <t>1. Launch test runner in Security Audit Sandbox.
2. Navigate to My Orders Stepper &amp; History Screen (MyOrdersScreen).
3. Audit application log files and network payloads for exposed MyOrdersScreen secrets.
4. Verify expected results and log evidence.</t>
        </is>
      </c>
      <c r="F301" s="12" t="inlineStr">
        <is>
          <t>Audit: Password/Token fields</t>
        </is>
      </c>
      <c r="G301" s="12" t="inlineStr">
        <is>
          <t>Sensitive credentials and PII are masked or omitted from logs.</t>
        </is>
      </c>
      <c r="H301" s="12" t="inlineStr">
        <is>
          <t>Pending Execution</t>
        </is>
      </c>
      <c r="I301" s="13" t="inlineStr">
        <is>
          <t>Not Executed</t>
        </is>
      </c>
      <c r="J301" s="11" t="inlineStr">
        <is>
          <t>High</t>
        </is>
      </c>
      <c r="K301" s="11" t="inlineStr">
        <is>
          <t>Major</t>
        </is>
      </c>
      <c r="L301" s="11" t="inlineStr">
        <is>
          <t>Script Ready</t>
        </is>
      </c>
      <c r="M301" s="12" t="inlineStr">
        <is>
          <t>Security Audit Sandbox</t>
        </is>
      </c>
      <c r="N301" s="12" t="inlineStr">
        <is>
          <t>Defensive Security Audit Engine</t>
        </is>
      </c>
      <c r="O301" s="12" t="inlineStr">
        <is>
          <t>Screen-specific baseline case for My Orders Stepper &amp; History Screen</t>
        </is>
      </c>
    </row>
    <row r="302" ht="36" customHeight="1">
      <c r="A302" s="11" t="inlineStr">
        <is>
          <t>TC-301</t>
        </is>
      </c>
      <c r="B302" s="12" t="inlineStr">
        <is>
          <t>OrderTrackingTimeline</t>
        </is>
      </c>
      <c r="C302" s="12" t="inlineStr">
        <is>
          <t>Safe Vulnerability &amp; Security Checks</t>
        </is>
      </c>
      <c r="D302" s="12" t="inlineStr">
        <is>
          <t>Authentication Lockout &amp; Brute-Force on Live Order Tracking &amp; Stepper Timeline</t>
        </is>
      </c>
      <c r="E302" s="12" t="inlineStr">
        <is>
          <t>1. Launch test runner in Security Audit Sandbox.
2. Navigate to Live Order Tracking &amp; Stepper Timeline (OrderTrackingTimeline).
3. Attempt 10 invalid authentication requests on OrderTrackingTimeline in rapid succession.
4. Verify expected results and log evidence.</t>
        </is>
      </c>
      <c r="F302" s="12" t="inlineStr">
        <is>
          <t>Attempts: 10 invalid</t>
        </is>
      </c>
      <c r="G302" s="12" t="inlineStr">
        <is>
          <t>Account temporarily locks out after 5 failed attempts with 429 response.</t>
        </is>
      </c>
      <c r="H302" s="12" t="inlineStr">
        <is>
          <t>Pending Execution</t>
        </is>
      </c>
      <c r="I302" s="13" t="inlineStr">
        <is>
          <t>Not Executed</t>
        </is>
      </c>
      <c r="J302" s="11" t="inlineStr">
        <is>
          <t>Medium</t>
        </is>
      </c>
      <c r="K302" s="11" t="inlineStr">
        <is>
          <t>Critical</t>
        </is>
      </c>
      <c r="L302" s="11" t="inlineStr">
        <is>
          <t>Script Ready</t>
        </is>
      </c>
      <c r="M302" s="12" t="inlineStr">
        <is>
          <t>Security Audit Sandbox</t>
        </is>
      </c>
      <c r="N302" s="12" t="inlineStr">
        <is>
          <t>Defensive Security Audit Engine</t>
        </is>
      </c>
      <c r="O302" s="12" t="inlineStr">
        <is>
          <t>Screen-specific baseline case for Live Order Tracking &amp; Stepper Timeline</t>
        </is>
      </c>
    </row>
    <row r="303" ht="36" customHeight="1">
      <c r="A303" s="11" t="inlineStr">
        <is>
          <t>TC-302</t>
        </is>
      </c>
      <c r="B303" s="12" t="inlineStr">
        <is>
          <t>OrderTrackingTimeline</t>
        </is>
      </c>
      <c r="C303" s="12" t="inlineStr">
        <is>
          <t>Safe Vulnerability &amp; Security Checks</t>
        </is>
      </c>
      <c r="D303" s="12" t="inlineStr">
        <is>
          <t>Role-Based Authorization &amp; IDOR Check on Live Order Tracking &amp; Stepper Timeline</t>
        </is>
      </c>
      <c r="E303" s="12" t="inlineStr">
        <is>
          <t>1. Launch test runner in Security Audit Sandbox.
2. Navigate to Live Order Tracking &amp; Stepper Timeline (OrderTrackingTimeline).
3. Attempt querying secondary user private records on OrderTrackingTimeline using guest JWT.
4. Verify expected results and log evidence.</t>
        </is>
      </c>
      <c r="F303" s="12" t="inlineStr">
        <is>
          <t>IDOR Payload: OrderTrackingTimeline_user_999</t>
        </is>
      </c>
      <c r="G303" s="12" t="inlineStr">
        <is>
          <t>Database and API reject request with HTTP 403 Forbidden.</t>
        </is>
      </c>
      <c r="H303" s="12" t="inlineStr">
        <is>
          <t>Pending Execution</t>
        </is>
      </c>
      <c r="I303" s="13" t="inlineStr">
        <is>
          <t>Not Executed</t>
        </is>
      </c>
      <c r="J303" s="11" t="inlineStr">
        <is>
          <t>Medium</t>
        </is>
      </c>
      <c r="K303" s="11" t="inlineStr">
        <is>
          <t>Major</t>
        </is>
      </c>
      <c r="L303" s="11" t="inlineStr">
        <is>
          <t>Script Ready</t>
        </is>
      </c>
      <c r="M303" s="12" t="inlineStr">
        <is>
          <t>Security Audit Sandbox</t>
        </is>
      </c>
      <c r="N303" s="12" t="inlineStr">
        <is>
          <t>Defensive Security Audit Engine</t>
        </is>
      </c>
      <c r="O303" s="12" t="inlineStr">
        <is>
          <t>Screen-specific baseline case for Live Order Tracking &amp; Stepper Timeline</t>
        </is>
      </c>
    </row>
    <row r="304" ht="36" customHeight="1">
      <c r="A304" s="11" t="inlineStr">
        <is>
          <t>TC-303</t>
        </is>
      </c>
      <c r="B304" s="12" t="inlineStr">
        <is>
          <t>OrderTrackingTimeline</t>
        </is>
      </c>
      <c r="C304" s="12" t="inlineStr">
        <is>
          <t>Safe Vulnerability &amp; Security Checks</t>
        </is>
      </c>
      <c r="D304" s="12" t="inlineStr">
        <is>
          <t>Session Token Expiration &amp; Revocation on Live Order Tracking &amp; Stepper Timeline</t>
        </is>
      </c>
      <c r="E304" s="12" t="inlineStr">
        <is>
          <t>1. Launch test runner in Security Audit Sandbox.
2. Navigate to Live Order Tracking &amp; Stepper Timeline (OrderTrackingTimeline).
3. Present expired JWT token to OrderTrackingTimeline API endpoint, attempt data fetch.
4. Verify expected results and log evidence.</t>
        </is>
      </c>
      <c r="F304" s="12" t="inlineStr">
        <is>
          <t>JWT Token: Expired/Revoked</t>
        </is>
      </c>
      <c r="G304" s="12" t="inlineStr">
        <is>
          <t>API gateway invalidates session and redirects to login view.</t>
        </is>
      </c>
      <c r="H304" s="12" t="inlineStr">
        <is>
          <t>Pending Execution</t>
        </is>
      </c>
      <c r="I304" s="13" t="inlineStr">
        <is>
          <t>Not Executed</t>
        </is>
      </c>
      <c r="J304" s="11" t="inlineStr">
        <is>
          <t>High</t>
        </is>
      </c>
      <c r="K304" s="11" t="inlineStr">
        <is>
          <t>Moderate</t>
        </is>
      </c>
      <c r="L304" s="11" t="inlineStr">
        <is>
          <t>Script Ready</t>
        </is>
      </c>
      <c r="M304" s="12" t="inlineStr">
        <is>
          <t>Security Audit Sandbox</t>
        </is>
      </c>
      <c r="N304" s="12" t="inlineStr">
        <is>
          <t>Defensive Security Audit Engine</t>
        </is>
      </c>
      <c r="O304" s="12" t="inlineStr">
        <is>
          <t>Screen-specific baseline case for Live Order Tracking &amp; Stepper Timeline</t>
        </is>
      </c>
    </row>
    <row r="305" ht="36" customHeight="1">
      <c r="A305" s="11" t="inlineStr">
        <is>
          <t>TC-304</t>
        </is>
      </c>
      <c r="B305" s="12" t="inlineStr">
        <is>
          <t>OrderTrackingTimeline</t>
        </is>
      </c>
      <c r="C305" s="12" t="inlineStr">
        <is>
          <t>Safe Vulnerability &amp; Security Checks</t>
        </is>
      </c>
      <c r="D305" s="12" t="inlineStr">
        <is>
          <t>Safe SQL Injection Input Defense on Live Order Tracking &amp; Stepper Timeline</t>
        </is>
      </c>
      <c r="E305" s="12" t="inlineStr">
        <is>
          <t>1. Launch test runner in Security Audit Sandbox.
2. Navigate to Live Order Tracking &amp; Stepper Timeline (OrderTrackingTimeline).
3. Submit safe SQLi payload `' OR '1'='1` into text input fields on OrderTrackingTimeline.
4. Verify expected results and log evidence.</t>
        </is>
      </c>
      <c r="F305" s="12" t="inlineStr">
        <is>
          <t>Payload: `' OR '1'='1`</t>
        </is>
      </c>
      <c r="G305" s="12" t="inlineStr">
        <is>
          <t>Input is parameterized/escaped cleanly; no SQL error occurs.</t>
        </is>
      </c>
      <c r="H305" s="12" t="inlineStr">
        <is>
          <t>Pending Execution</t>
        </is>
      </c>
      <c r="I305" s="13" t="inlineStr">
        <is>
          <t>Not Executed</t>
        </is>
      </c>
      <c r="J305" s="11" t="inlineStr">
        <is>
          <t>Medium</t>
        </is>
      </c>
      <c r="K305" s="11" t="inlineStr">
        <is>
          <t>Major</t>
        </is>
      </c>
      <c r="L305" s="11" t="inlineStr">
        <is>
          <t>Script Ready</t>
        </is>
      </c>
      <c r="M305" s="12" t="inlineStr">
        <is>
          <t>Security Audit Sandbox</t>
        </is>
      </c>
      <c r="N305" s="12" t="inlineStr">
        <is>
          <t>Defensive Security Audit Engine</t>
        </is>
      </c>
      <c r="O305" s="12" t="inlineStr">
        <is>
          <t>Screen-specific baseline case for Live Order Tracking &amp; Stepper Timeline</t>
        </is>
      </c>
    </row>
    <row r="306" ht="36" customHeight="1">
      <c r="A306" s="11" t="inlineStr">
        <is>
          <t>TC-305</t>
        </is>
      </c>
      <c r="B306" s="12" t="inlineStr">
        <is>
          <t>OrderTrackingTimeline</t>
        </is>
      </c>
      <c r="C306" s="12" t="inlineStr">
        <is>
          <t>Safe Vulnerability &amp; Security Checks</t>
        </is>
      </c>
      <c r="D306" s="12" t="inlineStr">
        <is>
          <t>Safe XSS Script Escaping Validation on Live Order Tracking &amp; Stepper Timeline</t>
        </is>
      </c>
      <c r="E306" s="12" t="inlineStr">
        <is>
          <t>1. Launch test runner in Security Audit Sandbox.
2. Navigate to Live Order Tracking &amp; Stepper Timeline (OrderTrackingTimeline).
3. Submit safe script payload `&lt;script&gt;alert(1)&lt;/script&gt;` into OrderTrackingTimeline fields.
4. Verify expected results and log evidence.</t>
        </is>
      </c>
      <c r="F306" s="12" t="inlineStr">
        <is>
          <t>Payload: `&lt;script&gt;alert(1)&lt;/script&gt;`</t>
        </is>
      </c>
      <c r="G306" s="12" t="inlineStr">
        <is>
          <t>Payload renders as plain text string; script does not execute.</t>
        </is>
      </c>
      <c r="H306" s="12" t="inlineStr">
        <is>
          <t>Pending Execution</t>
        </is>
      </c>
      <c r="I306" s="13" t="inlineStr">
        <is>
          <t>Not Executed</t>
        </is>
      </c>
      <c r="J306" s="11" t="inlineStr">
        <is>
          <t>Low</t>
        </is>
      </c>
      <c r="K306" s="11" t="inlineStr">
        <is>
          <t>Moderate</t>
        </is>
      </c>
      <c r="L306" s="11" t="inlineStr">
        <is>
          <t>Script Ready</t>
        </is>
      </c>
      <c r="M306" s="12" t="inlineStr">
        <is>
          <t>Security Audit Sandbox</t>
        </is>
      </c>
      <c r="N306" s="12" t="inlineStr">
        <is>
          <t>Defensive Security Audit Engine</t>
        </is>
      </c>
      <c r="O306" s="12" t="inlineStr">
        <is>
          <t>Screen-specific baseline case for Live Order Tracking &amp; Stepper Timeline</t>
        </is>
      </c>
    </row>
    <row r="307" ht="36" customHeight="1">
      <c r="A307" s="11" t="inlineStr">
        <is>
          <t>TC-306</t>
        </is>
      </c>
      <c r="B307" s="12" t="inlineStr">
        <is>
          <t>OrderTrackingTimeline</t>
        </is>
      </c>
      <c r="C307" s="12" t="inlineStr">
        <is>
          <t>Safe Vulnerability &amp; Security Checks</t>
        </is>
      </c>
      <c r="D307" s="12" t="inlineStr">
        <is>
          <t>TLS 1.3 Transport Encryption Enforcement on Live Order Tracking &amp; Stepper Timeline</t>
        </is>
      </c>
      <c r="E307" s="12" t="inlineStr">
        <is>
          <t>1. Launch test runner in Security Audit Sandbox.
2. Navigate to Live Order Tracking &amp; Stepper Timeline (OrderTrackingTimeline).
3. Inspect outbound network traffic for OrderTrackingTimeline using passive OWASP proxy.
4. Verify expected results and log evidence.</t>
        </is>
      </c>
      <c r="F307" s="12" t="inlineStr">
        <is>
          <t>Protocol: TLS 1.3 / HTTPS</t>
        </is>
      </c>
      <c r="G307" s="12" t="inlineStr">
        <is>
          <t>All HTTP connections upgrade to TLS 1.3; unencrypted HTTP blocked.</t>
        </is>
      </c>
      <c r="H307" s="12" t="inlineStr">
        <is>
          <t>Pending Execution</t>
        </is>
      </c>
      <c r="I307" s="13" t="inlineStr">
        <is>
          <t>Not Executed</t>
        </is>
      </c>
      <c r="J307" s="11" t="inlineStr">
        <is>
          <t>High</t>
        </is>
      </c>
      <c r="K307" s="11" t="inlineStr">
        <is>
          <t>Major</t>
        </is>
      </c>
      <c r="L307" s="11" t="inlineStr">
        <is>
          <t>Script Ready</t>
        </is>
      </c>
      <c r="M307" s="12" t="inlineStr">
        <is>
          <t>Security Audit Sandbox</t>
        </is>
      </c>
      <c r="N307" s="12" t="inlineStr">
        <is>
          <t>Defensive Security Audit Engine</t>
        </is>
      </c>
      <c r="O307" s="12" t="inlineStr">
        <is>
          <t>Screen-specific baseline case for Live Order Tracking &amp; Stepper Timeline</t>
        </is>
      </c>
    </row>
    <row r="308" ht="36" customHeight="1">
      <c r="A308" s="11" t="inlineStr">
        <is>
          <t>TC-307</t>
        </is>
      </c>
      <c r="B308" s="12" t="inlineStr">
        <is>
          <t>OrderTrackingTimeline</t>
        </is>
      </c>
      <c r="C308" s="12" t="inlineStr">
        <is>
          <t>Safe Vulnerability &amp; Security Checks</t>
        </is>
      </c>
      <c r="D308" s="12" t="inlineStr">
        <is>
          <t>API Rate Limiting 429 Response Check on Live Order Tracking &amp; Stepper Timeline</t>
        </is>
      </c>
      <c r="E308" s="12" t="inlineStr">
        <is>
          <t>1. Launch test runner in Security Audit Sandbox.
2. Navigate to Live Order Tracking &amp; Stepper Timeline (OrderTrackingTimeline).
3. Send 100 rapid requests within 5 seconds to OrderTrackingTimeline public endpoints.
4. Verify expected results and log evidence.</t>
        </is>
      </c>
      <c r="F308" s="12" t="inlineStr">
        <is>
          <t>Requests: 100 in 5s</t>
        </is>
      </c>
      <c r="G308" s="12" t="inlineStr">
        <is>
          <t>Rate limiter triggers HTTP 429 Too Many Requests response.</t>
        </is>
      </c>
      <c r="H308" s="12" t="inlineStr">
        <is>
          <t>Pending Execution</t>
        </is>
      </c>
      <c r="I308" s="13" t="inlineStr">
        <is>
          <t>Not Executed</t>
        </is>
      </c>
      <c r="J308" s="11" t="inlineStr">
        <is>
          <t>Medium</t>
        </is>
      </c>
      <c r="K308" s="11" t="inlineStr">
        <is>
          <t>Moderate</t>
        </is>
      </c>
      <c r="L308" s="11" t="inlineStr">
        <is>
          <t>Script Ready</t>
        </is>
      </c>
      <c r="M308" s="12" t="inlineStr">
        <is>
          <t>Security Audit Sandbox</t>
        </is>
      </c>
      <c r="N308" s="12" t="inlineStr">
        <is>
          <t>Defensive Security Audit Engine</t>
        </is>
      </c>
      <c r="O308" s="12" t="inlineStr">
        <is>
          <t>Screen-specific baseline case for Live Order Tracking &amp; Stepper Timeline</t>
        </is>
      </c>
    </row>
    <row r="309" ht="36" customHeight="1">
      <c r="A309" s="11" t="inlineStr">
        <is>
          <t>TC-308</t>
        </is>
      </c>
      <c r="B309" s="12" t="inlineStr">
        <is>
          <t>OrderTrackingTimeline</t>
        </is>
      </c>
      <c r="C309" s="12" t="inlineStr">
        <is>
          <t>Safe Vulnerability &amp; Security Checks</t>
        </is>
      </c>
      <c r="D309" s="12" t="inlineStr">
        <is>
          <t>Supabase Row Level Security (RLS) Audit on Live Order Tracking &amp; Stepper Timeline</t>
        </is>
      </c>
      <c r="E309" s="12" t="inlineStr">
        <is>
          <t>1. Launch test runner in Security Audit Sandbox.
2. Navigate to Live Order Tracking &amp; Stepper Timeline (OrderTrackingTimeline).
3. Query Supabase PostgreSQL table for OrderTrackingTimeline without auth header.
4. Verify expected results and log evidence.</t>
        </is>
      </c>
      <c r="F309" s="12" t="inlineStr">
        <is>
          <t>RLS Check: OrderTrackingTimeline_table</t>
        </is>
      </c>
      <c r="G309" s="12" t="inlineStr">
        <is>
          <t>Supabase RLS policy blocks unauthorized row query access.</t>
        </is>
      </c>
      <c r="H309" s="12" t="inlineStr">
        <is>
          <t>Pending Execution</t>
        </is>
      </c>
      <c r="I309" s="13" t="inlineStr">
        <is>
          <t>Not Executed</t>
        </is>
      </c>
      <c r="J309" s="11" t="inlineStr">
        <is>
          <t>Medium</t>
        </is>
      </c>
      <c r="K309" s="11" t="inlineStr">
        <is>
          <t>Critical</t>
        </is>
      </c>
      <c r="L309" s="11" t="inlineStr">
        <is>
          <t>Script Ready</t>
        </is>
      </c>
      <c r="M309" s="12" t="inlineStr">
        <is>
          <t>Security Audit Sandbox</t>
        </is>
      </c>
      <c r="N309" s="12" t="inlineStr">
        <is>
          <t>Defensive Security Audit Engine</t>
        </is>
      </c>
      <c r="O309" s="12" t="inlineStr">
        <is>
          <t>Screen-specific baseline case for Live Order Tracking &amp; Stepper Timeline</t>
        </is>
      </c>
    </row>
    <row r="310" ht="36" customHeight="1">
      <c r="A310" s="11" t="inlineStr">
        <is>
          <t>TC-309</t>
        </is>
      </c>
      <c r="B310" s="12" t="inlineStr">
        <is>
          <t>OrderTrackingTimeline</t>
        </is>
      </c>
      <c r="C310" s="12" t="inlineStr">
        <is>
          <t>Safe Vulnerability &amp; Security Checks</t>
        </is>
      </c>
      <c r="D310" s="12" t="inlineStr">
        <is>
          <t>Privileged Route Guard Verification on Live Order Tracking &amp; Stepper Timeline</t>
        </is>
      </c>
      <c r="E310" s="12" t="inlineStr">
        <is>
          <t>1. Launch test runner in Security Audit Sandbox.
2. Navigate to Live Order Tracking &amp; Stepper Timeline (OrderTrackingTimeline).
3. Attempt deep linking directly to restricted OrderTrackingTimeline view as unauthenticated user.
4. Verify expected results and log evidence.</t>
        </is>
      </c>
      <c r="F310" s="12" t="inlineStr">
        <is>
          <t>Route: /OrderTrackingTimeline_admin</t>
        </is>
      </c>
      <c r="G310" s="12" t="inlineStr">
        <is>
          <t>Router guard intercepts request and redirects to login screen.</t>
        </is>
      </c>
      <c r="H310" s="12" t="inlineStr">
        <is>
          <t>Pending Execution</t>
        </is>
      </c>
      <c r="I310" s="13" t="inlineStr">
        <is>
          <t>Not Executed</t>
        </is>
      </c>
      <c r="J310" s="11" t="inlineStr">
        <is>
          <t>High</t>
        </is>
      </c>
      <c r="K310" s="11" t="inlineStr">
        <is>
          <t>Moderate</t>
        </is>
      </c>
      <c r="L310" s="11" t="inlineStr">
        <is>
          <t>Script Ready</t>
        </is>
      </c>
      <c r="M310" s="12" t="inlineStr">
        <is>
          <t>Security Audit Sandbox</t>
        </is>
      </c>
      <c r="N310" s="12" t="inlineStr">
        <is>
          <t>Defensive Security Audit Engine</t>
        </is>
      </c>
      <c r="O310" s="12" t="inlineStr">
        <is>
          <t>Screen-specific baseline case for Live Order Tracking &amp; Stepper Timeline</t>
        </is>
      </c>
    </row>
    <row r="311" ht="36" customHeight="1">
      <c r="A311" s="11" t="inlineStr">
        <is>
          <t>TC-310</t>
        </is>
      </c>
      <c r="B311" s="12" t="inlineStr">
        <is>
          <t>OrderTrackingTimeline</t>
        </is>
      </c>
      <c r="C311" s="12" t="inlineStr">
        <is>
          <t>Safe Vulnerability &amp; Security Checks</t>
        </is>
      </c>
      <c r="D311" s="12" t="inlineStr">
        <is>
          <t>Sensitive Data Masking &amp; Log Leak Check on Live Order Tracking &amp; Stepper Timeline</t>
        </is>
      </c>
      <c r="E311" s="12" t="inlineStr">
        <is>
          <t>1. Launch test runner in Security Audit Sandbox.
2. Navigate to Live Order Tracking &amp; Stepper Timeline (OrderTrackingTimeline).
3. Audit application log files and network payloads for exposed OrderTrackingTimeline secrets.
4. Verify expected results and log evidence.</t>
        </is>
      </c>
      <c r="F311" s="12" t="inlineStr">
        <is>
          <t>Audit: Password/Token fields</t>
        </is>
      </c>
      <c r="G311" s="12" t="inlineStr">
        <is>
          <t>Sensitive credentials and PII are masked or omitted from logs.</t>
        </is>
      </c>
      <c r="H311" s="12" t="inlineStr">
        <is>
          <t>Pending Execution</t>
        </is>
      </c>
      <c r="I311" s="13" t="inlineStr">
        <is>
          <t>Not Executed</t>
        </is>
      </c>
      <c r="J311" s="11" t="inlineStr">
        <is>
          <t>Low</t>
        </is>
      </c>
      <c r="K311" s="11" t="inlineStr">
        <is>
          <t>Major</t>
        </is>
      </c>
      <c r="L311" s="11" t="inlineStr">
        <is>
          <t>Script Ready</t>
        </is>
      </c>
      <c r="M311" s="12" t="inlineStr">
        <is>
          <t>Security Audit Sandbox</t>
        </is>
      </c>
      <c r="N311" s="12" t="inlineStr">
        <is>
          <t>Defensive Security Audit Engine</t>
        </is>
      </c>
      <c r="O311" s="12" t="inlineStr">
        <is>
          <t>Screen-specific baseline case for Live Order Tracking &amp; Stepper Timeline</t>
        </is>
      </c>
    </row>
    <row r="312" ht="36" customHeight="1">
      <c r="A312" s="11" t="inlineStr">
        <is>
          <t>TC-311</t>
        </is>
      </c>
      <c r="B312" s="12" t="inlineStr">
        <is>
          <t>ProfileTab</t>
        </is>
      </c>
      <c r="C312" s="12" t="inlineStr">
        <is>
          <t>Safe Vulnerability &amp; Security Checks</t>
        </is>
      </c>
      <c r="D312" s="12" t="inlineStr">
        <is>
          <t>Authentication Lockout &amp; Brute-Force on User Profile &amp; Account Overview Tab</t>
        </is>
      </c>
      <c r="E312" s="12" t="inlineStr">
        <is>
          <t>1. Launch test runner in Security Audit Sandbox.
2. Navigate to User Profile &amp; Account Overview Tab (ProfileTab).
3. Attempt 10 invalid authentication requests on ProfileTab in rapid succession.
4. Verify expected results and log evidence.</t>
        </is>
      </c>
      <c r="F312" s="12" t="inlineStr">
        <is>
          <t>Attempts: 10 invalid</t>
        </is>
      </c>
      <c r="G312" s="12" t="inlineStr">
        <is>
          <t>Account temporarily locks out after 5 failed attempts with 429 response.</t>
        </is>
      </c>
      <c r="H312" s="12" t="inlineStr">
        <is>
          <t>Pending Execution</t>
        </is>
      </c>
      <c r="I312" s="13" t="inlineStr">
        <is>
          <t>Not Executed</t>
        </is>
      </c>
      <c r="J312" s="11" t="inlineStr">
        <is>
          <t>Medium</t>
        </is>
      </c>
      <c r="K312" s="11" t="inlineStr">
        <is>
          <t>Moderate</t>
        </is>
      </c>
      <c r="L312" s="11" t="inlineStr">
        <is>
          <t>Script Ready</t>
        </is>
      </c>
      <c r="M312" s="12" t="inlineStr">
        <is>
          <t>Security Audit Sandbox</t>
        </is>
      </c>
      <c r="N312" s="12" t="inlineStr">
        <is>
          <t>Defensive Security Audit Engine</t>
        </is>
      </c>
      <c r="O312" s="12" t="inlineStr">
        <is>
          <t>Screen-specific baseline case for User Profile &amp; Account Overview Tab</t>
        </is>
      </c>
    </row>
    <row r="313" ht="36" customHeight="1">
      <c r="A313" s="11" t="inlineStr">
        <is>
          <t>TC-312</t>
        </is>
      </c>
      <c r="B313" s="12" t="inlineStr">
        <is>
          <t>ProfileTab</t>
        </is>
      </c>
      <c r="C313" s="12" t="inlineStr">
        <is>
          <t>Safe Vulnerability &amp; Security Checks</t>
        </is>
      </c>
      <c r="D313" s="12" t="inlineStr">
        <is>
          <t>Role-Based Authorization &amp; IDOR Check on User Profile &amp; Account Overview Tab</t>
        </is>
      </c>
      <c r="E313" s="12" t="inlineStr">
        <is>
          <t>1. Launch test runner in Security Audit Sandbox.
2. Navigate to User Profile &amp; Account Overview Tab (ProfileTab).
3. Attempt querying secondary user private records on ProfileTab using guest JWT.
4. Verify expected results and log evidence.</t>
        </is>
      </c>
      <c r="F313" s="12" t="inlineStr">
        <is>
          <t>IDOR Payload: ProfileTab_user_999</t>
        </is>
      </c>
      <c r="G313" s="12" t="inlineStr">
        <is>
          <t>Database and API reject request with HTTP 403 Forbidden.</t>
        </is>
      </c>
      <c r="H313" s="12" t="inlineStr">
        <is>
          <t>Pending Execution</t>
        </is>
      </c>
      <c r="I313" s="13" t="inlineStr">
        <is>
          <t>Not Executed</t>
        </is>
      </c>
      <c r="J313" s="11" t="inlineStr">
        <is>
          <t>High</t>
        </is>
      </c>
      <c r="K313" s="11" t="inlineStr">
        <is>
          <t>Major</t>
        </is>
      </c>
      <c r="L313" s="11" t="inlineStr">
        <is>
          <t>Script Ready</t>
        </is>
      </c>
      <c r="M313" s="12" t="inlineStr">
        <is>
          <t>Security Audit Sandbox</t>
        </is>
      </c>
      <c r="N313" s="12" t="inlineStr">
        <is>
          <t>Defensive Security Audit Engine</t>
        </is>
      </c>
      <c r="O313" s="12" t="inlineStr">
        <is>
          <t>Screen-specific baseline case for User Profile &amp; Account Overview Tab</t>
        </is>
      </c>
    </row>
    <row r="314" ht="36" customHeight="1">
      <c r="A314" s="11" t="inlineStr">
        <is>
          <t>TC-313</t>
        </is>
      </c>
      <c r="B314" s="12" t="inlineStr">
        <is>
          <t>ProfileTab</t>
        </is>
      </c>
      <c r="C314" s="12" t="inlineStr">
        <is>
          <t>Safe Vulnerability &amp; Security Checks</t>
        </is>
      </c>
      <c r="D314" s="12" t="inlineStr">
        <is>
          <t>Session Token Expiration &amp; Revocation on User Profile &amp; Account Overview Tab</t>
        </is>
      </c>
      <c r="E314" s="12" t="inlineStr">
        <is>
          <t>1. Launch test runner in Security Audit Sandbox.
2. Navigate to User Profile &amp; Account Overview Tab (ProfileTab).
3. Present expired JWT token to ProfileTab API endpoint, attempt data fetch.
4. Verify expected results and log evidence.</t>
        </is>
      </c>
      <c r="F314" s="12" t="inlineStr">
        <is>
          <t>JWT Token: Expired/Revoked</t>
        </is>
      </c>
      <c r="G314" s="12" t="inlineStr">
        <is>
          <t>API gateway invalidates session and redirects to login view.</t>
        </is>
      </c>
      <c r="H314" s="12" t="inlineStr">
        <is>
          <t>Pending Execution</t>
        </is>
      </c>
      <c r="I314" s="13" t="inlineStr">
        <is>
          <t>Not Executed</t>
        </is>
      </c>
      <c r="J314" s="11" t="inlineStr">
        <is>
          <t>Medium</t>
        </is>
      </c>
      <c r="K314" s="11" t="inlineStr">
        <is>
          <t>Moderate</t>
        </is>
      </c>
      <c r="L314" s="11" t="inlineStr">
        <is>
          <t>Script Ready</t>
        </is>
      </c>
      <c r="M314" s="12" t="inlineStr">
        <is>
          <t>Security Audit Sandbox</t>
        </is>
      </c>
      <c r="N314" s="12" t="inlineStr">
        <is>
          <t>Defensive Security Audit Engine</t>
        </is>
      </c>
      <c r="O314" s="12" t="inlineStr">
        <is>
          <t>Screen-specific baseline case for User Profile &amp; Account Overview Tab</t>
        </is>
      </c>
    </row>
    <row r="315" ht="36" customHeight="1">
      <c r="A315" s="11" t="inlineStr">
        <is>
          <t>TC-314</t>
        </is>
      </c>
      <c r="B315" s="12" t="inlineStr">
        <is>
          <t>ProfileTab</t>
        </is>
      </c>
      <c r="C315" s="12" t="inlineStr">
        <is>
          <t>Safe Vulnerability &amp; Security Checks</t>
        </is>
      </c>
      <c r="D315" s="12" t="inlineStr">
        <is>
          <t>Safe SQL Injection Input Defense on User Profile &amp; Account Overview Tab</t>
        </is>
      </c>
      <c r="E315" s="12" t="inlineStr">
        <is>
          <t>1. Launch test runner in Security Audit Sandbox.
2. Navigate to User Profile &amp; Account Overview Tab (ProfileTab).
3. Submit safe SQLi payload `' OR '1'='1` into text input fields on ProfileTab.
4. Verify expected results and log evidence.</t>
        </is>
      </c>
      <c r="F315" s="12" t="inlineStr">
        <is>
          <t>Payload: `' OR '1'='1`</t>
        </is>
      </c>
      <c r="G315" s="12" t="inlineStr">
        <is>
          <t>Input is parameterized/escaped cleanly; no SQL error occurs.</t>
        </is>
      </c>
      <c r="H315" s="12" t="inlineStr">
        <is>
          <t>Pending Execution</t>
        </is>
      </c>
      <c r="I315" s="13" t="inlineStr">
        <is>
          <t>Not Executed</t>
        </is>
      </c>
      <c r="J315" s="11" t="inlineStr">
        <is>
          <t>Medium</t>
        </is>
      </c>
      <c r="K315" s="11" t="inlineStr">
        <is>
          <t>Major</t>
        </is>
      </c>
      <c r="L315" s="11" t="inlineStr">
        <is>
          <t>Script Ready</t>
        </is>
      </c>
      <c r="M315" s="12" t="inlineStr">
        <is>
          <t>Security Audit Sandbox</t>
        </is>
      </c>
      <c r="N315" s="12" t="inlineStr">
        <is>
          <t>Defensive Security Audit Engine</t>
        </is>
      </c>
      <c r="O315" s="12" t="inlineStr">
        <is>
          <t>Screen-specific baseline case for User Profile &amp; Account Overview Tab</t>
        </is>
      </c>
    </row>
    <row r="316" ht="36" customHeight="1">
      <c r="A316" s="11" t="inlineStr">
        <is>
          <t>TC-315</t>
        </is>
      </c>
      <c r="B316" s="12" t="inlineStr">
        <is>
          <t>ProfileTab</t>
        </is>
      </c>
      <c r="C316" s="12" t="inlineStr">
        <is>
          <t>Safe Vulnerability &amp; Security Checks</t>
        </is>
      </c>
      <c r="D316" s="12" t="inlineStr">
        <is>
          <t>Safe XSS Script Escaping Validation on User Profile &amp; Account Overview Tab</t>
        </is>
      </c>
      <c r="E316" s="12" t="inlineStr">
        <is>
          <t>1. Launch test runner in Security Audit Sandbox.
2. Navigate to User Profile &amp; Account Overview Tab (ProfileTab).
3. Submit safe script payload `&lt;script&gt;alert(1)&lt;/script&gt;` into ProfileTab fields.
4. Verify expected results and log evidence.</t>
        </is>
      </c>
      <c r="F316" s="12" t="inlineStr">
        <is>
          <t>Payload: `&lt;script&gt;alert(1)&lt;/script&gt;`</t>
        </is>
      </c>
      <c r="G316" s="12" t="inlineStr">
        <is>
          <t>Payload renders as plain text string; script does not execute.</t>
        </is>
      </c>
      <c r="H316" s="12" t="inlineStr">
        <is>
          <t>Pending Execution</t>
        </is>
      </c>
      <c r="I316" s="13" t="inlineStr">
        <is>
          <t>Not Executed</t>
        </is>
      </c>
      <c r="J316" s="11" t="inlineStr">
        <is>
          <t>High</t>
        </is>
      </c>
      <c r="K316" s="11" t="inlineStr">
        <is>
          <t>Critical</t>
        </is>
      </c>
      <c r="L316" s="11" t="inlineStr">
        <is>
          <t>Script Ready</t>
        </is>
      </c>
      <c r="M316" s="12" t="inlineStr">
        <is>
          <t>Security Audit Sandbox</t>
        </is>
      </c>
      <c r="N316" s="12" t="inlineStr">
        <is>
          <t>Defensive Security Audit Engine</t>
        </is>
      </c>
      <c r="O316" s="12" t="inlineStr">
        <is>
          <t>Screen-specific baseline case for User Profile &amp; Account Overview Tab</t>
        </is>
      </c>
    </row>
    <row r="317" ht="36" customHeight="1">
      <c r="A317" s="11" t="inlineStr">
        <is>
          <t>TC-316</t>
        </is>
      </c>
      <c r="B317" s="12" t="inlineStr">
        <is>
          <t>ProfileTab</t>
        </is>
      </c>
      <c r="C317" s="12" t="inlineStr">
        <is>
          <t>Safe Vulnerability &amp; Security Checks</t>
        </is>
      </c>
      <c r="D317" s="12" t="inlineStr">
        <is>
          <t>TLS 1.3 Transport Encryption Enforcement on User Profile &amp; Account Overview Tab</t>
        </is>
      </c>
      <c r="E317" s="12" t="inlineStr">
        <is>
          <t>1. Launch test runner in Security Audit Sandbox.
2. Navigate to User Profile &amp; Account Overview Tab (ProfileTab).
3. Inspect outbound network traffic for ProfileTab using passive OWASP proxy.
4. Verify expected results and log evidence.</t>
        </is>
      </c>
      <c r="F317" s="12" t="inlineStr">
        <is>
          <t>Protocol: TLS 1.3 / HTTPS</t>
        </is>
      </c>
      <c r="G317" s="12" t="inlineStr">
        <is>
          <t>All HTTP connections upgrade to TLS 1.3; unencrypted HTTP blocked.</t>
        </is>
      </c>
      <c r="H317" s="12" t="inlineStr">
        <is>
          <t>Pending Execution</t>
        </is>
      </c>
      <c r="I317" s="13" t="inlineStr">
        <is>
          <t>Not Executed</t>
        </is>
      </c>
      <c r="J317" s="11" t="inlineStr">
        <is>
          <t>Medium</t>
        </is>
      </c>
      <c r="K317" s="11" t="inlineStr">
        <is>
          <t>Major</t>
        </is>
      </c>
      <c r="L317" s="11" t="inlineStr">
        <is>
          <t>Script Ready</t>
        </is>
      </c>
      <c r="M317" s="12" t="inlineStr">
        <is>
          <t>Security Audit Sandbox</t>
        </is>
      </c>
      <c r="N317" s="12" t="inlineStr">
        <is>
          <t>Defensive Security Audit Engine</t>
        </is>
      </c>
      <c r="O317" s="12" t="inlineStr">
        <is>
          <t>Screen-specific baseline case for User Profile &amp; Account Overview Tab</t>
        </is>
      </c>
    </row>
    <row r="318" ht="36" customHeight="1">
      <c r="A318" s="11" t="inlineStr">
        <is>
          <t>TC-317</t>
        </is>
      </c>
      <c r="B318" s="12" t="inlineStr">
        <is>
          <t>ProfileTab</t>
        </is>
      </c>
      <c r="C318" s="12" t="inlineStr">
        <is>
          <t>Safe Vulnerability &amp; Security Checks</t>
        </is>
      </c>
      <c r="D318" s="12" t="inlineStr">
        <is>
          <t>API Rate Limiting 429 Response Check on User Profile &amp; Account Overview Tab</t>
        </is>
      </c>
      <c r="E318" s="12" t="inlineStr">
        <is>
          <t>1. Launch test runner in Security Audit Sandbox.
2. Navigate to User Profile &amp; Account Overview Tab (ProfileTab).
3. Send 100 rapid requests within 5 seconds to ProfileTab public endpoints.
4. Verify expected results and log evidence.</t>
        </is>
      </c>
      <c r="F318" s="12" t="inlineStr">
        <is>
          <t>Requests: 100 in 5s</t>
        </is>
      </c>
      <c r="G318" s="12" t="inlineStr">
        <is>
          <t>Rate limiter triggers HTTP 429 Too Many Requests response.</t>
        </is>
      </c>
      <c r="H318" s="12" t="inlineStr">
        <is>
          <t>Pending Execution</t>
        </is>
      </c>
      <c r="I318" s="13" t="inlineStr">
        <is>
          <t>Not Executed</t>
        </is>
      </c>
      <c r="J318" s="11" t="inlineStr">
        <is>
          <t>Medium</t>
        </is>
      </c>
      <c r="K318" s="11" t="inlineStr">
        <is>
          <t>Moderate</t>
        </is>
      </c>
      <c r="L318" s="11" t="inlineStr">
        <is>
          <t>Script Ready</t>
        </is>
      </c>
      <c r="M318" s="12" t="inlineStr">
        <is>
          <t>Security Audit Sandbox</t>
        </is>
      </c>
      <c r="N318" s="12" t="inlineStr">
        <is>
          <t>Defensive Security Audit Engine</t>
        </is>
      </c>
      <c r="O318" s="12" t="inlineStr">
        <is>
          <t>Screen-specific baseline case for User Profile &amp; Account Overview Tab</t>
        </is>
      </c>
    </row>
    <row r="319" ht="36" customHeight="1">
      <c r="A319" s="11" t="inlineStr">
        <is>
          <t>TC-318</t>
        </is>
      </c>
      <c r="B319" s="12" t="inlineStr">
        <is>
          <t>ProfileTab</t>
        </is>
      </c>
      <c r="C319" s="12" t="inlineStr">
        <is>
          <t>Safe Vulnerability &amp; Security Checks</t>
        </is>
      </c>
      <c r="D319" s="12" t="inlineStr">
        <is>
          <t>Supabase Row Level Security (RLS) Audit on User Profile &amp; Account Overview Tab</t>
        </is>
      </c>
      <c r="E319" s="12" t="inlineStr">
        <is>
          <t>1. Launch test runner in Security Audit Sandbox.
2. Navigate to User Profile &amp; Account Overview Tab (ProfileTab).
3. Query Supabase PostgreSQL table for ProfileTab without auth header.
4. Verify expected results and log evidence.</t>
        </is>
      </c>
      <c r="F319" s="12" t="inlineStr">
        <is>
          <t>RLS Check: ProfileTab_table</t>
        </is>
      </c>
      <c r="G319" s="12" t="inlineStr">
        <is>
          <t>Supabase RLS policy blocks unauthorized row query access.</t>
        </is>
      </c>
      <c r="H319" s="12" t="inlineStr">
        <is>
          <t>Pending Execution</t>
        </is>
      </c>
      <c r="I319" s="13" t="inlineStr">
        <is>
          <t>Not Executed</t>
        </is>
      </c>
      <c r="J319" s="11" t="inlineStr">
        <is>
          <t>High</t>
        </is>
      </c>
      <c r="K319" s="11" t="inlineStr">
        <is>
          <t>Major</t>
        </is>
      </c>
      <c r="L319" s="11" t="inlineStr">
        <is>
          <t>Script Ready</t>
        </is>
      </c>
      <c r="M319" s="12" t="inlineStr">
        <is>
          <t>Security Audit Sandbox</t>
        </is>
      </c>
      <c r="N319" s="12" t="inlineStr">
        <is>
          <t>Defensive Security Audit Engine</t>
        </is>
      </c>
      <c r="O319" s="12" t="inlineStr">
        <is>
          <t>Screen-specific baseline case for User Profile &amp; Account Overview Tab</t>
        </is>
      </c>
    </row>
    <row r="320" ht="36" customHeight="1">
      <c r="A320" s="11" t="inlineStr">
        <is>
          <t>TC-319</t>
        </is>
      </c>
      <c r="B320" s="12" t="inlineStr">
        <is>
          <t>ProfileTab</t>
        </is>
      </c>
      <c r="C320" s="12" t="inlineStr">
        <is>
          <t>Safe Vulnerability &amp; Security Checks</t>
        </is>
      </c>
      <c r="D320" s="12" t="inlineStr">
        <is>
          <t>Privileged Route Guard Verification on User Profile &amp; Account Overview Tab</t>
        </is>
      </c>
      <c r="E320" s="12" t="inlineStr">
        <is>
          <t>1. Launch test runner in Security Audit Sandbox.
2. Navigate to User Profile &amp; Account Overview Tab (ProfileTab).
3. Attempt deep linking directly to restricted ProfileTab view as unauthenticated user.
4. Verify expected results and log evidence.</t>
        </is>
      </c>
      <c r="F320" s="12" t="inlineStr">
        <is>
          <t>Route: /ProfileTab_admin</t>
        </is>
      </c>
      <c r="G320" s="12" t="inlineStr">
        <is>
          <t>Router guard intercepts request and redirects to login screen.</t>
        </is>
      </c>
      <c r="H320" s="12" t="inlineStr">
        <is>
          <t>Pending Execution</t>
        </is>
      </c>
      <c r="I320" s="13" t="inlineStr">
        <is>
          <t>Not Executed</t>
        </is>
      </c>
      <c r="J320" s="11" t="inlineStr">
        <is>
          <t>Medium</t>
        </is>
      </c>
      <c r="K320" s="11" t="inlineStr">
        <is>
          <t>Moderate</t>
        </is>
      </c>
      <c r="L320" s="11" t="inlineStr">
        <is>
          <t>Script Ready</t>
        </is>
      </c>
      <c r="M320" s="12" t="inlineStr">
        <is>
          <t>Security Audit Sandbox</t>
        </is>
      </c>
      <c r="N320" s="12" t="inlineStr">
        <is>
          <t>Defensive Security Audit Engine</t>
        </is>
      </c>
      <c r="O320" s="12" t="inlineStr">
        <is>
          <t>Screen-specific baseline case for User Profile &amp; Account Overview Tab</t>
        </is>
      </c>
    </row>
    <row r="321" ht="36" customHeight="1">
      <c r="A321" s="11" t="inlineStr">
        <is>
          <t>TC-320</t>
        </is>
      </c>
      <c r="B321" s="12" t="inlineStr">
        <is>
          <t>ProfileTab</t>
        </is>
      </c>
      <c r="C321" s="12" t="inlineStr">
        <is>
          <t>Safe Vulnerability &amp; Security Checks</t>
        </is>
      </c>
      <c r="D321" s="12" t="inlineStr">
        <is>
          <t>Sensitive Data Masking &amp; Log Leak Check on User Profile &amp; Account Overview Tab</t>
        </is>
      </c>
      <c r="E321" s="12" t="inlineStr">
        <is>
          <t>1. Launch test runner in Security Audit Sandbox.
2. Navigate to User Profile &amp; Account Overview Tab (ProfileTab).
3. Audit application log files and network payloads for exposed ProfileTab secrets.
4. Verify expected results and log evidence.</t>
        </is>
      </c>
      <c r="F321" s="12" t="inlineStr">
        <is>
          <t>Audit: Password/Token fields</t>
        </is>
      </c>
      <c r="G321" s="12" t="inlineStr">
        <is>
          <t>Sensitive credentials and PII are masked or omitted from logs.</t>
        </is>
      </c>
      <c r="H321" s="12" t="inlineStr">
        <is>
          <t>Pending Execution</t>
        </is>
      </c>
      <c r="I321" s="13" t="inlineStr">
        <is>
          <t>Not Executed</t>
        </is>
      </c>
      <c r="J321" s="11" t="inlineStr">
        <is>
          <t>Low</t>
        </is>
      </c>
      <c r="K321" s="11" t="inlineStr">
        <is>
          <t>Major</t>
        </is>
      </c>
      <c r="L321" s="11" t="inlineStr">
        <is>
          <t>Script Ready</t>
        </is>
      </c>
      <c r="M321" s="12" t="inlineStr">
        <is>
          <t>Security Audit Sandbox</t>
        </is>
      </c>
      <c r="N321" s="12" t="inlineStr">
        <is>
          <t>Defensive Security Audit Engine</t>
        </is>
      </c>
      <c r="O321" s="12" t="inlineStr">
        <is>
          <t>Screen-specific baseline case for User Profile &amp; Account Overview Tab</t>
        </is>
      </c>
    </row>
    <row r="322" ht="36" customHeight="1">
      <c r="A322" s="11" t="inlineStr">
        <is>
          <t>TC-321</t>
        </is>
      </c>
      <c r="B322" s="12" t="inlineStr">
        <is>
          <t>RemindersNotificationModule</t>
        </is>
      </c>
      <c r="C322" s="12" t="inlineStr">
        <is>
          <t>Safe Vulnerability &amp; Security Checks</t>
        </is>
      </c>
      <c r="D322" s="12" t="inlineStr">
        <is>
          <t>Authentication Lockout &amp; Brute-Force on Reminders &amp; Push Notifications Module</t>
        </is>
      </c>
      <c r="E322" s="12" t="inlineStr">
        <is>
          <t>1. Launch test runner in Security Audit Sandbox.
2. Navigate to Reminders &amp; Push Notifications Module (RemindersNotificationModule).
3. Attempt 10 invalid authentication requests on RemindersNotificationModule in rapid succession.
4. Verify expected results and log evidence.</t>
        </is>
      </c>
      <c r="F322" s="12" t="inlineStr">
        <is>
          <t>Attempts: 10 invalid</t>
        </is>
      </c>
      <c r="G322" s="12" t="inlineStr">
        <is>
          <t>Account temporarily locks out after 5 failed attempts with 429 response.</t>
        </is>
      </c>
      <c r="H322" s="12" t="inlineStr">
        <is>
          <t>Pending Execution</t>
        </is>
      </c>
      <c r="I322" s="13" t="inlineStr">
        <is>
          <t>Not Executed</t>
        </is>
      </c>
      <c r="J322" s="11" t="inlineStr">
        <is>
          <t>High</t>
        </is>
      </c>
      <c r="K322" s="11" t="inlineStr">
        <is>
          <t>Moderate</t>
        </is>
      </c>
      <c r="L322" s="11" t="inlineStr">
        <is>
          <t>Script Ready</t>
        </is>
      </c>
      <c r="M322" s="12" t="inlineStr">
        <is>
          <t>Security Audit Sandbox</t>
        </is>
      </c>
      <c r="N322" s="12" t="inlineStr">
        <is>
          <t>Defensive Security Audit Engine</t>
        </is>
      </c>
      <c r="O322" s="12" t="inlineStr">
        <is>
          <t>Screen-specific baseline case for Reminders &amp; Push Notifications Module</t>
        </is>
      </c>
    </row>
    <row r="323" ht="36" customHeight="1">
      <c r="A323" s="11" t="inlineStr">
        <is>
          <t>TC-322</t>
        </is>
      </c>
      <c r="B323" s="12" t="inlineStr">
        <is>
          <t>RemindersNotificationModule</t>
        </is>
      </c>
      <c r="C323" s="12" t="inlineStr">
        <is>
          <t>Safe Vulnerability &amp; Security Checks</t>
        </is>
      </c>
      <c r="D323" s="12" t="inlineStr">
        <is>
          <t>Role-Based Authorization &amp; IDOR Check on Reminders &amp; Push Notifications Module</t>
        </is>
      </c>
      <c r="E323" s="12" t="inlineStr">
        <is>
          <t>1. Launch test runner in Security Audit Sandbox.
2. Navigate to Reminders &amp; Push Notifications Module (RemindersNotificationModule).
3. Attempt querying secondary user private records on RemindersNotificationModule using guest JWT.
4. Verify expected results and log evidence.</t>
        </is>
      </c>
      <c r="F323" s="12" t="inlineStr">
        <is>
          <t>IDOR Payload: RemindersNotificationModule_user_999</t>
        </is>
      </c>
      <c r="G323" s="12" t="inlineStr">
        <is>
          <t>Database and API reject request with HTTP 403 Forbidden.</t>
        </is>
      </c>
      <c r="H323" s="12" t="inlineStr">
        <is>
          <t>Pending Execution</t>
        </is>
      </c>
      <c r="I323" s="13" t="inlineStr">
        <is>
          <t>Not Executed</t>
        </is>
      </c>
      <c r="J323" s="11" t="inlineStr">
        <is>
          <t>Medium</t>
        </is>
      </c>
      <c r="K323" s="11" t="inlineStr">
        <is>
          <t>Critical</t>
        </is>
      </c>
      <c r="L323" s="11" t="inlineStr">
        <is>
          <t>Script Ready</t>
        </is>
      </c>
      <c r="M323" s="12" t="inlineStr">
        <is>
          <t>Security Audit Sandbox</t>
        </is>
      </c>
      <c r="N323" s="12" t="inlineStr">
        <is>
          <t>Defensive Security Audit Engine</t>
        </is>
      </c>
      <c r="O323" s="12" t="inlineStr">
        <is>
          <t>Screen-specific baseline case for Reminders &amp; Push Notifications Module</t>
        </is>
      </c>
    </row>
    <row r="324" ht="36" customHeight="1">
      <c r="A324" s="11" t="inlineStr">
        <is>
          <t>TC-323</t>
        </is>
      </c>
      <c r="B324" s="12" t="inlineStr">
        <is>
          <t>RemindersNotificationModule</t>
        </is>
      </c>
      <c r="C324" s="12" t="inlineStr">
        <is>
          <t>Safe Vulnerability &amp; Security Checks</t>
        </is>
      </c>
      <c r="D324" s="12" t="inlineStr">
        <is>
          <t>Session Token Expiration &amp; Revocation on Reminders &amp; Push Notifications Module</t>
        </is>
      </c>
      <c r="E324" s="12" t="inlineStr">
        <is>
          <t>1. Launch test runner in Security Audit Sandbox.
2. Navigate to Reminders &amp; Push Notifications Module (RemindersNotificationModule).
3. Present expired JWT token to RemindersNotificationModule API endpoint, attempt data fetch.
4. Verify expected results and log evidence.</t>
        </is>
      </c>
      <c r="F324" s="12" t="inlineStr">
        <is>
          <t>JWT Token: Expired/Revoked</t>
        </is>
      </c>
      <c r="G324" s="12" t="inlineStr">
        <is>
          <t>API gateway invalidates session and redirects to login view.</t>
        </is>
      </c>
      <c r="H324" s="12" t="inlineStr">
        <is>
          <t>Pending Execution</t>
        </is>
      </c>
      <c r="I324" s="13" t="inlineStr">
        <is>
          <t>Not Executed</t>
        </is>
      </c>
      <c r="J324" s="11" t="inlineStr">
        <is>
          <t>Medium</t>
        </is>
      </c>
      <c r="K324" s="11" t="inlineStr">
        <is>
          <t>Moderate</t>
        </is>
      </c>
      <c r="L324" s="11" t="inlineStr">
        <is>
          <t>Script Ready</t>
        </is>
      </c>
      <c r="M324" s="12" t="inlineStr">
        <is>
          <t>Security Audit Sandbox</t>
        </is>
      </c>
      <c r="N324" s="12" t="inlineStr">
        <is>
          <t>Defensive Security Audit Engine</t>
        </is>
      </c>
      <c r="O324" s="12" t="inlineStr">
        <is>
          <t>Screen-specific baseline case for Reminders &amp; Push Notifications Module</t>
        </is>
      </c>
    </row>
    <row r="325" ht="36" customHeight="1">
      <c r="A325" s="11" t="inlineStr">
        <is>
          <t>TC-324</t>
        </is>
      </c>
      <c r="B325" s="12" t="inlineStr">
        <is>
          <t>RemindersNotificationModule</t>
        </is>
      </c>
      <c r="C325" s="12" t="inlineStr">
        <is>
          <t>Safe Vulnerability &amp; Security Checks</t>
        </is>
      </c>
      <c r="D325" s="12" t="inlineStr">
        <is>
          <t>Safe SQL Injection Input Defense on Reminders &amp; Push Notifications Module</t>
        </is>
      </c>
      <c r="E325" s="12" t="inlineStr">
        <is>
          <t>1. Launch test runner in Security Audit Sandbox.
2. Navigate to Reminders &amp; Push Notifications Module (RemindersNotificationModule).
3. Submit safe SQLi payload `' OR '1'='1` into text input fields on RemindersNotificationModule.
4. Verify expected results and log evidence.</t>
        </is>
      </c>
      <c r="F325" s="12" t="inlineStr">
        <is>
          <t>Payload: `' OR '1'='1`</t>
        </is>
      </c>
      <c r="G325" s="12" t="inlineStr">
        <is>
          <t>Input is parameterized/escaped cleanly; no SQL error occurs.</t>
        </is>
      </c>
      <c r="H325" s="12" t="inlineStr">
        <is>
          <t>Pending Execution</t>
        </is>
      </c>
      <c r="I325" s="13" t="inlineStr">
        <is>
          <t>Not Executed</t>
        </is>
      </c>
      <c r="J325" s="11" t="inlineStr">
        <is>
          <t>High</t>
        </is>
      </c>
      <c r="K325" s="11" t="inlineStr">
        <is>
          <t>Major</t>
        </is>
      </c>
      <c r="L325" s="11" t="inlineStr">
        <is>
          <t>Script Ready</t>
        </is>
      </c>
      <c r="M325" s="12" t="inlineStr">
        <is>
          <t>Security Audit Sandbox</t>
        </is>
      </c>
      <c r="N325" s="12" t="inlineStr">
        <is>
          <t>Defensive Security Audit Engine</t>
        </is>
      </c>
      <c r="O325" s="12" t="inlineStr">
        <is>
          <t>Screen-specific baseline case for Reminders &amp; Push Notifications Module</t>
        </is>
      </c>
    </row>
    <row r="326" ht="36" customHeight="1">
      <c r="A326" s="11" t="inlineStr">
        <is>
          <t>TC-325</t>
        </is>
      </c>
      <c r="B326" s="12" t="inlineStr">
        <is>
          <t>RemindersNotificationModule</t>
        </is>
      </c>
      <c r="C326" s="12" t="inlineStr">
        <is>
          <t>Safe Vulnerability &amp; Security Checks</t>
        </is>
      </c>
      <c r="D326" s="12" t="inlineStr">
        <is>
          <t>Safe XSS Script Escaping Validation on Reminders &amp; Push Notifications Module</t>
        </is>
      </c>
      <c r="E326" s="12" t="inlineStr">
        <is>
          <t>1. Launch test runner in Security Audit Sandbox.
2. Navigate to Reminders &amp; Push Notifications Module (RemindersNotificationModule).
3. Submit safe script payload `&lt;script&gt;alert(1)&lt;/script&gt;` into RemindersNotificationModule fields.
4. Verify expected results and log evidence.</t>
        </is>
      </c>
      <c r="F326" s="12" t="inlineStr">
        <is>
          <t>Payload: `&lt;script&gt;alert(1)&lt;/script&gt;`</t>
        </is>
      </c>
      <c r="G326" s="12" t="inlineStr">
        <is>
          <t>Payload renders as plain text string; script does not execute.</t>
        </is>
      </c>
      <c r="H326" s="12" t="inlineStr">
        <is>
          <t>Pending Execution</t>
        </is>
      </c>
      <c r="I326" s="13" t="inlineStr">
        <is>
          <t>Not Executed</t>
        </is>
      </c>
      <c r="J326" s="11" t="inlineStr">
        <is>
          <t>Low</t>
        </is>
      </c>
      <c r="K326" s="11" t="inlineStr">
        <is>
          <t>Moderate</t>
        </is>
      </c>
      <c r="L326" s="11" t="inlineStr">
        <is>
          <t>Script Ready</t>
        </is>
      </c>
      <c r="M326" s="12" t="inlineStr">
        <is>
          <t>Security Audit Sandbox</t>
        </is>
      </c>
      <c r="N326" s="12" t="inlineStr">
        <is>
          <t>Defensive Security Audit Engine</t>
        </is>
      </c>
      <c r="O326" s="12" t="inlineStr">
        <is>
          <t>Screen-specific baseline case for Reminders &amp; Push Notifications Module</t>
        </is>
      </c>
    </row>
    <row r="327" ht="36" customHeight="1">
      <c r="A327" s="11" t="inlineStr">
        <is>
          <t>TC-326</t>
        </is>
      </c>
      <c r="B327" s="12" t="inlineStr">
        <is>
          <t>RemindersNotificationModule</t>
        </is>
      </c>
      <c r="C327" s="12" t="inlineStr">
        <is>
          <t>Safe Vulnerability &amp; Security Checks</t>
        </is>
      </c>
      <c r="D327" s="12" t="inlineStr">
        <is>
          <t>TLS 1.3 Transport Encryption Enforcement on Reminders &amp; Push Notifications Module</t>
        </is>
      </c>
      <c r="E327" s="12" t="inlineStr">
        <is>
          <t>1. Launch test runner in Security Audit Sandbox.
2. Navigate to Reminders &amp; Push Notifications Module (RemindersNotificationModule).
3. Inspect outbound network traffic for RemindersNotificationModule using passive OWASP proxy.
4. Verify expected results and log evidence.</t>
        </is>
      </c>
      <c r="F327" s="12" t="inlineStr">
        <is>
          <t>Protocol: TLS 1.3 / HTTPS</t>
        </is>
      </c>
      <c r="G327" s="12" t="inlineStr">
        <is>
          <t>All HTTP connections upgrade to TLS 1.3; unencrypted HTTP blocked.</t>
        </is>
      </c>
      <c r="H327" s="12" t="inlineStr">
        <is>
          <t>Pending Execution</t>
        </is>
      </c>
      <c r="I327" s="13" t="inlineStr">
        <is>
          <t>Not Executed</t>
        </is>
      </c>
      <c r="J327" s="11" t="inlineStr">
        <is>
          <t>Medium</t>
        </is>
      </c>
      <c r="K327" s="11" t="inlineStr">
        <is>
          <t>Major</t>
        </is>
      </c>
      <c r="L327" s="11" t="inlineStr">
        <is>
          <t>Script Ready</t>
        </is>
      </c>
      <c r="M327" s="12" t="inlineStr">
        <is>
          <t>Security Audit Sandbox</t>
        </is>
      </c>
      <c r="N327" s="12" t="inlineStr">
        <is>
          <t>Defensive Security Audit Engine</t>
        </is>
      </c>
      <c r="O327" s="12" t="inlineStr">
        <is>
          <t>Screen-specific baseline case for Reminders &amp; Push Notifications Module</t>
        </is>
      </c>
    </row>
    <row r="328" ht="36" customHeight="1">
      <c r="A328" s="11" t="inlineStr">
        <is>
          <t>TC-327</t>
        </is>
      </c>
      <c r="B328" s="12" t="inlineStr">
        <is>
          <t>RemindersNotificationModule</t>
        </is>
      </c>
      <c r="C328" s="12" t="inlineStr">
        <is>
          <t>Safe Vulnerability &amp; Security Checks</t>
        </is>
      </c>
      <c r="D328" s="12" t="inlineStr">
        <is>
          <t>API Rate Limiting 429 Response Check on Reminders &amp; Push Notifications Module</t>
        </is>
      </c>
      <c r="E328" s="12" t="inlineStr">
        <is>
          <t>1. Launch test runner in Security Audit Sandbox.
2. Navigate to Reminders &amp; Push Notifications Module (RemindersNotificationModule).
3. Send 100 rapid requests within 5 seconds to RemindersNotificationModule public endpoints.
4. Verify expected results and log evidence.</t>
        </is>
      </c>
      <c r="F328" s="12" t="inlineStr">
        <is>
          <t>Requests: 100 in 5s</t>
        </is>
      </c>
      <c r="G328" s="12" t="inlineStr">
        <is>
          <t>Rate limiter triggers HTTP 429 Too Many Requests response.</t>
        </is>
      </c>
      <c r="H328" s="12" t="inlineStr">
        <is>
          <t>Pending Execution</t>
        </is>
      </c>
      <c r="I328" s="13" t="inlineStr">
        <is>
          <t>Not Executed</t>
        </is>
      </c>
      <c r="J328" s="11" t="inlineStr">
        <is>
          <t>High</t>
        </is>
      </c>
      <c r="K328" s="11" t="inlineStr">
        <is>
          <t>Moderate</t>
        </is>
      </c>
      <c r="L328" s="11" t="inlineStr">
        <is>
          <t>Script Ready</t>
        </is>
      </c>
      <c r="M328" s="12" t="inlineStr">
        <is>
          <t>Security Audit Sandbox</t>
        </is>
      </c>
      <c r="N328" s="12" t="inlineStr">
        <is>
          <t>Defensive Security Audit Engine</t>
        </is>
      </c>
      <c r="O328" s="12" t="inlineStr">
        <is>
          <t>Screen-specific baseline case for Reminders &amp; Push Notifications Module</t>
        </is>
      </c>
    </row>
    <row r="329" ht="36" customHeight="1">
      <c r="A329" s="11" t="inlineStr">
        <is>
          <t>TC-328</t>
        </is>
      </c>
      <c r="B329" s="12" t="inlineStr">
        <is>
          <t>RemindersNotificationModule</t>
        </is>
      </c>
      <c r="C329" s="12" t="inlineStr">
        <is>
          <t>Safe Vulnerability &amp; Security Checks</t>
        </is>
      </c>
      <c r="D329" s="12" t="inlineStr">
        <is>
          <t>Supabase Row Level Security (RLS) Audit on Reminders &amp; Push Notifications Module</t>
        </is>
      </c>
      <c r="E329" s="12" t="inlineStr">
        <is>
          <t>1. Launch test runner in Security Audit Sandbox.
2. Navigate to Reminders &amp; Push Notifications Module (RemindersNotificationModule).
3. Query Supabase PostgreSQL table for RemindersNotificationModule without auth header.
4. Verify expected results and log evidence.</t>
        </is>
      </c>
      <c r="F329" s="12" t="inlineStr">
        <is>
          <t>RLS Check: RemindersNotificationModule_table</t>
        </is>
      </c>
      <c r="G329" s="12" t="inlineStr">
        <is>
          <t>Supabase RLS policy blocks unauthorized row query access.</t>
        </is>
      </c>
      <c r="H329" s="12" t="inlineStr">
        <is>
          <t>Pending Execution</t>
        </is>
      </c>
      <c r="I329" s="13" t="inlineStr">
        <is>
          <t>Not Executed</t>
        </is>
      </c>
      <c r="J329" s="11" t="inlineStr">
        <is>
          <t>Medium</t>
        </is>
      </c>
      <c r="K329" s="11" t="inlineStr">
        <is>
          <t>Major</t>
        </is>
      </c>
      <c r="L329" s="11" t="inlineStr">
        <is>
          <t>Script Ready</t>
        </is>
      </c>
      <c r="M329" s="12" t="inlineStr">
        <is>
          <t>Security Audit Sandbox</t>
        </is>
      </c>
      <c r="N329" s="12" t="inlineStr">
        <is>
          <t>Defensive Security Audit Engine</t>
        </is>
      </c>
      <c r="O329" s="12" t="inlineStr">
        <is>
          <t>Screen-specific baseline case for Reminders &amp; Push Notifications Module</t>
        </is>
      </c>
    </row>
    <row r="330" ht="36" customHeight="1">
      <c r="A330" s="11" t="inlineStr">
        <is>
          <t>TC-329</t>
        </is>
      </c>
      <c r="B330" s="12" t="inlineStr">
        <is>
          <t>RemindersNotificationModule</t>
        </is>
      </c>
      <c r="C330" s="12" t="inlineStr">
        <is>
          <t>Safe Vulnerability &amp; Security Checks</t>
        </is>
      </c>
      <c r="D330" s="12" t="inlineStr">
        <is>
          <t>Privileged Route Guard Verification on Reminders &amp; Push Notifications Module</t>
        </is>
      </c>
      <c r="E330" s="12" t="inlineStr">
        <is>
          <t>1. Launch test runner in Security Audit Sandbox.
2. Navigate to Reminders &amp; Push Notifications Module (RemindersNotificationModule).
3. Attempt deep linking directly to restricted RemindersNotificationModule view as unauthenticated user.
4. Verify expected results and log evidence.</t>
        </is>
      </c>
      <c r="F330" s="12" t="inlineStr">
        <is>
          <t>Route: /RemindersNotificationModule_admin</t>
        </is>
      </c>
      <c r="G330" s="12" t="inlineStr">
        <is>
          <t>Router guard intercepts request and redirects to login screen.</t>
        </is>
      </c>
      <c r="H330" s="12" t="inlineStr">
        <is>
          <t>Pending Execution</t>
        </is>
      </c>
      <c r="I330" s="13" t="inlineStr">
        <is>
          <t>Not Executed</t>
        </is>
      </c>
      <c r="J330" s="11" t="inlineStr">
        <is>
          <t>Medium</t>
        </is>
      </c>
      <c r="K330" s="11" t="inlineStr">
        <is>
          <t>Critical</t>
        </is>
      </c>
      <c r="L330" s="11" t="inlineStr">
        <is>
          <t>Script Ready</t>
        </is>
      </c>
      <c r="M330" s="12" t="inlineStr">
        <is>
          <t>Security Audit Sandbox</t>
        </is>
      </c>
      <c r="N330" s="12" t="inlineStr">
        <is>
          <t>Defensive Security Audit Engine</t>
        </is>
      </c>
      <c r="O330" s="12" t="inlineStr">
        <is>
          <t>Screen-specific baseline case for Reminders &amp; Push Notifications Module</t>
        </is>
      </c>
    </row>
    <row r="331" ht="36" customHeight="1">
      <c r="A331" s="11" t="inlineStr">
        <is>
          <t>TC-330</t>
        </is>
      </c>
      <c r="B331" s="12" t="inlineStr">
        <is>
          <t>RemindersNotificationModule</t>
        </is>
      </c>
      <c r="C331" s="12" t="inlineStr">
        <is>
          <t>Safe Vulnerability &amp; Security Checks</t>
        </is>
      </c>
      <c r="D331" s="12" t="inlineStr">
        <is>
          <t>Sensitive Data Masking &amp; Log Leak Check on Reminders &amp; Push Notifications Module</t>
        </is>
      </c>
      <c r="E331" s="12" t="inlineStr">
        <is>
          <t>1. Launch test runner in Security Audit Sandbox.
2. Navigate to Reminders &amp; Push Notifications Module (RemindersNotificationModule).
3. Audit application log files and network payloads for exposed RemindersNotificationModule secrets.
4. Verify expected results and log evidence.</t>
        </is>
      </c>
      <c r="F331" s="12" t="inlineStr">
        <is>
          <t>Audit: Password/Token fields</t>
        </is>
      </c>
      <c r="G331" s="12" t="inlineStr">
        <is>
          <t>Sensitive credentials and PII are masked or omitted from logs.</t>
        </is>
      </c>
      <c r="H331" s="12" t="inlineStr">
        <is>
          <t>Pending Execution</t>
        </is>
      </c>
      <c r="I331" s="13" t="inlineStr">
        <is>
          <t>Not Executed</t>
        </is>
      </c>
      <c r="J331" s="11" t="inlineStr">
        <is>
          <t>High</t>
        </is>
      </c>
      <c r="K331" s="11" t="inlineStr">
        <is>
          <t>Major</t>
        </is>
      </c>
      <c r="L331" s="11" t="inlineStr">
        <is>
          <t>Script Ready</t>
        </is>
      </c>
      <c r="M331" s="12" t="inlineStr">
        <is>
          <t>Security Audit Sandbox</t>
        </is>
      </c>
      <c r="N331" s="12" t="inlineStr">
        <is>
          <t>Defensive Security Audit Engine</t>
        </is>
      </c>
      <c r="O331" s="12" t="inlineStr">
        <is>
          <t>Screen-specific baseline case for Reminders &amp; Push Notifications Module</t>
        </is>
      </c>
    </row>
    <row r="332" ht="36" customHeight="1">
      <c r="A332" s="11" t="inlineStr">
        <is>
          <t>TC-331</t>
        </is>
      </c>
      <c r="B332" s="12" t="inlineStr">
        <is>
          <t>SettingsLocalizationModule</t>
        </is>
      </c>
      <c r="C332" s="12" t="inlineStr">
        <is>
          <t>Safe Vulnerability &amp; Security Checks</t>
        </is>
      </c>
      <c r="D332" s="12" t="inlineStr">
        <is>
          <t>Authentication Lockout &amp; Brute-Force on Language Switcher &amp; Theme Settings</t>
        </is>
      </c>
      <c r="E332" s="12" t="inlineStr">
        <is>
          <t>1. Launch test runner in Security Audit Sandbox.
2. Navigate to Language Switcher &amp; Theme Settings (SettingsLocalizationModule).
3. Attempt 10 invalid authentication requests on SettingsLocalizationModule in rapid succession.
4. Verify expected results and log evidence.</t>
        </is>
      </c>
      <c r="F332" s="12" t="inlineStr">
        <is>
          <t>Attempts: 10 invalid</t>
        </is>
      </c>
      <c r="G332" s="12" t="inlineStr">
        <is>
          <t>Account temporarily locks out after 5 failed attempts with 429 response.</t>
        </is>
      </c>
      <c r="H332" s="12" t="inlineStr">
        <is>
          <t>Pending Execution</t>
        </is>
      </c>
      <c r="I332" s="13" t="inlineStr">
        <is>
          <t>Not Executed</t>
        </is>
      </c>
      <c r="J332" s="11" t="inlineStr">
        <is>
          <t>Medium</t>
        </is>
      </c>
      <c r="K332" s="11" t="inlineStr">
        <is>
          <t>Moderate</t>
        </is>
      </c>
      <c r="L332" s="11" t="inlineStr">
        <is>
          <t>Script Ready</t>
        </is>
      </c>
      <c r="M332" s="12" t="inlineStr">
        <is>
          <t>Security Audit Sandbox</t>
        </is>
      </c>
      <c r="N332" s="12" t="inlineStr">
        <is>
          <t>Defensive Security Audit Engine</t>
        </is>
      </c>
      <c r="O332" s="12" t="inlineStr">
        <is>
          <t>Screen-specific baseline case for Language Switcher &amp; Theme Settings</t>
        </is>
      </c>
    </row>
    <row r="333" ht="36" customHeight="1">
      <c r="A333" s="11" t="inlineStr">
        <is>
          <t>TC-332</t>
        </is>
      </c>
      <c r="B333" s="12" t="inlineStr">
        <is>
          <t>SettingsLocalizationModule</t>
        </is>
      </c>
      <c r="C333" s="12" t="inlineStr">
        <is>
          <t>Safe Vulnerability &amp; Security Checks</t>
        </is>
      </c>
      <c r="D333" s="12" t="inlineStr">
        <is>
          <t>Role-Based Authorization &amp; IDOR Check on Language Switcher &amp; Theme Settings</t>
        </is>
      </c>
      <c r="E333" s="12" t="inlineStr">
        <is>
          <t>1. Launch test runner in Security Audit Sandbox.
2. Navigate to Language Switcher &amp; Theme Settings (SettingsLocalizationModule).
3. Attempt querying secondary user private records on SettingsLocalizationModule using guest JWT.
4. Verify expected results and log evidence.</t>
        </is>
      </c>
      <c r="F333" s="12" t="inlineStr">
        <is>
          <t>IDOR Payload: SettingsLocalizationModule_user_999</t>
        </is>
      </c>
      <c r="G333" s="12" t="inlineStr">
        <is>
          <t>Database and API reject request with HTTP 403 Forbidden.</t>
        </is>
      </c>
      <c r="H333" s="12" t="inlineStr">
        <is>
          <t>Pending Execution</t>
        </is>
      </c>
      <c r="I333" s="13" t="inlineStr">
        <is>
          <t>Not Executed</t>
        </is>
      </c>
      <c r="J333" s="11" t="inlineStr">
        <is>
          <t>Medium</t>
        </is>
      </c>
      <c r="K333" s="11" t="inlineStr">
        <is>
          <t>Major</t>
        </is>
      </c>
      <c r="L333" s="11" t="inlineStr">
        <is>
          <t>Script Ready</t>
        </is>
      </c>
      <c r="M333" s="12" t="inlineStr">
        <is>
          <t>Security Audit Sandbox</t>
        </is>
      </c>
      <c r="N333" s="12" t="inlineStr">
        <is>
          <t>Defensive Security Audit Engine</t>
        </is>
      </c>
      <c r="O333" s="12" t="inlineStr">
        <is>
          <t>Screen-specific baseline case for Language Switcher &amp; Theme Settings</t>
        </is>
      </c>
    </row>
    <row r="334" ht="36" customHeight="1">
      <c r="A334" s="11" t="inlineStr">
        <is>
          <t>TC-333</t>
        </is>
      </c>
      <c r="B334" s="12" t="inlineStr">
        <is>
          <t>SettingsLocalizationModule</t>
        </is>
      </c>
      <c r="C334" s="12" t="inlineStr">
        <is>
          <t>Safe Vulnerability &amp; Security Checks</t>
        </is>
      </c>
      <c r="D334" s="12" t="inlineStr">
        <is>
          <t>Session Token Expiration &amp; Revocation on Language Switcher &amp; Theme Settings</t>
        </is>
      </c>
      <c r="E334" s="12" t="inlineStr">
        <is>
          <t>1. Launch test runner in Security Audit Sandbox.
2. Navigate to Language Switcher &amp; Theme Settings (SettingsLocalizationModule).
3. Present expired JWT token to SettingsLocalizationModule API endpoint, attempt data fetch.
4. Verify expected results and log evidence.</t>
        </is>
      </c>
      <c r="F334" s="12" t="inlineStr">
        <is>
          <t>JWT Token: Expired/Revoked</t>
        </is>
      </c>
      <c r="G334" s="12" t="inlineStr">
        <is>
          <t>API gateway invalidates session and redirects to login view.</t>
        </is>
      </c>
      <c r="H334" s="12" t="inlineStr">
        <is>
          <t>Pending Execution</t>
        </is>
      </c>
      <c r="I334" s="13" t="inlineStr">
        <is>
          <t>Not Executed</t>
        </is>
      </c>
      <c r="J334" s="11" t="inlineStr">
        <is>
          <t>High</t>
        </is>
      </c>
      <c r="K334" s="11" t="inlineStr">
        <is>
          <t>Moderate</t>
        </is>
      </c>
      <c r="L334" s="11" t="inlineStr">
        <is>
          <t>Script Ready</t>
        </is>
      </c>
      <c r="M334" s="12" t="inlineStr">
        <is>
          <t>Security Audit Sandbox</t>
        </is>
      </c>
      <c r="N334" s="12" t="inlineStr">
        <is>
          <t>Defensive Security Audit Engine</t>
        </is>
      </c>
      <c r="O334" s="12" t="inlineStr">
        <is>
          <t>Screen-specific baseline case for Language Switcher &amp; Theme Settings</t>
        </is>
      </c>
    </row>
    <row r="335" ht="36" customHeight="1">
      <c r="A335" s="11" t="inlineStr">
        <is>
          <t>TC-334</t>
        </is>
      </c>
      <c r="B335" s="12" t="inlineStr">
        <is>
          <t>SettingsLocalizationModule</t>
        </is>
      </c>
      <c r="C335" s="12" t="inlineStr">
        <is>
          <t>Safe Vulnerability &amp; Security Checks</t>
        </is>
      </c>
      <c r="D335" s="12" t="inlineStr">
        <is>
          <t>Safe SQL Injection Input Defense on Language Switcher &amp; Theme Settings</t>
        </is>
      </c>
      <c r="E335" s="12" t="inlineStr">
        <is>
          <t>1. Launch test runner in Security Audit Sandbox.
2. Navigate to Language Switcher &amp; Theme Settings (SettingsLocalizationModule).
3. Submit safe SQLi payload `' OR '1'='1` into text input fields on SettingsLocalizationModule.
4. Verify expected results and log evidence.</t>
        </is>
      </c>
      <c r="F335" s="12" t="inlineStr">
        <is>
          <t>Payload: `' OR '1'='1`</t>
        </is>
      </c>
      <c r="G335" s="12" t="inlineStr">
        <is>
          <t>Input is parameterized/escaped cleanly; no SQL error occurs.</t>
        </is>
      </c>
      <c r="H335" s="12" t="inlineStr">
        <is>
          <t>Pending Execution</t>
        </is>
      </c>
      <c r="I335" s="13" t="inlineStr">
        <is>
          <t>Not Executed</t>
        </is>
      </c>
      <c r="J335" s="11" t="inlineStr">
        <is>
          <t>Medium</t>
        </is>
      </c>
      <c r="K335" s="11" t="inlineStr">
        <is>
          <t>Major</t>
        </is>
      </c>
      <c r="L335" s="11" t="inlineStr">
        <is>
          <t>Script Ready</t>
        </is>
      </c>
      <c r="M335" s="12" t="inlineStr">
        <is>
          <t>Security Audit Sandbox</t>
        </is>
      </c>
      <c r="N335" s="12" t="inlineStr">
        <is>
          <t>Defensive Security Audit Engine</t>
        </is>
      </c>
      <c r="O335" s="12" t="inlineStr">
        <is>
          <t>Screen-specific baseline case for Language Switcher &amp; Theme Settings</t>
        </is>
      </c>
    </row>
    <row r="336" ht="36" customHeight="1">
      <c r="A336" s="11" t="inlineStr">
        <is>
          <t>TC-335</t>
        </is>
      </c>
      <c r="B336" s="12" t="inlineStr">
        <is>
          <t>SettingsLocalizationModule</t>
        </is>
      </c>
      <c r="C336" s="12" t="inlineStr">
        <is>
          <t>Safe Vulnerability &amp; Security Checks</t>
        </is>
      </c>
      <c r="D336" s="12" t="inlineStr">
        <is>
          <t>Safe XSS Script Escaping Validation on Language Switcher &amp; Theme Settings</t>
        </is>
      </c>
      <c r="E336" s="12" t="inlineStr">
        <is>
          <t>1. Launch test runner in Security Audit Sandbox.
2. Navigate to Language Switcher &amp; Theme Settings (SettingsLocalizationModule).
3. Submit safe script payload `&lt;script&gt;alert(1)&lt;/script&gt;` into SettingsLocalizationModule fields.
4. Verify expected results and log evidence.</t>
        </is>
      </c>
      <c r="F336" s="12" t="inlineStr">
        <is>
          <t>Payload: `&lt;script&gt;alert(1)&lt;/script&gt;`</t>
        </is>
      </c>
      <c r="G336" s="12" t="inlineStr">
        <is>
          <t>Payload renders as plain text string; script does not execute.</t>
        </is>
      </c>
      <c r="H336" s="12" t="inlineStr">
        <is>
          <t>Pending Execution</t>
        </is>
      </c>
      <c r="I336" s="13" t="inlineStr">
        <is>
          <t>Not Executed</t>
        </is>
      </c>
      <c r="J336" s="11" t="inlineStr">
        <is>
          <t>Low</t>
        </is>
      </c>
      <c r="K336" s="11" t="inlineStr">
        <is>
          <t>Moderate</t>
        </is>
      </c>
      <c r="L336" s="11" t="inlineStr">
        <is>
          <t>Script Ready</t>
        </is>
      </c>
      <c r="M336" s="12" t="inlineStr">
        <is>
          <t>Security Audit Sandbox</t>
        </is>
      </c>
      <c r="N336" s="12" t="inlineStr">
        <is>
          <t>Defensive Security Audit Engine</t>
        </is>
      </c>
      <c r="O336" s="12" t="inlineStr">
        <is>
          <t>Screen-specific baseline case for Language Switcher &amp; Theme Settings</t>
        </is>
      </c>
    </row>
    <row r="337" ht="36" customHeight="1">
      <c r="A337" s="11" t="inlineStr">
        <is>
          <t>TC-336</t>
        </is>
      </c>
      <c r="B337" s="12" t="inlineStr">
        <is>
          <t>SettingsLocalizationModule</t>
        </is>
      </c>
      <c r="C337" s="12" t="inlineStr">
        <is>
          <t>Safe Vulnerability &amp; Security Checks</t>
        </is>
      </c>
      <c r="D337" s="12" t="inlineStr">
        <is>
          <t>TLS 1.3 Transport Encryption Enforcement on Language Switcher &amp; Theme Settings</t>
        </is>
      </c>
      <c r="E337" s="12" t="inlineStr">
        <is>
          <t>1. Launch test runner in Security Audit Sandbox.
2. Navigate to Language Switcher &amp; Theme Settings (SettingsLocalizationModule).
3. Inspect outbound network traffic for SettingsLocalizationModule using passive OWASP proxy.
4. Verify expected results and log evidence.</t>
        </is>
      </c>
      <c r="F337" s="12" t="inlineStr">
        <is>
          <t>Protocol: TLS 1.3 / HTTPS</t>
        </is>
      </c>
      <c r="G337" s="12" t="inlineStr">
        <is>
          <t>All HTTP connections upgrade to TLS 1.3; unencrypted HTTP blocked.</t>
        </is>
      </c>
      <c r="H337" s="12" t="inlineStr">
        <is>
          <t>Pending Execution</t>
        </is>
      </c>
      <c r="I337" s="13" t="inlineStr">
        <is>
          <t>Not Executed</t>
        </is>
      </c>
      <c r="J337" s="11" t="inlineStr">
        <is>
          <t>High</t>
        </is>
      </c>
      <c r="K337" s="11" t="inlineStr">
        <is>
          <t>Critical</t>
        </is>
      </c>
      <c r="L337" s="11" t="inlineStr">
        <is>
          <t>Script Ready</t>
        </is>
      </c>
      <c r="M337" s="12" t="inlineStr">
        <is>
          <t>Security Audit Sandbox</t>
        </is>
      </c>
      <c r="N337" s="12" t="inlineStr">
        <is>
          <t>Defensive Security Audit Engine</t>
        </is>
      </c>
      <c r="O337" s="12" t="inlineStr">
        <is>
          <t>Screen-specific baseline case for Language Switcher &amp; Theme Settings</t>
        </is>
      </c>
    </row>
    <row r="338" ht="36" customHeight="1">
      <c r="A338" s="11" t="inlineStr">
        <is>
          <t>TC-337</t>
        </is>
      </c>
      <c r="B338" s="12" t="inlineStr">
        <is>
          <t>SettingsLocalizationModule</t>
        </is>
      </c>
      <c r="C338" s="12" t="inlineStr">
        <is>
          <t>Safe Vulnerability &amp; Security Checks</t>
        </is>
      </c>
      <c r="D338" s="12" t="inlineStr">
        <is>
          <t>API Rate Limiting 429 Response Check on Language Switcher &amp; Theme Settings</t>
        </is>
      </c>
      <c r="E338" s="12" t="inlineStr">
        <is>
          <t>1. Launch test runner in Security Audit Sandbox.
2. Navigate to Language Switcher &amp; Theme Settings (SettingsLocalizationModule).
3. Send 100 rapid requests within 5 seconds to SettingsLocalizationModule public endpoints.
4. Verify expected results and log evidence.</t>
        </is>
      </c>
      <c r="F338" s="12" t="inlineStr">
        <is>
          <t>Requests: 100 in 5s</t>
        </is>
      </c>
      <c r="G338" s="12" t="inlineStr">
        <is>
          <t>Rate limiter triggers HTTP 429 Too Many Requests response.</t>
        </is>
      </c>
      <c r="H338" s="12" t="inlineStr">
        <is>
          <t>Pending Execution</t>
        </is>
      </c>
      <c r="I338" s="13" t="inlineStr">
        <is>
          <t>Not Executed</t>
        </is>
      </c>
      <c r="J338" s="11" t="inlineStr">
        <is>
          <t>Medium</t>
        </is>
      </c>
      <c r="K338" s="11" t="inlineStr">
        <is>
          <t>Moderate</t>
        </is>
      </c>
      <c r="L338" s="11" t="inlineStr">
        <is>
          <t>Script Ready</t>
        </is>
      </c>
      <c r="M338" s="12" t="inlineStr">
        <is>
          <t>Security Audit Sandbox</t>
        </is>
      </c>
      <c r="N338" s="12" t="inlineStr">
        <is>
          <t>Defensive Security Audit Engine</t>
        </is>
      </c>
      <c r="O338" s="12" t="inlineStr">
        <is>
          <t>Screen-specific baseline case for Language Switcher &amp; Theme Settings</t>
        </is>
      </c>
    </row>
    <row r="339" ht="36" customHeight="1">
      <c r="A339" s="11" t="inlineStr">
        <is>
          <t>TC-338</t>
        </is>
      </c>
      <c r="B339" s="12" t="inlineStr">
        <is>
          <t>SettingsLocalizationModule</t>
        </is>
      </c>
      <c r="C339" s="12" t="inlineStr">
        <is>
          <t>Safe Vulnerability &amp; Security Checks</t>
        </is>
      </c>
      <c r="D339" s="12" t="inlineStr">
        <is>
          <t>Supabase Row Level Security (RLS) Audit on Language Switcher &amp; Theme Settings</t>
        </is>
      </c>
      <c r="E339" s="12" t="inlineStr">
        <is>
          <t>1. Launch test runner in Security Audit Sandbox.
2. Navigate to Language Switcher &amp; Theme Settings (SettingsLocalizationModule).
3. Query Supabase PostgreSQL table for SettingsLocalizationModule without auth header.
4. Verify expected results and log evidence.</t>
        </is>
      </c>
      <c r="F339" s="12" t="inlineStr">
        <is>
          <t>RLS Check: SettingsLocalizationModule_table</t>
        </is>
      </c>
      <c r="G339" s="12" t="inlineStr">
        <is>
          <t>Supabase RLS policy blocks unauthorized row query access.</t>
        </is>
      </c>
      <c r="H339" s="12" t="inlineStr">
        <is>
          <t>Pending Execution</t>
        </is>
      </c>
      <c r="I339" s="13" t="inlineStr">
        <is>
          <t>Not Executed</t>
        </is>
      </c>
      <c r="J339" s="11" t="inlineStr">
        <is>
          <t>Medium</t>
        </is>
      </c>
      <c r="K339" s="11" t="inlineStr">
        <is>
          <t>Major</t>
        </is>
      </c>
      <c r="L339" s="11" t="inlineStr">
        <is>
          <t>Script Ready</t>
        </is>
      </c>
      <c r="M339" s="12" t="inlineStr">
        <is>
          <t>Security Audit Sandbox</t>
        </is>
      </c>
      <c r="N339" s="12" t="inlineStr">
        <is>
          <t>Defensive Security Audit Engine</t>
        </is>
      </c>
      <c r="O339" s="12" t="inlineStr">
        <is>
          <t>Screen-specific baseline case for Language Switcher &amp; Theme Settings</t>
        </is>
      </c>
    </row>
    <row r="340" ht="36" customHeight="1">
      <c r="A340" s="11" t="inlineStr">
        <is>
          <t>TC-339</t>
        </is>
      </c>
      <c r="B340" s="12" t="inlineStr">
        <is>
          <t>SettingsLocalizationModule</t>
        </is>
      </c>
      <c r="C340" s="12" t="inlineStr">
        <is>
          <t>Safe Vulnerability &amp; Security Checks</t>
        </is>
      </c>
      <c r="D340" s="12" t="inlineStr">
        <is>
          <t>Privileged Route Guard Verification on Language Switcher &amp; Theme Settings</t>
        </is>
      </c>
      <c r="E340" s="12" t="inlineStr">
        <is>
          <t>1. Launch test runner in Security Audit Sandbox.
2. Navigate to Language Switcher &amp; Theme Settings (SettingsLocalizationModule).
3. Attempt deep linking directly to restricted SettingsLocalizationModule view as unauthenticated user.
4. Verify expected results and log evidence.</t>
        </is>
      </c>
      <c r="F340" s="12" t="inlineStr">
        <is>
          <t>Route: /SettingsLocalizationModule_admin</t>
        </is>
      </c>
      <c r="G340" s="12" t="inlineStr">
        <is>
          <t>Router guard intercepts request and redirects to login screen.</t>
        </is>
      </c>
      <c r="H340" s="12" t="inlineStr">
        <is>
          <t>Pending Execution</t>
        </is>
      </c>
      <c r="I340" s="13" t="inlineStr">
        <is>
          <t>Not Executed</t>
        </is>
      </c>
      <c r="J340" s="11" t="inlineStr">
        <is>
          <t>High</t>
        </is>
      </c>
      <c r="K340" s="11" t="inlineStr">
        <is>
          <t>Moderate</t>
        </is>
      </c>
      <c r="L340" s="11" t="inlineStr">
        <is>
          <t>Script Ready</t>
        </is>
      </c>
      <c r="M340" s="12" t="inlineStr">
        <is>
          <t>Security Audit Sandbox</t>
        </is>
      </c>
      <c r="N340" s="12" t="inlineStr">
        <is>
          <t>Defensive Security Audit Engine</t>
        </is>
      </c>
      <c r="O340" s="12" t="inlineStr">
        <is>
          <t>Screen-specific baseline case for Language Switcher &amp; Theme Settings</t>
        </is>
      </c>
    </row>
    <row r="341" ht="36" customHeight="1">
      <c r="A341" s="11" t="inlineStr">
        <is>
          <t>TC-340</t>
        </is>
      </c>
      <c r="B341" s="12" t="inlineStr">
        <is>
          <t>SettingsLocalizationModule</t>
        </is>
      </c>
      <c r="C341" s="12" t="inlineStr">
        <is>
          <t>Safe Vulnerability &amp; Security Checks</t>
        </is>
      </c>
      <c r="D341" s="12" t="inlineStr">
        <is>
          <t>Sensitive Data Masking &amp; Log Leak Check on Language Switcher &amp; Theme Settings</t>
        </is>
      </c>
      <c r="E341" s="12" t="inlineStr">
        <is>
          <t>1. Launch test runner in Security Audit Sandbox.
2. Navigate to Language Switcher &amp; Theme Settings (SettingsLocalizationModule).
3. Audit application log files and network payloads for exposed SettingsLocalizationModule secrets.
4. Verify expected results and log evidence.</t>
        </is>
      </c>
      <c r="F341" s="12" t="inlineStr">
        <is>
          <t>Audit: Password/Token fields</t>
        </is>
      </c>
      <c r="G341" s="12" t="inlineStr">
        <is>
          <t>Sensitive credentials and PII are masked or omitted from logs.</t>
        </is>
      </c>
      <c r="H341" s="12" t="inlineStr">
        <is>
          <t>Pending Execution</t>
        </is>
      </c>
      <c r="I341" s="13" t="inlineStr">
        <is>
          <t>Not Executed</t>
        </is>
      </c>
      <c r="J341" s="11" t="inlineStr">
        <is>
          <t>Low</t>
        </is>
      </c>
      <c r="K341" s="11" t="inlineStr">
        <is>
          <t>Major</t>
        </is>
      </c>
      <c r="L341" s="11" t="inlineStr">
        <is>
          <t>Script Ready</t>
        </is>
      </c>
      <c r="M341" s="12" t="inlineStr">
        <is>
          <t>Security Audit Sandbox</t>
        </is>
      </c>
      <c r="N341" s="12" t="inlineStr">
        <is>
          <t>Defensive Security Audit Engine</t>
        </is>
      </c>
      <c r="O341" s="12" t="inlineStr">
        <is>
          <t>Screen-specific baseline case for Language Switcher &amp; Theme Settings</t>
        </is>
      </c>
    </row>
    <row r="342" ht="36" customHeight="1">
      <c r="A342" s="11" t="inlineStr">
        <is>
          <t>TC-341</t>
        </is>
      </c>
      <c r="B342" s="12" t="inlineStr">
        <is>
          <t>SupabaseIntegrationModule</t>
        </is>
      </c>
      <c r="C342" s="12" t="inlineStr">
        <is>
          <t>Safe Vulnerability &amp; Security Checks</t>
        </is>
      </c>
      <c r="D342" s="12" t="inlineStr">
        <is>
          <t>Authentication Lockout &amp; Brute-Force on Supabase PostgreSQL Database Sync</t>
        </is>
      </c>
      <c r="E342" s="12" t="inlineStr">
        <is>
          <t>1. Launch test runner in Security Audit Sandbox.
2. Navigate to Supabase PostgreSQL Database Sync (SupabaseIntegrationModule).
3. Attempt 10 invalid authentication requests on SupabaseIntegrationModule in rapid succession.
4. Verify expected results and log evidence.</t>
        </is>
      </c>
      <c r="F342" s="12" t="inlineStr">
        <is>
          <t>Attempts: 10 invalid</t>
        </is>
      </c>
      <c r="G342" s="12" t="inlineStr">
        <is>
          <t>Account temporarily locks out after 5 failed attempts with 429 response.</t>
        </is>
      </c>
      <c r="H342" s="12" t="inlineStr">
        <is>
          <t>Pending Execution</t>
        </is>
      </c>
      <c r="I342" s="13" t="inlineStr">
        <is>
          <t>Not Executed</t>
        </is>
      </c>
      <c r="J342" s="11" t="inlineStr">
        <is>
          <t>Medium</t>
        </is>
      </c>
      <c r="K342" s="11" t="inlineStr">
        <is>
          <t>Moderate</t>
        </is>
      </c>
      <c r="L342" s="11" t="inlineStr">
        <is>
          <t>Script Ready</t>
        </is>
      </c>
      <c r="M342" s="12" t="inlineStr">
        <is>
          <t>Security Audit Sandbox</t>
        </is>
      </c>
      <c r="N342" s="12" t="inlineStr">
        <is>
          <t>Defensive Security Audit Engine</t>
        </is>
      </c>
      <c r="O342" s="12" t="inlineStr">
        <is>
          <t>Screen-specific baseline case for Supabase PostgreSQL Database Sync</t>
        </is>
      </c>
    </row>
    <row r="343" ht="36" customHeight="1">
      <c r="A343" s="11" t="inlineStr">
        <is>
          <t>TC-342</t>
        </is>
      </c>
      <c r="B343" s="12" t="inlineStr">
        <is>
          <t>SupabaseIntegrationModule</t>
        </is>
      </c>
      <c r="C343" s="12" t="inlineStr">
        <is>
          <t>Safe Vulnerability &amp; Security Checks</t>
        </is>
      </c>
      <c r="D343" s="12" t="inlineStr">
        <is>
          <t>Role-Based Authorization &amp; IDOR Check on Supabase PostgreSQL Database Sync</t>
        </is>
      </c>
      <c r="E343" s="12" t="inlineStr">
        <is>
          <t>1. Launch test runner in Security Audit Sandbox.
2. Navigate to Supabase PostgreSQL Database Sync (SupabaseIntegrationModule).
3. Attempt querying secondary user private records on SupabaseIntegrationModule using guest JWT.
4. Verify expected results and log evidence.</t>
        </is>
      </c>
      <c r="F343" s="12" t="inlineStr">
        <is>
          <t>IDOR Payload: SupabaseIntegrationModule_user_999</t>
        </is>
      </c>
      <c r="G343" s="12" t="inlineStr">
        <is>
          <t>Database and API reject request with HTTP 403 Forbidden.</t>
        </is>
      </c>
      <c r="H343" s="12" t="inlineStr">
        <is>
          <t>Pending Execution</t>
        </is>
      </c>
      <c r="I343" s="13" t="inlineStr">
        <is>
          <t>Not Executed</t>
        </is>
      </c>
      <c r="J343" s="11" t="inlineStr">
        <is>
          <t>High</t>
        </is>
      </c>
      <c r="K343" s="11" t="inlineStr">
        <is>
          <t>Major</t>
        </is>
      </c>
      <c r="L343" s="11" t="inlineStr">
        <is>
          <t>Script Ready</t>
        </is>
      </c>
      <c r="M343" s="12" t="inlineStr">
        <is>
          <t>Security Audit Sandbox</t>
        </is>
      </c>
      <c r="N343" s="12" t="inlineStr">
        <is>
          <t>Defensive Security Audit Engine</t>
        </is>
      </c>
      <c r="O343" s="12" t="inlineStr">
        <is>
          <t>Screen-specific baseline case for Supabase PostgreSQL Database Sync</t>
        </is>
      </c>
    </row>
    <row r="344" ht="36" customHeight="1">
      <c r="A344" s="11" t="inlineStr">
        <is>
          <t>TC-343</t>
        </is>
      </c>
      <c r="B344" s="12" t="inlineStr">
        <is>
          <t>SupabaseIntegrationModule</t>
        </is>
      </c>
      <c r="C344" s="12" t="inlineStr">
        <is>
          <t>Safe Vulnerability &amp; Security Checks</t>
        </is>
      </c>
      <c r="D344" s="12" t="inlineStr">
        <is>
          <t>Session Token Expiration &amp; Revocation on Supabase PostgreSQL Database Sync</t>
        </is>
      </c>
      <c r="E344" s="12" t="inlineStr">
        <is>
          <t>1. Launch test runner in Security Audit Sandbox.
2. Navigate to Supabase PostgreSQL Database Sync (SupabaseIntegrationModule).
3. Present expired JWT token to SupabaseIntegrationModule API endpoint, attempt data fetch.
4. Verify expected results and log evidence.</t>
        </is>
      </c>
      <c r="F344" s="12" t="inlineStr">
        <is>
          <t>JWT Token: Expired/Revoked</t>
        </is>
      </c>
      <c r="G344" s="12" t="inlineStr">
        <is>
          <t>API gateway invalidates session and redirects to login view.</t>
        </is>
      </c>
      <c r="H344" s="12" t="inlineStr">
        <is>
          <t>Pending Execution</t>
        </is>
      </c>
      <c r="I344" s="13" t="inlineStr">
        <is>
          <t>Not Executed</t>
        </is>
      </c>
      <c r="J344" s="11" t="inlineStr">
        <is>
          <t>Medium</t>
        </is>
      </c>
      <c r="K344" s="11" t="inlineStr">
        <is>
          <t>Critical</t>
        </is>
      </c>
      <c r="L344" s="11" t="inlineStr">
        <is>
          <t>Script Ready</t>
        </is>
      </c>
      <c r="M344" s="12" t="inlineStr">
        <is>
          <t>Security Audit Sandbox</t>
        </is>
      </c>
      <c r="N344" s="12" t="inlineStr">
        <is>
          <t>Defensive Security Audit Engine</t>
        </is>
      </c>
      <c r="O344" s="12" t="inlineStr">
        <is>
          <t>Screen-specific baseline case for Supabase PostgreSQL Database Sync</t>
        </is>
      </c>
    </row>
    <row r="345" ht="36" customHeight="1">
      <c r="A345" s="11" t="inlineStr">
        <is>
          <t>TC-344</t>
        </is>
      </c>
      <c r="B345" s="12" t="inlineStr">
        <is>
          <t>SupabaseIntegrationModule</t>
        </is>
      </c>
      <c r="C345" s="12" t="inlineStr">
        <is>
          <t>Safe Vulnerability &amp; Security Checks</t>
        </is>
      </c>
      <c r="D345" s="12" t="inlineStr">
        <is>
          <t>Safe SQL Injection Input Defense on Supabase PostgreSQL Database Sync</t>
        </is>
      </c>
      <c r="E345" s="12" t="inlineStr">
        <is>
          <t>1. Launch test runner in Security Audit Sandbox.
2. Navigate to Supabase PostgreSQL Database Sync (SupabaseIntegrationModule).
3. Submit safe SQLi payload `' OR '1'='1` into text input fields on SupabaseIntegrationModule.
4. Verify expected results and log evidence.</t>
        </is>
      </c>
      <c r="F345" s="12" t="inlineStr">
        <is>
          <t>Payload: `' OR '1'='1`</t>
        </is>
      </c>
      <c r="G345" s="12" t="inlineStr">
        <is>
          <t>Input is parameterized/escaped cleanly; no SQL error occurs.</t>
        </is>
      </c>
      <c r="H345" s="12" t="inlineStr">
        <is>
          <t>Pending Execution</t>
        </is>
      </c>
      <c r="I345" s="13" t="inlineStr">
        <is>
          <t>Not Executed</t>
        </is>
      </c>
      <c r="J345" s="11" t="inlineStr">
        <is>
          <t>Medium</t>
        </is>
      </c>
      <c r="K345" s="11" t="inlineStr">
        <is>
          <t>Major</t>
        </is>
      </c>
      <c r="L345" s="11" t="inlineStr">
        <is>
          <t>Script Ready</t>
        </is>
      </c>
      <c r="M345" s="12" t="inlineStr">
        <is>
          <t>Security Audit Sandbox</t>
        </is>
      </c>
      <c r="N345" s="12" t="inlineStr">
        <is>
          <t>Defensive Security Audit Engine</t>
        </is>
      </c>
      <c r="O345" s="12" t="inlineStr">
        <is>
          <t>Screen-specific baseline case for Supabase PostgreSQL Database Sync</t>
        </is>
      </c>
    </row>
    <row r="346" ht="36" customHeight="1">
      <c r="A346" s="11" t="inlineStr">
        <is>
          <t>TC-345</t>
        </is>
      </c>
      <c r="B346" s="12" t="inlineStr">
        <is>
          <t>SupabaseIntegrationModule</t>
        </is>
      </c>
      <c r="C346" s="12" t="inlineStr">
        <is>
          <t>Safe Vulnerability &amp; Security Checks</t>
        </is>
      </c>
      <c r="D346" s="12" t="inlineStr">
        <is>
          <t>Safe XSS Script Escaping Validation on Supabase PostgreSQL Database Sync</t>
        </is>
      </c>
      <c r="E346" s="12" t="inlineStr">
        <is>
          <t>1. Launch test runner in Security Audit Sandbox.
2. Navigate to Supabase PostgreSQL Database Sync (SupabaseIntegrationModule).
3. Submit safe script payload `&lt;script&gt;alert(1)&lt;/script&gt;` into SupabaseIntegrationModule fields.
4. Verify expected results and log evidence.</t>
        </is>
      </c>
      <c r="F346" s="12" t="inlineStr">
        <is>
          <t>Payload: `&lt;script&gt;alert(1)&lt;/script&gt;`</t>
        </is>
      </c>
      <c r="G346" s="12" t="inlineStr">
        <is>
          <t>Payload renders as plain text string; script does not execute.</t>
        </is>
      </c>
      <c r="H346" s="12" t="inlineStr">
        <is>
          <t>Pending Execution</t>
        </is>
      </c>
      <c r="I346" s="13" t="inlineStr">
        <is>
          <t>Not Executed</t>
        </is>
      </c>
      <c r="J346" s="11" t="inlineStr">
        <is>
          <t>High</t>
        </is>
      </c>
      <c r="K346" s="11" t="inlineStr">
        <is>
          <t>Moderate</t>
        </is>
      </c>
      <c r="L346" s="11" t="inlineStr">
        <is>
          <t>Script Ready</t>
        </is>
      </c>
      <c r="M346" s="12" t="inlineStr">
        <is>
          <t>Security Audit Sandbox</t>
        </is>
      </c>
      <c r="N346" s="12" t="inlineStr">
        <is>
          <t>Defensive Security Audit Engine</t>
        </is>
      </c>
      <c r="O346" s="12" t="inlineStr">
        <is>
          <t>Screen-specific baseline case for Supabase PostgreSQL Database Sync</t>
        </is>
      </c>
    </row>
    <row r="347" ht="36" customHeight="1">
      <c r="A347" s="11" t="inlineStr">
        <is>
          <t>TC-346</t>
        </is>
      </c>
      <c r="B347" s="12" t="inlineStr">
        <is>
          <t>SupabaseIntegrationModule</t>
        </is>
      </c>
      <c r="C347" s="12" t="inlineStr">
        <is>
          <t>Safe Vulnerability &amp; Security Checks</t>
        </is>
      </c>
      <c r="D347" s="12" t="inlineStr">
        <is>
          <t>TLS 1.3 Transport Encryption Enforcement on Supabase PostgreSQL Database Sync</t>
        </is>
      </c>
      <c r="E347" s="12" t="inlineStr">
        <is>
          <t>1. Launch test runner in Security Audit Sandbox.
2. Navigate to Supabase PostgreSQL Database Sync (SupabaseIntegrationModule).
3. Inspect outbound network traffic for SupabaseIntegrationModule using passive OWASP proxy.
4. Verify expected results and log evidence.</t>
        </is>
      </c>
      <c r="F347" s="12" t="inlineStr">
        <is>
          <t>Protocol: TLS 1.3 / HTTPS</t>
        </is>
      </c>
      <c r="G347" s="12" t="inlineStr">
        <is>
          <t>All HTTP connections upgrade to TLS 1.3; unencrypted HTTP blocked.</t>
        </is>
      </c>
      <c r="H347" s="12" t="inlineStr">
        <is>
          <t>Pending Execution</t>
        </is>
      </c>
      <c r="I347" s="13" t="inlineStr">
        <is>
          <t>Not Executed</t>
        </is>
      </c>
      <c r="J347" s="11" t="inlineStr">
        <is>
          <t>Medium</t>
        </is>
      </c>
      <c r="K347" s="11" t="inlineStr">
        <is>
          <t>Major</t>
        </is>
      </c>
      <c r="L347" s="11" t="inlineStr">
        <is>
          <t>Script Ready</t>
        </is>
      </c>
      <c r="M347" s="12" t="inlineStr">
        <is>
          <t>Security Audit Sandbox</t>
        </is>
      </c>
      <c r="N347" s="12" t="inlineStr">
        <is>
          <t>Defensive Security Audit Engine</t>
        </is>
      </c>
      <c r="O347" s="12" t="inlineStr">
        <is>
          <t>Screen-specific baseline case for Supabase PostgreSQL Database Sync</t>
        </is>
      </c>
    </row>
    <row r="348" ht="36" customHeight="1">
      <c r="A348" s="11" t="inlineStr">
        <is>
          <t>TC-347</t>
        </is>
      </c>
      <c r="B348" s="12" t="inlineStr">
        <is>
          <t>SupabaseIntegrationModule</t>
        </is>
      </c>
      <c r="C348" s="12" t="inlineStr">
        <is>
          <t>Safe Vulnerability &amp; Security Checks</t>
        </is>
      </c>
      <c r="D348" s="12" t="inlineStr">
        <is>
          <t>API Rate Limiting 429 Response Check on Supabase PostgreSQL Database Sync</t>
        </is>
      </c>
      <c r="E348" s="12" t="inlineStr">
        <is>
          <t>1. Launch test runner in Security Audit Sandbox.
2. Navigate to Supabase PostgreSQL Database Sync (SupabaseIntegrationModule).
3. Send 100 rapid requests within 5 seconds to SupabaseIntegrationModule public endpoints.
4. Verify expected results and log evidence.</t>
        </is>
      </c>
      <c r="F348" s="12" t="inlineStr">
        <is>
          <t>Requests: 100 in 5s</t>
        </is>
      </c>
      <c r="G348" s="12" t="inlineStr">
        <is>
          <t>Rate limiter triggers HTTP 429 Too Many Requests response.</t>
        </is>
      </c>
      <c r="H348" s="12" t="inlineStr">
        <is>
          <t>Pending Execution</t>
        </is>
      </c>
      <c r="I348" s="13" t="inlineStr">
        <is>
          <t>Not Executed</t>
        </is>
      </c>
      <c r="J348" s="11" t="inlineStr">
        <is>
          <t>Medium</t>
        </is>
      </c>
      <c r="K348" s="11" t="inlineStr">
        <is>
          <t>Moderate</t>
        </is>
      </c>
      <c r="L348" s="11" t="inlineStr">
        <is>
          <t>Script Ready</t>
        </is>
      </c>
      <c r="M348" s="12" t="inlineStr">
        <is>
          <t>Security Audit Sandbox</t>
        </is>
      </c>
      <c r="N348" s="12" t="inlineStr">
        <is>
          <t>Defensive Security Audit Engine</t>
        </is>
      </c>
      <c r="O348" s="12" t="inlineStr">
        <is>
          <t>Screen-specific baseline case for Supabase PostgreSQL Database Sync</t>
        </is>
      </c>
    </row>
    <row r="349" ht="36" customHeight="1">
      <c r="A349" s="11" t="inlineStr">
        <is>
          <t>TC-348</t>
        </is>
      </c>
      <c r="B349" s="12" t="inlineStr">
        <is>
          <t>SupabaseIntegrationModule</t>
        </is>
      </c>
      <c r="C349" s="12" t="inlineStr">
        <is>
          <t>Safe Vulnerability &amp; Security Checks</t>
        </is>
      </c>
      <c r="D349" s="12" t="inlineStr">
        <is>
          <t>Supabase Row Level Security (RLS) Audit on Supabase PostgreSQL Database Sync</t>
        </is>
      </c>
      <c r="E349" s="12" t="inlineStr">
        <is>
          <t>1. Launch test runner in Security Audit Sandbox.
2. Navigate to Supabase PostgreSQL Database Sync (SupabaseIntegrationModule).
3. Query Supabase PostgreSQL table for SupabaseIntegrationModule without auth header.
4. Verify expected results and log evidence.</t>
        </is>
      </c>
      <c r="F349" s="12" t="inlineStr">
        <is>
          <t>RLS Check: SupabaseIntegrationModule_table</t>
        </is>
      </c>
      <c r="G349" s="12" t="inlineStr">
        <is>
          <t>Supabase RLS policy blocks unauthorized row query access.</t>
        </is>
      </c>
      <c r="H349" s="12" t="inlineStr">
        <is>
          <t>Pending Execution</t>
        </is>
      </c>
      <c r="I349" s="13" t="inlineStr">
        <is>
          <t>Not Executed</t>
        </is>
      </c>
      <c r="J349" s="11" t="inlineStr">
        <is>
          <t>High</t>
        </is>
      </c>
      <c r="K349" s="11" t="inlineStr">
        <is>
          <t>Major</t>
        </is>
      </c>
      <c r="L349" s="11" t="inlineStr">
        <is>
          <t>Script Ready</t>
        </is>
      </c>
      <c r="M349" s="12" t="inlineStr">
        <is>
          <t>Security Audit Sandbox</t>
        </is>
      </c>
      <c r="N349" s="12" t="inlineStr">
        <is>
          <t>Defensive Security Audit Engine</t>
        </is>
      </c>
      <c r="O349" s="12" t="inlineStr">
        <is>
          <t>Screen-specific baseline case for Supabase PostgreSQL Database Sync</t>
        </is>
      </c>
    </row>
    <row r="350" ht="36" customHeight="1">
      <c r="A350" s="11" t="inlineStr">
        <is>
          <t>TC-349</t>
        </is>
      </c>
      <c r="B350" s="12" t="inlineStr">
        <is>
          <t>SupabaseIntegrationModule</t>
        </is>
      </c>
      <c r="C350" s="12" t="inlineStr">
        <is>
          <t>Safe Vulnerability &amp; Security Checks</t>
        </is>
      </c>
      <c r="D350" s="12" t="inlineStr">
        <is>
          <t>Privileged Route Guard Verification on Supabase PostgreSQL Database Sync</t>
        </is>
      </c>
      <c r="E350" s="12" t="inlineStr">
        <is>
          <t>1. Launch test runner in Security Audit Sandbox.
2. Navigate to Supabase PostgreSQL Database Sync (SupabaseIntegrationModule).
3. Attempt deep linking directly to restricted SupabaseIntegrationModule view as unauthenticated user.
4. Verify expected results and log evidence.</t>
        </is>
      </c>
      <c r="F350" s="12" t="inlineStr">
        <is>
          <t>Route: /SupabaseIntegrationModule_admin</t>
        </is>
      </c>
      <c r="G350" s="12" t="inlineStr">
        <is>
          <t>Router guard intercepts request and redirects to login screen.</t>
        </is>
      </c>
      <c r="H350" s="12" t="inlineStr">
        <is>
          <t>Pending Execution</t>
        </is>
      </c>
      <c r="I350" s="13" t="inlineStr">
        <is>
          <t>Not Executed</t>
        </is>
      </c>
      <c r="J350" s="11" t="inlineStr">
        <is>
          <t>Medium</t>
        </is>
      </c>
      <c r="K350" s="11" t="inlineStr">
        <is>
          <t>Moderate</t>
        </is>
      </c>
      <c r="L350" s="11" t="inlineStr">
        <is>
          <t>Script Ready</t>
        </is>
      </c>
      <c r="M350" s="12" t="inlineStr">
        <is>
          <t>Security Audit Sandbox</t>
        </is>
      </c>
      <c r="N350" s="12" t="inlineStr">
        <is>
          <t>Defensive Security Audit Engine</t>
        </is>
      </c>
      <c r="O350" s="12" t="inlineStr">
        <is>
          <t>Screen-specific baseline case for Supabase PostgreSQL Database Sync</t>
        </is>
      </c>
    </row>
    <row r="351" ht="36" customHeight="1">
      <c r="A351" s="11" t="inlineStr">
        <is>
          <t>TC-350</t>
        </is>
      </c>
      <c r="B351" s="12" t="inlineStr">
        <is>
          <t>SupabaseIntegrationModule</t>
        </is>
      </c>
      <c r="C351" s="12" t="inlineStr">
        <is>
          <t>Safe Vulnerability &amp; Security Checks</t>
        </is>
      </c>
      <c r="D351" s="12" t="inlineStr">
        <is>
          <t>Sensitive Data Masking &amp; Log Leak Check on Supabase PostgreSQL Database Sync</t>
        </is>
      </c>
      <c r="E351" s="12" t="inlineStr">
        <is>
          <t>1. Launch test runner in Security Audit Sandbox.
2. Navigate to Supabase PostgreSQL Database Sync (SupabaseIntegrationModule).
3. Audit application log files and network payloads for exposed SupabaseIntegrationModule secrets.
4. Verify expected results and log evidence.</t>
        </is>
      </c>
      <c r="F351" s="12" t="inlineStr">
        <is>
          <t>Audit: Password/Token fields</t>
        </is>
      </c>
      <c r="G351" s="12" t="inlineStr">
        <is>
          <t>Sensitive credentials and PII are masked or omitted from logs.</t>
        </is>
      </c>
      <c r="H351" s="12" t="inlineStr">
        <is>
          <t>Pending Execution</t>
        </is>
      </c>
      <c r="I351" s="13" t="inlineStr">
        <is>
          <t>Not Executed</t>
        </is>
      </c>
      <c r="J351" s="11" t="inlineStr">
        <is>
          <t>Low</t>
        </is>
      </c>
      <c r="K351" s="11" t="inlineStr">
        <is>
          <t>Critical</t>
        </is>
      </c>
      <c r="L351" s="11" t="inlineStr">
        <is>
          <t>Script Ready</t>
        </is>
      </c>
      <c r="M351" s="12" t="inlineStr">
        <is>
          <t>Security Audit Sandbox</t>
        </is>
      </c>
      <c r="N351" s="12" t="inlineStr">
        <is>
          <t>Defensive Security Audit Engine</t>
        </is>
      </c>
      <c r="O351" s="12" t="inlineStr">
        <is>
          <t>Screen-specific baseline case for Supabase PostgreSQL Database Sync</t>
        </is>
      </c>
    </row>
  </sheetData>
  <autoFilter ref="A1:O3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showGridLines="1" workbookViewId="0">
      <pane ySplit="1" topLeftCell="A2" activePane="bottomLeft" state="frozen"/>
      <selection pane="bottomLeft"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s>
  <sheetData>
    <row r="1" ht="28" customHeight="1">
      <c r="A1" s="6" t="inlineStr">
        <is>
          <t>Test Case ID</t>
        </is>
      </c>
      <c r="B1" s="6" t="inlineStr">
        <is>
          <t>Module/Screen</t>
        </is>
      </c>
      <c r="C1" s="6" t="inlineStr">
        <is>
          <t>Test Scenario</t>
        </is>
      </c>
      <c r="D1" s="6" t="inlineStr">
        <is>
          <t>Status</t>
        </is>
      </c>
      <c r="E1" s="6" t="inlineStr">
        <is>
          <t>Evidence Path</t>
        </is>
      </c>
      <c r="F1" s="6" t="inlineStr">
        <is>
          <t>Timestamp</t>
        </is>
      </c>
      <c r="G1" s="6" t="inlineStr">
        <is>
          <t>Verification Notes</t>
        </is>
      </c>
    </row>
    <row r="2">
      <c r="A2" s="12" t="inlineStr">
        <is>
          <t>TC-001</t>
        </is>
      </c>
      <c r="B2" s="12" t="inlineStr">
        <is>
          <t>SplashScreen</t>
        </is>
      </c>
      <c r="C2" s="12" t="inlineStr">
        <is>
          <t>Authentication Lockout &amp; Brute-Force on Splash &amp; Onboarding Screen</t>
        </is>
      </c>
      <c r="D2" s="12" t="inlineStr">
        <is>
          <t>Not Executed</t>
        </is>
      </c>
      <c r="E2" s="12" t="inlineStr">
        <is>
          <t>testing-reports/evidence/tc-001_proof.png</t>
        </is>
      </c>
      <c r="F2" s="12" t="inlineStr">
        <is>
          <t>2026-07-22 00:00:00 UTC</t>
        </is>
      </c>
      <c r="G2" s="12" t="inlineStr">
        <is>
          <t>Baseline execution artifact initialized</t>
        </is>
      </c>
    </row>
    <row r="3">
      <c r="A3" s="12" t="inlineStr">
        <is>
          <t>TC-002</t>
        </is>
      </c>
      <c r="B3" s="12" t="inlineStr">
        <is>
          <t>SplashScreen</t>
        </is>
      </c>
      <c r="C3" s="12" t="inlineStr">
        <is>
          <t>Role-Based Authorization &amp; IDOR Check on Splash &amp; Onboarding Screen</t>
        </is>
      </c>
      <c r="D3" s="12" t="inlineStr">
        <is>
          <t>Not Executed</t>
        </is>
      </c>
      <c r="E3" s="12" t="inlineStr">
        <is>
          <t>testing-reports/evidence/tc-002_proof.png</t>
        </is>
      </c>
      <c r="F3" s="12" t="inlineStr">
        <is>
          <t>2026-07-22 00:00:00 UTC</t>
        </is>
      </c>
      <c r="G3" s="12" t="inlineStr">
        <is>
          <t>Baseline execution artifact initialized</t>
        </is>
      </c>
    </row>
    <row r="4">
      <c r="A4" s="12" t="inlineStr">
        <is>
          <t>TC-003</t>
        </is>
      </c>
      <c r="B4" s="12" t="inlineStr">
        <is>
          <t>SplashScreen</t>
        </is>
      </c>
      <c r="C4" s="12" t="inlineStr">
        <is>
          <t>Session Token Expiration &amp; Revocation on Splash &amp; Onboarding Screen</t>
        </is>
      </c>
      <c r="D4" s="12" t="inlineStr">
        <is>
          <t>Not Executed</t>
        </is>
      </c>
      <c r="E4" s="12" t="inlineStr">
        <is>
          <t>testing-reports/evidence/tc-003_proof.png</t>
        </is>
      </c>
      <c r="F4" s="12" t="inlineStr">
        <is>
          <t>2026-07-22 00:00:00 UTC</t>
        </is>
      </c>
      <c r="G4" s="12" t="inlineStr">
        <is>
          <t>Baseline execution artifact initialized</t>
        </is>
      </c>
    </row>
    <row r="5">
      <c r="A5" s="12" t="inlineStr">
        <is>
          <t>TC-004</t>
        </is>
      </c>
      <c r="B5" s="12" t="inlineStr">
        <is>
          <t>SplashScreen</t>
        </is>
      </c>
      <c r="C5" s="12" t="inlineStr">
        <is>
          <t>Safe SQL Injection Input Defense on Splash &amp; Onboarding Screen</t>
        </is>
      </c>
      <c r="D5" s="12" t="inlineStr">
        <is>
          <t>Not Executed</t>
        </is>
      </c>
      <c r="E5" s="12" t="inlineStr">
        <is>
          <t>testing-reports/evidence/tc-004_proof.png</t>
        </is>
      </c>
      <c r="F5" s="12" t="inlineStr">
        <is>
          <t>2026-07-22 00:00:00 UTC</t>
        </is>
      </c>
      <c r="G5" s="12" t="inlineStr">
        <is>
          <t>Baseline execution artifact initialized</t>
        </is>
      </c>
    </row>
    <row r="6">
      <c r="A6" s="12" t="inlineStr">
        <is>
          <t>TC-005</t>
        </is>
      </c>
      <c r="B6" s="12" t="inlineStr">
        <is>
          <t>SplashScreen</t>
        </is>
      </c>
      <c r="C6" s="12" t="inlineStr">
        <is>
          <t>Safe XSS Script Escaping Validation on Splash &amp; Onboarding Screen</t>
        </is>
      </c>
      <c r="D6" s="12" t="inlineStr">
        <is>
          <t>Not Executed</t>
        </is>
      </c>
      <c r="E6" s="12" t="inlineStr">
        <is>
          <t>testing-reports/evidence/tc-005_proof.png</t>
        </is>
      </c>
      <c r="F6" s="12" t="inlineStr">
        <is>
          <t>2026-07-22 00:00:00 UTC</t>
        </is>
      </c>
      <c r="G6" s="12" t="inlineStr">
        <is>
          <t>Baseline execution artifact initialized</t>
        </is>
      </c>
    </row>
    <row r="7">
      <c r="A7" s="12" t="inlineStr">
        <is>
          <t>TC-006</t>
        </is>
      </c>
      <c r="B7" s="12" t="inlineStr">
        <is>
          <t>SplashScreen</t>
        </is>
      </c>
      <c r="C7" s="12" t="inlineStr">
        <is>
          <t>TLS 1.3 Transport Encryption Enforcement on Splash &amp; Onboarding Screen</t>
        </is>
      </c>
      <c r="D7" s="12" t="inlineStr">
        <is>
          <t>Not Executed</t>
        </is>
      </c>
      <c r="E7" s="12" t="inlineStr">
        <is>
          <t>testing-reports/evidence/tc-006_proof.png</t>
        </is>
      </c>
      <c r="F7" s="12" t="inlineStr">
        <is>
          <t>2026-07-22 00:00:00 UTC</t>
        </is>
      </c>
      <c r="G7" s="12" t="inlineStr">
        <is>
          <t>Baseline execution artifact initialized</t>
        </is>
      </c>
    </row>
    <row r="8">
      <c r="A8" s="12" t="inlineStr">
        <is>
          <t>TC-007</t>
        </is>
      </c>
      <c r="B8" s="12" t="inlineStr">
        <is>
          <t>SplashScreen</t>
        </is>
      </c>
      <c r="C8" s="12" t="inlineStr">
        <is>
          <t>API Rate Limiting 429 Response Check on Splash &amp; Onboarding Screen</t>
        </is>
      </c>
      <c r="D8" s="12" t="inlineStr">
        <is>
          <t>Not Executed</t>
        </is>
      </c>
      <c r="E8" s="12" t="inlineStr">
        <is>
          <t>testing-reports/evidence/tc-007_proof.png</t>
        </is>
      </c>
      <c r="F8" s="12" t="inlineStr">
        <is>
          <t>2026-07-22 00:00:00 UTC</t>
        </is>
      </c>
      <c r="G8" s="12" t="inlineStr">
        <is>
          <t>Baseline execution artifact initialized</t>
        </is>
      </c>
    </row>
    <row r="9">
      <c r="A9" s="12" t="inlineStr">
        <is>
          <t>TC-008</t>
        </is>
      </c>
      <c r="B9" s="12" t="inlineStr">
        <is>
          <t>SplashScreen</t>
        </is>
      </c>
      <c r="C9" s="12" t="inlineStr">
        <is>
          <t>Supabase Row Level Security (RLS) Audit on Splash &amp; Onboarding Screen</t>
        </is>
      </c>
      <c r="D9" s="12" t="inlineStr">
        <is>
          <t>Not Executed</t>
        </is>
      </c>
      <c r="E9" s="12" t="inlineStr">
        <is>
          <t>testing-reports/evidence/tc-008_proof.png</t>
        </is>
      </c>
      <c r="F9" s="12" t="inlineStr">
        <is>
          <t>2026-07-22 00:00:00 UTC</t>
        </is>
      </c>
      <c r="G9" s="12" t="inlineStr">
        <is>
          <t>Baseline execution artifact initialized</t>
        </is>
      </c>
    </row>
    <row r="10">
      <c r="A10" s="12" t="inlineStr">
        <is>
          <t>TC-009</t>
        </is>
      </c>
      <c r="B10" s="12" t="inlineStr">
        <is>
          <t>SplashScreen</t>
        </is>
      </c>
      <c r="C10" s="12" t="inlineStr">
        <is>
          <t>Privileged Route Guard Verification on Splash &amp; Onboarding Screen</t>
        </is>
      </c>
      <c r="D10" s="12" t="inlineStr">
        <is>
          <t>Not Executed</t>
        </is>
      </c>
      <c r="E10" s="12" t="inlineStr">
        <is>
          <t>testing-reports/evidence/tc-009_proof.png</t>
        </is>
      </c>
      <c r="F10" s="12" t="inlineStr">
        <is>
          <t>2026-07-22 00:00:00 UTC</t>
        </is>
      </c>
      <c r="G10" s="12" t="inlineStr">
        <is>
          <t>Baseline execution artifact initialized</t>
        </is>
      </c>
    </row>
    <row r="11">
      <c r="A11" s="12" t="inlineStr">
        <is>
          <t>TC-010</t>
        </is>
      </c>
      <c r="B11" s="12" t="inlineStr">
        <is>
          <t>SplashScreen</t>
        </is>
      </c>
      <c r="C11" s="12" t="inlineStr">
        <is>
          <t>Sensitive Data Masking &amp; Log Leak Check on Splash &amp; Onboarding Screen</t>
        </is>
      </c>
      <c r="D11" s="12" t="inlineStr">
        <is>
          <t>Not Executed</t>
        </is>
      </c>
      <c r="E11" s="12" t="inlineStr">
        <is>
          <t>testing-reports/evidence/tc-010_proof.png</t>
        </is>
      </c>
      <c r="F11" s="12" t="inlineStr">
        <is>
          <t>2026-07-22 00:00:00 UTC</t>
        </is>
      </c>
      <c r="G11" s="12" t="inlineStr">
        <is>
          <t>Baseline execution artifact initialized</t>
        </is>
      </c>
    </row>
    <row r="12">
      <c r="A12" s="12" t="inlineStr">
        <is>
          <t>TC-011</t>
        </is>
      </c>
      <c r="B12" s="12" t="inlineStr">
        <is>
          <t>LoginScreen</t>
        </is>
      </c>
      <c r="C12" s="12" t="inlineStr">
        <is>
          <t>Authentication Lockout &amp; Brute-Force on Login &amp; Authentication Screen</t>
        </is>
      </c>
      <c r="D12" s="12" t="inlineStr">
        <is>
          <t>Not Executed</t>
        </is>
      </c>
      <c r="E12" s="12" t="inlineStr">
        <is>
          <t>testing-reports/evidence/tc-011_proof.png</t>
        </is>
      </c>
      <c r="F12" s="12" t="inlineStr">
        <is>
          <t>2026-07-22 00:00:00 UTC</t>
        </is>
      </c>
      <c r="G12" s="12" t="inlineStr">
        <is>
          <t>Baseline execution artifact initialized</t>
        </is>
      </c>
    </row>
    <row r="13">
      <c r="A13" s="12" t="inlineStr">
        <is>
          <t>TC-012</t>
        </is>
      </c>
      <c r="B13" s="12" t="inlineStr">
        <is>
          <t>LoginScreen</t>
        </is>
      </c>
      <c r="C13" s="12" t="inlineStr">
        <is>
          <t>Role-Based Authorization &amp; IDOR Check on Login &amp; Authentication Screen</t>
        </is>
      </c>
      <c r="D13" s="12" t="inlineStr">
        <is>
          <t>Not Executed</t>
        </is>
      </c>
      <c r="E13" s="12" t="inlineStr">
        <is>
          <t>testing-reports/evidence/tc-012_proof.png</t>
        </is>
      </c>
      <c r="F13" s="12" t="inlineStr">
        <is>
          <t>2026-07-22 00:00:00 UTC</t>
        </is>
      </c>
      <c r="G13" s="12" t="inlineStr">
        <is>
          <t>Baseline execution artifact initialized</t>
        </is>
      </c>
    </row>
    <row r="14">
      <c r="A14" s="12" t="inlineStr">
        <is>
          <t>TC-013</t>
        </is>
      </c>
      <c r="B14" s="12" t="inlineStr">
        <is>
          <t>LoginScreen</t>
        </is>
      </c>
      <c r="C14" s="12" t="inlineStr">
        <is>
          <t>Session Token Expiration &amp; Revocation on Login &amp; Authentication Screen</t>
        </is>
      </c>
      <c r="D14" s="12" t="inlineStr">
        <is>
          <t>Not Executed</t>
        </is>
      </c>
      <c r="E14" s="12" t="inlineStr">
        <is>
          <t>testing-reports/evidence/tc-013_proof.png</t>
        </is>
      </c>
      <c r="F14" s="12" t="inlineStr">
        <is>
          <t>2026-07-22 00:00:00 UTC</t>
        </is>
      </c>
      <c r="G14" s="12" t="inlineStr">
        <is>
          <t>Baseline execution artifact initialized</t>
        </is>
      </c>
    </row>
    <row r="15">
      <c r="A15" s="12" t="inlineStr">
        <is>
          <t>TC-014</t>
        </is>
      </c>
      <c r="B15" s="12" t="inlineStr">
        <is>
          <t>LoginScreen</t>
        </is>
      </c>
      <c r="C15" s="12" t="inlineStr">
        <is>
          <t>Safe SQL Injection Input Defense on Login &amp; Authentication Screen</t>
        </is>
      </c>
      <c r="D15" s="12" t="inlineStr">
        <is>
          <t>Not Executed</t>
        </is>
      </c>
      <c r="E15" s="12" t="inlineStr">
        <is>
          <t>testing-reports/evidence/tc-014_proof.png</t>
        </is>
      </c>
      <c r="F15" s="12" t="inlineStr">
        <is>
          <t>2026-07-22 00:00:00 UTC</t>
        </is>
      </c>
      <c r="G15" s="12" t="inlineStr">
        <is>
          <t>Baseline execution artifact initialized</t>
        </is>
      </c>
    </row>
    <row r="16">
      <c r="A16" s="12" t="inlineStr">
        <is>
          <t>TC-015</t>
        </is>
      </c>
      <c r="B16" s="12" t="inlineStr">
        <is>
          <t>LoginScreen</t>
        </is>
      </c>
      <c r="C16" s="12" t="inlineStr">
        <is>
          <t>Safe XSS Script Escaping Validation on Login &amp; Authentication Screen</t>
        </is>
      </c>
      <c r="D16" s="12" t="inlineStr">
        <is>
          <t>Not Executed</t>
        </is>
      </c>
      <c r="E16" s="12" t="inlineStr">
        <is>
          <t>testing-reports/evidence/tc-015_proof.png</t>
        </is>
      </c>
      <c r="F16" s="12" t="inlineStr">
        <is>
          <t>2026-07-22 00:00:00 UTC</t>
        </is>
      </c>
      <c r="G16" s="12" t="inlineStr">
        <is>
          <t>Baseline execution artifact initialized</t>
        </is>
      </c>
    </row>
    <row r="17">
      <c r="A17" s="12" t="inlineStr">
        <is>
          <t>TC-016</t>
        </is>
      </c>
      <c r="B17" s="12" t="inlineStr">
        <is>
          <t>LoginScreen</t>
        </is>
      </c>
      <c r="C17" s="12" t="inlineStr">
        <is>
          <t>TLS 1.3 Transport Encryption Enforcement on Login &amp; Authentication Screen</t>
        </is>
      </c>
      <c r="D17" s="12" t="inlineStr">
        <is>
          <t>Not Executed</t>
        </is>
      </c>
      <c r="E17" s="12" t="inlineStr">
        <is>
          <t>testing-reports/evidence/tc-016_proof.png</t>
        </is>
      </c>
      <c r="F17" s="12" t="inlineStr">
        <is>
          <t>2026-07-22 00:00:00 UTC</t>
        </is>
      </c>
      <c r="G17" s="12" t="inlineStr">
        <is>
          <t>Baseline execution artifact initialized</t>
        </is>
      </c>
    </row>
    <row r="18">
      <c r="A18" s="12" t="inlineStr">
        <is>
          <t>TC-017</t>
        </is>
      </c>
      <c r="B18" s="12" t="inlineStr">
        <is>
          <t>LoginScreen</t>
        </is>
      </c>
      <c r="C18" s="12" t="inlineStr">
        <is>
          <t>API Rate Limiting 429 Response Check on Login &amp; Authentication Screen</t>
        </is>
      </c>
      <c r="D18" s="12" t="inlineStr">
        <is>
          <t>Not Executed</t>
        </is>
      </c>
      <c r="E18" s="12" t="inlineStr">
        <is>
          <t>testing-reports/evidence/tc-017_proof.png</t>
        </is>
      </c>
      <c r="F18" s="12" t="inlineStr">
        <is>
          <t>2026-07-22 00:00:00 UTC</t>
        </is>
      </c>
      <c r="G18" s="12" t="inlineStr">
        <is>
          <t>Baseline execution artifact initialized</t>
        </is>
      </c>
    </row>
    <row r="19">
      <c r="A19" s="12" t="inlineStr">
        <is>
          <t>TC-018</t>
        </is>
      </c>
      <c r="B19" s="12" t="inlineStr">
        <is>
          <t>LoginScreen</t>
        </is>
      </c>
      <c r="C19" s="12" t="inlineStr">
        <is>
          <t>Supabase Row Level Security (RLS) Audit on Login &amp; Authentication Screen</t>
        </is>
      </c>
      <c r="D19" s="12" t="inlineStr">
        <is>
          <t>Not Executed</t>
        </is>
      </c>
      <c r="E19" s="12" t="inlineStr">
        <is>
          <t>testing-reports/evidence/tc-018_proof.png</t>
        </is>
      </c>
      <c r="F19" s="12" t="inlineStr">
        <is>
          <t>2026-07-22 00:00:00 UTC</t>
        </is>
      </c>
      <c r="G19" s="12" t="inlineStr">
        <is>
          <t>Baseline execution artifact initialized</t>
        </is>
      </c>
    </row>
    <row r="20">
      <c r="A20" s="12" t="inlineStr">
        <is>
          <t>TC-019</t>
        </is>
      </c>
      <c r="B20" s="12" t="inlineStr">
        <is>
          <t>LoginScreen</t>
        </is>
      </c>
      <c r="C20" s="12" t="inlineStr">
        <is>
          <t>Privileged Route Guard Verification on Login &amp; Authentication Screen</t>
        </is>
      </c>
      <c r="D20" s="12" t="inlineStr">
        <is>
          <t>Not Executed</t>
        </is>
      </c>
      <c r="E20" s="12" t="inlineStr">
        <is>
          <t>testing-reports/evidence/tc-019_proof.png</t>
        </is>
      </c>
      <c r="F20" s="12" t="inlineStr">
        <is>
          <t>2026-07-22 00:00:00 UTC</t>
        </is>
      </c>
      <c r="G20" s="12" t="inlineStr">
        <is>
          <t>Baseline execution artifact initialized</t>
        </is>
      </c>
    </row>
    <row r="21">
      <c r="A21" s="12" t="inlineStr">
        <is>
          <t>TC-020</t>
        </is>
      </c>
      <c r="B21" s="12" t="inlineStr">
        <is>
          <t>LoginScreen</t>
        </is>
      </c>
      <c r="C21" s="12" t="inlineStr">
        <is>
          <t>Sensitive Data Masking &amp; Log Leak Check on Login &amp; Authentication Screen</t>
        </is>
      </c>
      <c r="D21" s="12" t="inlineStr">
        <is>
          <t>Not Executed</t>
        </is>
      </c>
      <c r="E21" s="12" t="inlineStr">
        <is>
          <t>testing-reports/evidence/tc-020_proof.png</t>
        </is>
      </c>
      <c r="F21" s="12" t="inlineStr">
        <is>
          <t>2026-07-22 00:00:00 UTC</t>
        </is>
      </c>
      <c r="G21" s="12" t="inlineStr">
        <is>
          <t>Baseline execution artifact initialized</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2026-07-22T05:40:23Z</dcterms:created>
  <dcterms:modified xsi:type="dcterms:W3CDTF">2026-07-22T05:40:24Z</dcterms:modified>
</cp:coreProperties>
</file>