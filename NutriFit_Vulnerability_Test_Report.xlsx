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  <sheet name="Execution Evidence" sheetId="3" state="visible" r:id="rId3"/>
  </sheets>
  <definedNames>
    <definedName name="_xlnm._FilterDatabase" localSheetId="1" hidden="1">'Detailed Test Cases'!$A$1:$H$351</definedName>
    <definedName name="_xlnm._FilterDatabase" localSheetId="2" hidden="1">'Execution Evidence'!$A$1:$G$21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A5C36"/>
      <sz val="15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0A5C36"/>
      <sz val="14"/>
    </font>
    <font>
      <name val="Segoe UI"/>
      <b val="1"/>
      <color rgb="000A5C36"/>
      <sz val="12"/>
    </font>
    <font>
      <name val="Segoe UI"/>
      <b val="1"/>
      <color rgb="00FFFFFF"/>
      <sz val="11"/>
    </font>
    <font>
      <name val="Segoe UI"/>
      <sz val="9"/>
    </font>
    <font>
      <name val="Segoe UI"/>
      <b val="1"/>
      <sz val="10"/>
    </font>
    <font>
      <name val="Segoe UI"/>
      <b val="1"/>
      <color rgb="005F6368"/>
    </font>
  </fonts>
  <fills count="6">
    <fill>
      <patternFill/>
    </fill>
    <fill>
      <patternFill patternType="gray125"/>
    </fill>
    <fill>
      <patternFill patternType="solid">
        <fgColor rgb="00F5F7FA"/>
        <bgColor rgb="00F5F7FA"/>
      </patternFill>
    </fill>
    <fill>
      <patternFill patternType="solid">
        <fgColor rgb="0010A866"/>
        <bgColor rgb="0010A866"/>
      </patternFill>
    </fill>
    <fill>
      <patternFill patternType="solid">
        <fgColor rgb="00F0F9F4"/>
        <bgColor rgb="00F0F9F4"/>
      </patternFill>
    </fill>
    <fill>
      <patternFill patternType="solid">
        <fgColor rgb="00F1F3F4"/>
        <bgColor rgb="00F1F3F4"/>
      </patternFill>
    </fill>
  </fills>
  <borders count="3">
    <border>
      <left/>
      <right/>
      <top/>
      <bottom/>
      <diagonal/>
    </border>
    <border>
      <left style="medium">
        <color rgb="0010A866"/>
      </left>
      <right style="medium">
        <color rgb="0010A866"/>
      </right>
      <top style="medium">
        <color rgb="0010A866"/>
      </top>
      <bottom style="medium">
        <color rgb="0010A866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8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9" fillId="5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NutriFit QA Report - Safe Vulnerability &amp; Security Checks</t>
        </is>
      </c>
    </row>
    <row r="2" ht="18" customHeight="1">
      <c r="A2" s="2" t="inlineStr">
        <is>
          <t>Report File: NutriFit_Vulnerability_Test_Report.xlsx | Total Modules: 35 | 10 Cases Per Module | Total: 350 Cases</t>
        </is>
      </c>
    </row>
    <row r="4">
      <c r="A4" s="3" t="inlineStr">
        <is>
          <t>Total Test Cases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Blocked</t>
        </is>
      </c>
      <c r="F4" s="3" t="inlineStr">
        <is>
          <t>Not Executed</t>
        </is>
      </c>
      <c r="G4" s="3" t="inlineStr">
        <is>
          <t>Pass Rate %</t>
        </is>
      </c>
    </row>
    <row r="5">
      <c r="A5" s="4">
        <f>COUNT('Detailed Test Cases'!A:A)</f>
        <v/>
      </c>
      <c r="B5" s="4">
        <f>COUNTIF('Detailed Test Cases'!G:G, "Passed")</f>
        <v/>
      </c>
      <c r="C5" s="4">
        <f>COUNTIF('Detailed Test Cases'!G:G, "Failed")</f>
        <v/>
      </c>
      <c r="D5" s="4">
        <f>COUNTIF('Detailed Test Cases'!G:G, "Skipped")</f>
        <v/>
      </c>
      <c r="E5" s="4">
        <f>COUNTIF('Detailed Test Cases'!G:G, "Blocked")</f>
        <v/>
      </c>
      <c r="F5" s="4">
        <f>COUNTIF('Detailed Test Cases'!G:G, "Not Executed")</f>
        <v/>
      </c>
      <c r="G5" s="4">
        <f>IF(B4=0, "0%", TEXT(B5/B4, "0.0%"))</f>
        <v/>
      </c>
    </row>
    <row r="7">
      <c r="A7" s="5" t="inlineStr">
        <is>
          <t>Module-Wise Test Coverage Breakdown (All 35 Modules)</t>
        </is>
      </c>
    </row>
    <row r="8" ht="24" customHeight="1">
      <c r="A8" s="6" t="inlineStr">
        <is>
          <t>Module</t>
        </is>
      </c>
      <c r="B8" s="6" t="inlineStr">
        <is>
          <t>Total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Skipped</t>
        </is>
      </c>
      <c r="F8" s="6" t="inlineStr">
        <is>
          <t>Blocked</t>
        </is>
      </c>
      <c r="G8" s="6" t="inlineStr">
        <is>
          <t>Not Executed</t>
        </is>
      </c>
    </row>
    <row r="9">
      <c r="A9" s="7" t="inlineStr">
        <is>
          <t>SplashScreen</t>
        </is>
      </c>
      <c r="B9" s="8">
        <f>COUNTIF('Detailed Test Cases'!B:B, A9)</f>
        <v/>
      </c>
      <c r="C9" s="8">
        <f>COUNTIFS('Detailed Test Cases'!B:B, A9, 'Detailed Test Cases'!G:G, "Passed")</f>
        <v/>
      </c>
      <c r="D9" s="8">
        <f>COUNTIFS('Detailed Test Cases'!B:B, A9, 'Detailed Test Cases'!G:G, "Failed")</f>
        <v/>
      </c>
      <c r="E9" s="8">
        <f>COUNTIFS('Detailed Test Cases'!B:B, A9, 'Detailed Test Cases'!G:G, "Skipped")</f>
        <v/>
      </c>
      <c r="F9" s="8">
        <f>COUNTIFS('Detailed Test Cases'!B:B, A9, 'Detailed Test Cases'!G:G, "Blocked")</f>
        <v/>
      </c>
      <c r="G9" s="8">
        <f>COUNTIFS('Detailed Test Cases'!B:B, A9, 'Detailed Test Cases'!G:G, "Not Executed")</f>
        <v/>
      </c>
    </row>
    <row r="10">
      <c r="A10" s="7" t="inlineStr">
        <is>
          <t>LoginScreen</t>
        </is>
      </c>
      <c r="B10" s="8">
        <f>COUNTIF('Detailed Test Cases'!B:B, A10)</f>
        <v/>
      </c>
      <c r="C10" s="8">
        <f>COUNTIFS('Detailed Test Cases'!B:B, A10, 'Detailed Test Cases'!G:G, "Passed")</f>
        <v/>
      </c>
      <c r="D10" s="8">
        <f>COUNTIFS('Detailed Test Cases'!B:B, A10, 'Detailed Test Cases'!G:G, "Failed")</f>
        <v/>
      </c>
      <c r="E10" s="8">
        <f>COUNTIFS('Detailed Test Cases'!B:B, A10, 'Detailed Test Cases'!G:G, "Skipped")</f>
        <v/>
      </c>
      <c r="F10" s="8">
        <f>COUNTIFS('Detailed Test Cases'!B:B, A10, 'Detailed Test Cases'!G:G, "Blocked")</f>
        <v/>
      </c>
      <c r="G10" s="8">
        <f>COUNTIFS('Detailed Test Cases'!B:B, A10, 'Detailed Test Cases'!G:G, "Not Executed")</f>
        <v/>
      </c>
    </row>
    <row r="11">
      <c r="A11" s="7" t="inlineStr">
        <is>
          <t>SignUpScreen</t>
        </is>
      </c>
      <c r="B11" s="8">
        <f>COUNTIF('Detailed Test Cases'!B:B, A11)</f>
        <v/>
      </c>
      <c r="C11" s="8">
        <f>COUNTIFS('Detailed Test Cases'!B:B, A11, 'Detailed Test Cases'!G:G, "Passed")</f>
        <v/>
      </c>
      <c r="D11" s="8">
        <f>COUNTIFS('Detailed Test Cases'!B:B, A11, 'Detailed Test Cases'!G:G, "Failed")</f>
        <v/>
      </c>
      <c r="E11" s="8">
        <f>COUNTIFS('Detailed Test Cases'!B:B, A11, 'Detailed Test Cases'!G:G, "Skipped")</f>
        <v/>
      </c>
      <c r="F11" s="8">
        <f>COUNTIFS('Detailed Test Cases'!B:B, A11, 'Detailed Test Cases'!G:G, "Blocked")</f>
        <v/>
      </c>
      <c r="G11" s="8">
        <f>COUNTIFS('Detailed Test Cases'!B:B, A11, 'Detailed Test Cases'!G:G, "Not Executed")</f>
        <v/>
      </c>
    </row>
    <row r="12">
      <c r="A12" s="7" t="inlineStr">
        <is>
          <t>ForgotScreen</t>
        </is>
      </c>
      <c r="B12" s="8">
        <f>COUNTIF('Detailed Test Cases'!B:B, A12)</f>
        <v/>
      </c>
      <c r="C12" s="8">
        <f>COUNTIFS('Detailed Test Cases'!B:B, A12, 'Detailed Test Cases'!G:G, "Passed")</f>
        <v/>
      </c>
      <c r="D12" s="8">
        <f>COUNTIFS('Detailed Test Cases'!B:B, A12, 'Detailed Test Cases'!G:G, "Failed")</f>
        <v/>
      </c>
      <c r="E12" s="8">
        <f>COUNTIFS('Detailed Test Cases'!B:B, A12, 'Detailed Test Cases'!G:G, "Skipped")</f>
        <v/>
      </c>
      <c r="F12" s="8">
        <f>COUNTIFS('Detailed Test Cases'!B:B, A12, 'Detailed Test Cases'!G:G, "Blocked")</f>
        <v/>
      </c>
      <c r="G12" s="8">
        <f>COUNTIFS('Detailed Test Cases'!B:B, A12, 'Detailed Test Cases'!G:G, "Not Executed")</f>
        <v/>
      </c>
    </row>
    <row r="13">
      <c r="A13" s="7" t="inlineStr">
        <is>
          <t>SelectScreen</t>
        </is>
      </c>
      <c r="B13" s="8">
        <f>COUNTIF('Detailed Test Cases'!B:B, A13)</f>
        <v/>
      </c>
      <c r="C13" s="8">
        <f>COUNTIFS('Detailed Test Cases'!B:B, A13, 'Detailed Test Cases'!G:G, "Passed")</f>
        <v/>
      </c>
      <c r="D13" s="8">
        <f>COUNTIFS('Detailed Test Cases'!B:B, A13, 'Detailed Test Cases'!G:G, "Failed")</f>
        <v/>
      </c>
      <c r="E13" s="8">
        <f>COUNTIFS('Detailed Test Cases'!B:B, A13, 'Detailed Test Cases'!G:G, "Skipped")</f>
        <v/>
      </c>
      <c r="F13" s="8">
        <f>COUNTIFS('Detailed Test Cases'!B:B, A13, 'Detailed Test Cases'!G:G, "Blocked")</f>
        <v/>
      </c>
      <c r="G13" s="8">
        <f>COUNTIFS('Detailed Test Cases'!B:B, A13, 'Detailed Test Cases'!G:G, "Not Executed")</f>
        <v/>
      </c>
    </row>
    <row r="14">
      <c r="A14" s="7" t="inlineStr">
        <is>
          <t>GoalScreen</t>
        </is>
      </c>
      <c r="B14" s="8">
        <f>COUNTIF('Detailed Test Cases'!B:B, A14)</f>
        <v/>
      </c>
      <c r="C14" s="8">
        <f>COUNTIFS('Detailed Test Cases'!B:B, A14, 'Detailed Test Cases'!G:G, "Passed")</f>
        <v/>
      </c>
      <c r="D14" s="8">
        <f>COUNTIFS('Detailed Test Cases'!B:B, A14, 'Detailed Test Cases'!G:G, "Failed")</f>
        <v/>
      </c>
      <c r="E14" s="8">
        <f>COUNTIFS('Detailed Test Cases'!B:B, A14, 'Detailed Test Cases'!G:G, "Skipped")</f>
        <v/>
      </c>
      <c r="F14" s="8">
        <f>COUNTIFS('Detailed Test Cases'!B:B, A14, 'Detailed Test Cases'!G:G, "Blocked")</f>
        <v/>
      </c>
      <c r="G14" s="8">
        <f>COUNTIFS('Detailed Test Cases'!B:B, A14, 'Detailed Test Cases'!G:G, "Not Executed")</f>
        <v/>
      </c>
    </row>
    <row r="15">
      <c r="A15" s="7" t="inlineStr">
        <is>
          <t>GenderScreen</t>
        </is>
      </c>
      <c r="B15" s="8">
        <f>COUNTIF('Detailed Test Cases'!B:B, A15)</f>
        <v/>
      </c>
      <c r="C15" s="8">
        <f>COUNTIFS('Detailed Test Cases'!B:B, A15, 'Detailed Test Cases'!G:G, "Passed")</f>
        <v/>
      </c>
      <c r="D15" s="8">
        <f>COUNTIFS('Detailed Test Cases'!B:B, A15, 'Detailed Test Cases'!G:G, "Failed")</f>
        <v/>
      </c>
      <c r="E15" s="8">
        <f>COUNTIFS('Detailed Test Cases'!B:B, A15, 'Detailed Test Cases'!G:G, "Skipped")</f>
        <v/>
      </c>
      <c r="F15" s="8">
        <f>COUNTIFS('Detailed Test Cases'!B:B, A15, 'Detailed Test Cases'!G:G, "Blocked")</f>
        <v/>
      </c>
      <c r="G15" s="8">
        <f>COUNTIFS('Detailed Test Cases'!B:B, A15, 'Detailed Test Cases'!G:G, "Not Executed")</f>
        <v/>
      </c>
    </row>
    <row r="16">
      <c r="A16" s="7" t="inlineStr">
        <is>
          <t>FoodScreen</t>
        </is>
      </c>
      <c r="B16" s="8">
        <f>COUNTIF('Detailed Test Cases'!B:B, A16)</f>
        <v/>
      </c>
      <c r="C16" s="8">
        <f>COUNTIFS('Detailed Test Cases'!B:B, A16, 'Detailed Test Cases'!G:G, "Passed")</f>
        <v/>
      </c>
      <c r="D16" s="8">
        <f>COUNTIFS('Detailed Test Cases'!B:B, A16, 'Detailed Test Cases'!G:G, "Failed")</f>
        <v/>
      </c>
      <c r="E16" s="8">
        <f>COUNTIFS('Detailed Test Cases'!B:B, A16, 'Detailed Test Cases'!G:G, "Skipped")</f>
        <v/>
      </c>
      <c r="F16" s="8">
        <f>COUNTIFS('Detailed Test Cases'!B:B, A16, 'Detailed Test Cases'!G:G, "Blocked")</f>
        <v/>
      </c>
      <c r="G16" s="8">
        <f>COUNTIFS('Detailed Test Cases'!B:B, A16, 'Detailed Test Cases'!G:G, "Not Executed")</f>
        <v/>
      </c>
    </row>
    <row r="17">
      <c r="A17" s="7" t="inlineStr">
        <is>
          <t>LocationScreen</t>
        </is>
      </c>
      <c r="B17" s="8">
        <f>COUNTIF('Detailed Test Cases'!B:B, A17)</f>
        <v/>
      </c>
      <c r="C17" s="8">
        <f>COUNTIFS('Detailed Test Cases'!B:B, A17, 'Detailed Test Cases'!G:G, "Passed")</f>
        <v/>
      </c>
      <c r="D17" s="8">
        <f>COUNTIFS('Detailed Test Cases'!B:B, A17, 'Detailed Test Cases'!G:G, "Failed")</f>
        <v/>
      </c>
      <c r="E17" s="8">
        <f>COUNTIFS('Detailed Test Cases'!B:B, A17, 'Detailed Test Cases'!G:G, "Skipped")</f>
        <v/>
      </c>
      <c r="F17" s="8">
        <f>COUNTIFS('Detailed Test Cases'!B:B, A17, 'Detailed Test Cases'!G:G, "Blocked")</f>
        <v/>
      </c>
      <c r="G17" s="8">
        <f>COUNTIFS('Detailed Test Cases'!B:B, A17, 'Detailed Test Cases'!G:G, "Not Executed")</f>
        <v/>
      </c>
    </row>
    <row r="18">
      <c r="A18" s="7" t="inlineStr">
        <is>
          <t>NumberScreen</t>
        </is>
      </c>
      <c r="B18" s="8">
        <f>COUNTIF('Detailed Test Cases'!B:B, A18)</f>
        <v/>
      </c>
      <c r="C18" s="8">
        <f>COUNTIFS('Detailed Test Cases'!B:B, A18, 'Detailed Test Cases'!G:G, "Passed")</f>
        <v/>
      </c>
      <c r="D18" s="8">
        <f>COUNTIFS('Detailed Test Cases'!B:B, A18, 'Detailed Test Cases'!G:G, "Failed")</f>
        <v/>
      </c>
      <c r="E18" s="8">
        <f>COUNTIFS('Detailed Test Cases'!B:B, A18, 'Detailed Test Cases'!G:G, "Skipped")</f>
        <v/>
      </c>
      <c r="F18" s="8">
        <f>COUNTIFS('Detailed Test Cases'!B:B, A18, 'Detailed Test Cases'!G:G, "Blocked")</f>
        <v/>
      </c>
      <c r="G18" s="8">
        <f>COUNTIFS('Detailed Test Cases'!B:B, A18, 'Detailed Test Cases'!G:G, "Not Executed")</f>
        <v/>
      </c>
    </row>
    <row r="19">
      <c r="A19" s="7" t="inlineStr">
        <is>
          <t>DashboardScreen</t>
        </is>
      </c>
      <c r="B19" s="8">
        <f>COUNTIF('Detailed Test Cases'!B:B, A19)</f>
        <v/>
      </c>
      <c r="C19" s="8">
        <f>COUNTIFS('Detailed Test Cases'!B:B, A19, 'Detailed Test Cases'!G:G, "Passed")</f>
        <v/>
      </c>
      <c r="D19" s="8">
        <f>COUNTIFS('Detailed Test Cases'!B:B, A19, 'Detailed Test Cases'!G:G, "Failed")</f>
        <v/>
      </c>
      <c r="E19" s="8">
        <f>COUNTIFS('Detailed Test Cases'!B:B, A19, 'Detailed Test Cases'!G:G, "Skipped")</f>
        <v/>
      </c>
      <c r="F19" s="8">
        <f>COUNTIFS('Detailed Test Cases'!B:B, A19, 'Detailed Test Cases'!G:G, "Blocked")</f>
        <v/>
      </c>
      <c r="G19" s="8">
        <f>COUNTIFS('Detailed Test Cases'!B:B, A19, 'Detailed Test Cases'!G:G, "Not Executed")</f>
        <v/>
      </c>
    </row>
    <row r="20">
      <c r="A20" s="7" t="inlineStr">
        <is>
          <t>HomeTab</t>
        </is>
      </c>
      <c r="B20" s="8">
        <f>COUNTIF('Detailed Test Cases'!B:B, A20)</f>
        <v/>
      </c>
      <c r="C20" s="8">
        <f>COUNTIFS('Detailed Test Cases'!B:B, A20, 'Detailed Test Cases'!G:G, "Passed")</f>
        <v/>
      </c>
      <c r="D20" s="8">
        <f>COUNTIFS('Detailed Test Cases'!B:B, A20, 'Detailed Test Cases'!G:G, "Failed")</f>
        <v/>
      </c>
      <c r="E20" s="8">
        <f>COUNTIFS('Detailed Test Cases'!B:B, A20, 'Detailed Test Cases'!G:G, "Skipped")</f>
        <v/>
      </c>
      <c r="F20" s="8">
        <f>COUNTIFS('Detailed Test Cases'!B:B, A20, 'Detailed Test Cases'!G:G, "Blocked")</f>
        <v/>
      </c>
      <c r="G20" s="8">
        <f>COUNTIFS('Detailed Test Cases'!B:B, A20, 'Detailed Test Cases'!G:G, "Not Executed")</f>
        <v/>
      </c>
    </row>
    <row r="21">
      <c r="A21" s="7" t="inlineStr">
        <is>
          <t>HeroCard</t>
        </is>
      </c>
      <c r="B21" s="8">
        <f>COUNTIF('Detailed Test Cases'!B:B, A21)</f>
        <v/>
      </c>
      <c r="C21" s="8">
        <f>COUNTIFS('Detailed Test Cases'!B:B, A21, 'Detailed Test Cases'!G:G, "Passed")</f>
        <v/>
      </c>
      <c r="D21" s="8">
        <f>COUNTIFS('Detailed Test Cases'!B:B, A21, 'Detailed Test Cases'!G:G, "Failed")</f>
        <v/>
      </c>
      <c r="E21" s="8">
        <f>COUNTIFS('Detailed Test Cases'!B:B, A21, 'Detailed Test Cases'!G:G, "Skipped")</f>
        <v/>
      </c>
      <c r="F21" s="8">
        <f>COUNTIFS('Detailed Test Cases'!B:B, A21, 'Detailed Test Cases'!G:G, "Blocked")</f>
        <v/>
      </c>
      <c r="G21" s="8">
        <f>COUNTIFS('Detailed Test Cases'!B:B, A21, 'Detailed Test Cases'!G:G, "Not Executed")</f>
        <v/>
      </c>
    </row>
    <row r="22">
      <c r="A22" s="7" t="inlineStr">
        <is>
          <t>WorkoutDayCard</t>
        </is>
      </c>
      <c r="B22" s="8">
        <f>COUNTIF('Detailed Test Cases'!B:B, A22)</f>
        <v/>
      </c>
      <c r="C22" s="8">
        <f>COUNTIFS('Detailed Test Cases'!B:B, A22, 'Detailed Test Cases'!G:G, "Passed")</f>
        <v/>
      </c>
      <c r="D22" s="8">
        <f>COUNTIFS('Detailed Test Cases'!B:B, A22, 'Detailed Test Cases'!G:G, "Failed")</f>
        <v/>
      </c>
      <c r="E22" s="8">
        <f>COUNTIFS('Detailed Test Cases'!B:B, A22, 'Detailed Test Cases'!G:G, "Skipped")</f>
        <v/>
      </c>
      <c r="F22" s="8">
        <f>COUNTIFS('Detailed Test Cases'!B:B, A22, 'Detailed Test Cases'!G:G, "Blocked")</f>
        <v/>
      </c>
      <c r="G22" s="8">
        <f>COUNTIFS('Detailed Test Cases'!B:B, A22, 'Detailed Test Cases'!G:G, "Not Executed")</f>
        <v/>
      </c>
    </row>
    <row r="23">
      <c r="A23" s="7" t="inlineStr">
        <is>
          <t>WarmupCard</t>
        </is>
      </c>
      <c r="B23" s="8">
        <f>COUNTIF('Detailed Test Cases'!B:B, A23)</f>
        <v/>
      </c>
      <c r="C23" s="8">
        <f>COUNTIFS('Detailed Test Cases'!B:B, A23, 'Detailed Test Cases'!G:G, "Passed")</f>
        <v/>
      </c>
      <c r="D23" s="8">
        <f>COUNTIFS('Detailed Test Cases'!B:B, A23, 'Detailed Test Cases'!G:G, "Failed")</f>
        <v/>
      </c>
      <c r="E23" s="8">
        <f>COUNTIFS('Detailed Test Cases'!B:B, A23, 'Detailed Test Cases'!G:G, "Skipped")</f>
        <v/>
      </c>
      <c r="F23" s="8">
        <f>COUNTIFS('Detailed Test Cases'!B:B, A23, 'Detailed Test Cases'!G:G, "Blocked")</f>
        <v/>
      </c>
      <c r="G23" s="8">
        <f>COUNTIFS('Detailed Test Cases'!B:B, A23, 'Detailed Test Cases'!G:G, "Not Executed")</f>
        <v/>
      </c>
    </row>
    <row r="24">
      <c r="A24" s="7" t="inlineStr">
        <is>
          <t>DietDayCard</t>
        </is>
      </c>
      <c r="B24" s="8">
        <f>COUNTIF('Detailed Test Cases'!B:B, A24)</f>
        <v/>
      </c>
      <c r="C24" s="8">
        <f>COUNTIFS('Detailed Test Cases'!B:B, A24, 'Detailed Test Cases'!G:G, "Passed")</f>
        <v/>
      </c>
      <c r="D24" s="8">
        <f>COUNTIFS('Detailed Test Cases'!B:B, A24, 'Detailed Test Cases'!G:G, "Failed")</f>
        <v/>
      </c>
      <c r="E24" s="8">
        <f>COUNTIFS('Detailed Test Cases'!B:B, A24, 'Detailed Test Cases'!G:G, "Skipped")</f>
        <v/>
      </c>
      <c r="F24" s="8">
        <f>COUNTIFS('Detailed Test Cases'!B:B, A24, 'Detailed Test Cases'!G:G, "Blocked")</f>
        <v/>
      </c>
      <c r="G24" s="8">
        <f>COUNTIFS('Detailed Test Cases'!B:B, A24, 'Detailed Test Cases'!G:G, "Not Executed")</f>
        <v/>
      </c>
    </row>
    <row r="25">
      <c r="A25" s="7" t="inlineStr">
        <is>
          <t>BudgetFoodSection</t>
        </is>
      </c>
      <c r="B25" s="8">
        <f>COUNTIF('Detailed Test Cases'!B:B, A25)</f>
        <v/>
      </c>
      <c r="C25" s="8">
        <f>COUNTIFS('Detailed Test Cases'!B:B, A25, 'Detailed Test Cases'!G:G, "Passed")</f>
        <v/>
      </c>
      <c r="D25" s="8">
        <f>COUNTIFS('Detailed Test Cases'!B:B, A25, 'Detailed Test Cases'!G:G, "Failed")</f>
        <v/>
      </c>
      <c r="E25" s="8">
        <f>COUNTIFS('Detailed Test Cases'!B:B, A25, 'Detailed Test Cases'!G:G, "Skipped")</f>
        <v/>
      </c>
      <c r="F25" s="8">
        <f>COUNTIFS('Detailed Test Cases'!B:B, A25, 'Detailed Test Cases'!G:G, "Blocked")</f>
        <v/>
      </c>
      <c r="G25" s="8">
        <f>COUNTIFS('Detailed Test Cases'!B:B, A25, 'Detailed Test Cases'!G:G, "Not Executed")</f>
        <v/>
      </c>
    </row>
    <row r="26">
      <c r="A26" s="7" t="inlineStr">
        <is>
          <t>PlansTab</t>
        </is>
      </c>
      <c r="B26" s="8">
        <f>COUNTIF('Detailed Test Cases'!B:B, A26)</f>
        <v/>
      </c>
      <c r="C26" s="8">
        <f>COUNTIFS('Detailed Test Cases'!B:B, A26, 'Detailed Test Cases'!G:G, "Passed")</f>
        <v/>
      </c>
      <c r="D26" s="8">
        <f>COUNTIFS('Detailed Test Cases'!B:B, A26, 'Detailed Test Cases'!G:G, "Failed")</f>
        <v/>
      </c>
      <c r="E26" s="8">
        <f>COUNTIFS('Detailed Test Cases'!B:B, A26, 'Detailed Test Cases'!G:G, "Skipped")</f>
        <v/>
      </c>
      <c r="F26" s="8">
        <f>COUNTIFS('Detailed Test Cases'!B:B, A26, 'Detailed Test Cases'!G:G, "Blocked")</f>
        <v/>
      </c>
      <c r="G26" s="8">
        <f>COUNTIFS('Detailed Test Cases'!B:B, A26, 'Detailed Test Cases'!G:G, "Not Executed")</f>
        <v/>
      </c>
    </row>
    <row r="27">
      <c r="A27" s="7" t="inlineStr">
        <is>
          <t>TrackersTab</t>
        </is>
      </c>
      <c r="B27" s="8">
        <f>COUNTIF('Detailed Test Cases'!B:B, A27)</f>
        <v/>
      </c>
      <c r="C27" s="8">
        <f>COUNTIFS('Detailed Test Cases'!B:B, A27, 'Detailed Test Cases'!G:G, "Passed")</f>
        <v/>
      </c>
      <c r="D27" s="8">
        <f>COUNTIFS('Detailed Test Cases'!B:B, A27, 'Detailed Test Cases'!G:G, "Failed")</f>
        <v/>
      </c>
      <c r="E27" s="8">
        <f>COUNTIFS('Detailed Test Cases'!B:B, A27, 'Detailed Test Cases'!G:G, "Skipped")</f>
        <v/>
      </c>
      <c r="F27" s="8">
        <f>COUNTIFS('Detailed Test Cases'!B:B, A27, 'Detailed Test Cases'!G:G, "Blocked")</f>
        <v/>
      </c>
      <c r="G27" s="8">
        <f>COUNTIFS('Detailed Test Cases'!B:B, A27, 'Detailed Test Cases'!G:G, "Not Executed")</f>
        <v/>
      </c>
    </row>
    <row r="28">
      <c r="A28" s="7" t="inlineStr">
        <is>
          <t>WaterTrackerSection</t>
        </is>
      </c>
      <c r="B28" s="8">
        <f>COUNTIF('Detailed Test Cases'!B:B, A28)</f>
        <v/>
      </c>
      <c r="C28" s="8">
        <f>COUNTIFS('Detailed Test Cases'!B:B, A28, 'Detailed Test Cases'!G:G, "Passed")</f>
        <v/>
      </c>
      <c r="D28" s="8">
        <f>COUNTIFS('Detailed Test Cases'!B:B, A28, 'Detailed Test Cases'!G:G, "Failed")</f>
        <v/>
      </c>
      <c r="E28" s="8">
        <f>COUNTIFS('Detailed Test Cases'!B:B, A28, 'Detailed Test Cases'!G:G, "Skipped")</f>
        <v/>
      </c>
      <c r="F28" s="8">
        <f>COUNTIFS('Detailed Test Cases'!B:B, A28, 'Detailed Test Cases'!G:G, "Blocked")</f>
        <v/>
      </c>
      <c r="G28" s="8">
        <f>COUNTIFS('Detailed Test Cases'!B:B, A28, 'Detailed Test Cases'!G:G, "Not Executed")</f>
        <v/>
      </c>
    </row>
    <row r="29">
      <c r="A29" s="7" t="inlineStr">
        <is>
          <t>SleepTrackerSection</t>
        </is>
      </c>
      <c r="B29" s="8">
        <f>COUNTIF('Detailed Test Cases'!B:B, A29)</f>
        <v/>
      </c>
      <c r="C29" s="8">
        <f>COUNTIFS('Detailed Test Cases'!B:B, A29, 'Detailed Test Cases'!G:G, "Passed")</f>
        <v/>
      </c>
      <c r="D29" s="8">
        <f>COUNTIFS('Detailed Test Cases'!B:B, A29, 'Detailed Test Cases'!G:G, "Failed")</f>
        <v/>
      </c>
      <c r="E29" s="8">
        <f>COUNTIFS('Detailed Test Cases'!B:B, A29, 'Detailed Test Cases'!G:G, "Skipped")</f>
        <v/>
      </c>
      <c r="F29" s="8">
        <f>COUNTIFS('Detailed Test Cases'!B:B, A29, 'Detailed Test Cases'!G:G, "Blocked")</f>
        <v/>
      </c>
      <c r="G29" s="8">
        <f>COUNTIFS('Detailed Test Cases'!B:B, A29, 'Detailed Test Cases'!G:G, "Not Executed")</f>
        <v/>
      </c>
    </row>
    <row r="30">
      <c r="A30" s="7" t="inlineStr">
        <is>
          <t>StepTrackerSection</t>
        </is>
      </c>
      <c r="B30" s="8">
        <f>COUNTIF('Detailed Test Cases'!B:B, A30)</f>
        <v/>
      </c>
      <c r="C30" s="8">
        <f>COUNTIFS('Detailed Test Cases'!B:B, A30, 'Detailed Test Cases'!G:G, "Passed")</f>
        <v/>
      </c>
      <c r="D30" s="8">
        <f>COUNTIFS('Detailed Test Cases'!B:B, A30, 'Detailed Test Cases'!G:G, "Failed")</f>
        <v/>
      </c>
      <c r="E30" s="8">
        <f>COUNTIFS('Detailed Test Cases'!B:B, A30, 'Detailed Test Cases'!G:G, "Skipped")</f>
        <v/>
      </c>
      <c r="F30" s="8">
        <f>COUNTIFS('Detailed Test Cases'!B:B, A30, 'Detailed Test Cases'!G:G, "Blocked")</f>
        <v/>
      </c>
      <c r="G30" s="8">
        <f>COUNTIFS('Detailed Test Cases'!B:B, A30, 'Detailed Test Cases'!G:G, "Not Executed")</f>
        <v/>
      </c>
    </row>
    <row r="31">
      <c r="A31" s="7" t="inlineStr">
        <is>
          <t>AITrainerScreen</t>
        </is>
      </c>
      <c r="B31" s="8">
        <f>COUNTIF('Detailed Test Cases'!B:B, A31)</f>
        <v/>
      </c>
      <c r="C31" s="8">
        <f>COUNTIFS('Detailed Test Cases'!B:B, A31, 'Detailed Test Cases'!G:G, "Passed")</f>
        <v/>
      </c>
      <c r="D31" s="8">
        <f>COUNTIFS('Detailed Test Cases'!B:B, A31, 'Detailed Test Cases'!G:G, "Failed")</f>
        <v/>
      </c>
      <c r="E31" s="8">
        <f>COUNTIFS('Detailed Test Cases'!B:B, A31, 'Detailed Test Cases'!G:G, "Skipped")</f>
        <v/>
      </c>
      <c r="F31" s="8">
        <f>COUNTIFS('Detailed Test Cases'!B:B, A31, 'Detailed Test Cases'!G:G, "Blocked")</f>
        <v/>
      </c>
      <c r="G31" s="8">
        <f>COUNTIFS('Detailed Test Cases'!B:B, A31, 'Detailed Test Cases'!G:G, "Not Executed")</f>
        <v/>
      </c>
    </row>
    <row r="32">
      <c r="A32" s="7" t="inlineStr">
        <is>
          <t>ShopTab</t>
        </is>
      </c>
      <c r="B32" s="8">
        <f>COUNTIF('Detailed Test Cases'!B:B, A32)</f>
        <v/>
      </c>
      <c r="C32" s="8">
        <f>COUNTIFS('Detailed Test Cases'!B:B, A32, 'Detailed Test Cases'!G:G, "Passed")</f>
        <v/>
      </c>
      <c r="D32" s="8">
        <f>COUNTIFS('Detailed Test Cases'!B:B, A32, 'Detailed Test Cases'!G:G, "Failed")</f>
        <v/>
      </c>
      <c r="E32" s="8">
        <f>COUNTIFS('Detailed Test Cases'!B:B, A32, 'Detailed Test Cases'!G:G, "Skipped")</f>
        <v/>
      </c>
      <c r="F32" s="8">
        <f>COUNTIFS('Detailed Test Cases'!B:B, A32, 'Detailed Test Cases'!G:G, "Blocked")</f>
        <v/>
      </c>
      <c r="G32" s="8">
        <f>COUNTIFS('Detailed Test Cases'!B:B, A32, 'Detailed Test Cases'!G:G, "Not Executed")</f>
        <v/>
      </c>
    </row>
    <row r="33">
      <c r="A33" s="7" t="inlineStr">
        <is>
          <t>BudgetProductCard</t>
        </is>
      </c>
      <c r="B33" s="8">
        <f>COUNTIF('Detailed Test Cases'!B:B, A33)</f>
        <v/>
      </c>
      <c r="C33" s="8">
        <f>COUNTIFS('Detailed Test Cases'!B:B, A33, 'Detailed Test Cases'!G:G, "Passed")</f>
        <v/>
      </c>
      <c r="D33" s="8">
        <f>COUNTIFS('Detailed Test Cases'!B:B, A33, 'Detailed Test Cases'!G:G, "Failed")</f>
        <v/>
      </c>
      <c r="E33" s="8">
        <f>COUNTIFS('Detailed Test Cases'!B:B, A33, 'Detailed Test Cases'!G:G, "Skipped")</f>
        <v/>
      </c>
      <c r="F33" s="8">
        <f>COUNTIFS('Detailed Test Cases'!B:B, A33, 'Detailed Test Cases'!G:G, "Blocked")</f>
        <v/>
      </c>
      <c r="G33" s="8">
        <f>COUNTIFS('Detailed Test Cases'!B:B, A33, 'Detailed Test Cases'!G:G, "Not Executed")</f>
        <v/>
      </c>
    </row>
    <row r="34">
      <c r="A34" s="7" t="inlineStr">
        <is>
          <t>CartScreen</t>
        </is>
      </c>
      <c r="B34" s="8">
        <f>COUNTIF('Detailed Test Cases'!B:B, A34)</f>
        <v/>
      </c>
      <c r="C34" s="8">
        <f>COUNTIFS('Detailed Test Cases'!B:B, A34, 'Detailed Test Cases'!G:G, "Passed")</f>
        <v/>
      </c>
      <c r="D34" s="8">
        <f>COUNTIFS('Detailed Test Cases'!B:B, A34, 'Detailed Test Cases'!G:G, "Failed")</f>
        <v/>
      </c>
      <c r="E34" s="8">
        <f>COUNTIFS('Detailed Test Cases'!B:B, A34, 'Detailed Test Cases'!G:G, "Skipped")</f>
        <v/>
      </c>
      <c r="F34" s="8">
        <f>COUNTIFS('Detailed Test Cases'!B:B, A34, 'Detailed Test Cases'!G:G, "Blocked")</f>
        <v/>
      </c>
      <c r="G34" s="8">
        <f>COUNTIFS('Detailed Test Cases'!B:B, A34, 'Detailed Test Cases'!G:G, "Not Executed")</f>
        <v/>
      </c>
    </row>
    <row r="35">
      <c r="A35" s="7" t="inlineStr">
        <is>
          <t>CheckoutScreen</t>
        </is>
      </c>
      <c r="B35" s="8">
        <f>COUNTIF('Detailed Test Cases'!B:B, A35)</f>
        <v/>
      </c>
      <c r="C35" s="8">
        <f>COUNTIFS('Detailed Test Cases'!B:B, A35, 'Detailed Test Cases'!G:G, "Passed")</f>
        <v/>
      </c>
      <c r="D35" s="8">
        <f>COUNTIFS('Detailed Test Cases'!B:B, A35, 'Detailed Test Cases'!G:G, "Failed")</f>
        <v/>
      </c>
      <c r="E35" s="8">
        <f>COUNTIFS('Detailed Test Cases'!B:B, A35, 'Detailed Test Cases'!G:G, "Skipped")</f>
        <v/>
      </c>
      <c r="F35" s="8">
        <f>COUNTIFS('Detailed Test Cases'!B:B, A35, 'Detailed Test Cases'!G:G, "Blocked")</f>
        <v/>
      </c>
      <c r="G35" s="8">
        <f>COUNTIFS('Detailed Test Cases'!B:B, A35, 'Detailed Test Cases'!G:G, "Not Executed")</f>
        <v/>
      </c>
    </row>
    <row r="36">
      <c r="A36" s="7" t="inlineStr">
        <is>
          <t>AddressManagementSection</t>
        </is>
      </c>
      <c r="B36" s="8">
        <f>COUNTIF('Detailed Test Cases'!B:B, A36)</f>
        <v/>
      </c>
      <c r="C36" s="8">
        <f>COUNTIFS('Detailed Test Cases'!B:B, A36, 'Detailed Test Cases'!G:G, "Passed")</f>
        <v/>
      </c>
      <c r="D36" s="8">
        <f>COUNTIFS('Detailed Test Cases'!B:B, A36, 'Detailed Test Cases'!G:G, "Failed")</f>
        <v/>
      </c>
      <c r="E36" s="8">
        <f>COUNTIFS('Detailed Test Cases'!B:B, A36, 'Detailed Test Cases'!G:G, "Skipped")</f>
        <v/>
      </c>
      <c r="F36" s="8">
        <f>COUNTIFS('Detailed Test Cases'!B:B, A36, 'Detailed Test Cases'!G:G, "Blocked")</f>
        <v/>
      </c>
      <c r="G36" s="8">
        <f>COUNTIFS('Detailed Test Cases'!B:B, A36, 'Detailed Test Cases'!G:G, "Not Executed")</f>
        <v/>
      </c>
    </row>
    <row r="37">
      <c r="A37" s="7" t="inlineStr">
        <is>
          <t>OrderConfirmationScreen</t>
        </is>
      </c>
      <c r="B37" s="8">
        <f>COUNTIF('Detailed Test Cases'!B:B, A37)</f>
        <v/>
      </c>
      <c r="C37" s="8">
        <f>COUNTIFS('Detailed Test Cases'!B:B, A37, 'Detailed Test Cases'!G:G, "Passed")</f>
        <v/>
      </c>
      <c r="D37" s="8">
        <f>COUNTIFS('Detailed Test Cases'!B:B, A37, 'Detailed Test Cases'!G:G, "Failed")</f>
        <v/>
      </c>
      <c r="E37" s="8">
        <f>COUNTIFS('Detailed Test Cases'!B:B, A37, 'Detailed Test Cases'!G:G, "Skipped")</f>
        <v/>
      </c>
      <c r="F37" s="8">
        <f>COUNTIFS('Detailed Test Cases'!B:B, A37, 'Detailed Test Cases'!G:G, "Blocked")</f>
        <v/>
      </c>
      <c r="G37" s="8">
        <f>COUNTIFS('Detailed Test Cases'!B:B, A37, 'Detailed Test Cases'!G:G, "Not Executed")</f>
        <v/>
      </c>
    </row>
    <row r="38">
      <c r="A38" s="7" t="inlineStr">
        <is>
          <t>MyOrdersScreen</t>
        </is>
      </c>
      <c r="B38" s="8">
        <f>COUNTIF('Detailed Test Cases'!B:B, A38)</f>
        <v/>
      </c>
      <c r="C38" s="8">
        <f>COUNTIFS('Detailed Test Cases'!B:B, A38, 'Detailed Test Cases'!G:G, "Passed")</f>
        <v/>
      </c>
      <c r="D38" s="8">
        <f>COUNTIFS('Detailed Test Cases'!B:B, A38, 'Detailed Test Cases'!G:G, "Failed")</f>
        <v/>
      </c>
      <c r="E38" s="8">
        <f>COUNTIFS('Detailed Test Cases'!B:B, A38, 'Detailed Test Cases'!G:G, "Skipped")</f>
        <v/>
      </c>
      <c r="F38" s="8">
        <f>COUNTIFS('Detailed Test Cases'!B:B, A38, 'Detailed Test Cases'!G:G, "Blocked")</f>
        <v/>
      </c>
      <c r="G38" s="8">
        <f>COUNTIFS('Detailed Test Cases'!B:B, A38, 'Detailed Test Cases'!G:G, "Not Executed")</f>
        <v/>
      </c>
    </row>
    <row r="39">
      <c r="A39" s="7" t="inlineStr">
        <is>
          <t>OrderTrackingTimeline</t>
        </is>
      </c>
      <c r="B39" s="8">
        <f>COUNTIF('Detailed Test Cases'!B:B, A39)</f>
        <v/>
      </c>
      <c r="C39" s="8">
        <f>COUNTIFS('Detailed Test Cases'!B:B, A39, 'Detailed Test Cases'!G:G, "Passed")</f>
        <v/>
      </c>
      <c r="D39" s="8">
        <f>COUNTIFS('Detailed Test Cases'!B:B, A39, 'Detailed Test Cases'!G:G, "Failed")</f>
        <v/>
      </c>
      <c r="E39" s="8">
        <f>COUNTIFS('Detailed Test Cases'!B:B, A39, 'Detailed Test Cases'!G:G, "Skipped")</f>
        <v/>
      </c>
      <c r="F39" s="8">
        <f>COUNTIFS('Detailed Test Cases'!B:B, A39, 'Detailed Test Cases'!G:G, "Blocked")</f>
        <v/>
      </c>
      <c r="G39" s="8">
        <f>COUNTIFS('Detailed Test Cases'!B:B, A39, 'Detailed Test Cases'!G:G, "Not Executed")</f>
        <v/>
      </c>
    </row>
    <row r="40">
      <c r="A40" s="7" t="inlineStr">
        <is>
          <t>ProfileTab</t>
        </is>
      </c>
      <c r="B40" s="8">
        <f>COUNTIF('Detailed Test Cases'!B:B, A40)</f>
        <v/>
      </c>
      <c r="C40" s="8">
        <f>COUNTIFS('Detailed Test Cases'!B:B, A40, 'Detailed Test Cases'!G:G, "Passed")</f>
        <v/>
      </c>
      <c r="D40" s="8">
        <f>COUNTIFS('Detailed Test Cases'!B:B, A40, 'Detailed Test Cases'!G:G, "Failed")</f>
        <v/>
      </c>
      <c r="E40" s="8">
        <f>COUNTIFS('Detailed Test Cases'!B:B, A40, 'Detailed Test Cases'!G:G, "Skipped")</f>
        <v/>
      </c>
      <c r="F40" s="8">
        <f>COUNTIFS('Detailed Test Cases'!B:B, A40, 'Detailed Test Cases'!G:G, "Blocked")</f>
        <v/>
      </c>
      <c r="G40" s="8">
        <f>COUNTIFS('Detailed Test Cases'!B:B, A40, 'Detailed Test Cases'!G:G, "Not Executed")</f>
        <v/>
      </c>
    </row>
    <row r="41">
      <c r="A41" s="7" t="inlineStr">
        <is>
          <t>RemindersNotificationModule</t>
        </is>
      </c>
      <c r="B41" s="8">
        <f>COUNTIF('Detailed Test Cases'!B:B, A41)</f>
        <v/>
      </c>
      <c r="C41" s="8">
        <f>COUNTIFS('Detailed Test Cases'!B:B, A41, 'Detailed Test Cases'!G:G, "Passed")</f>
        <v/>
      </c>
      <c r="D41" s="8">
        <f>COUNTIFS('Detailed Test Cases'!B:B, A41, 'Detailed Test Cases'!G:G, "Failed")</f>
        <v/>
      </c>
      <c r="E41" s="8">
        <f>COUNTIFS('Detailed Test Cases'!B:B, A41, 'Detailed Test Cases'!G:G, "Skipped")</f>
        <v/>
      </c>
      <c r="F41" s="8">
        <f>COUNTIFS('Detailed Test Cases'!B:B, A41, 'Detailed Test Cases'!G:G, "Blocked")</f>
        <v/>
      </c>
      <c r="G41" s="8">
        <f>COUNTIFS('Detailed Test Cases'!B:B, A41, 'Detailed Test Cases'!G:G, "Not Executed")</f>
        <v/>
      </c>
    </row>
    <row r="42">
      <c r="A42" s="7" t="inlineStr">
        <is>
          <t>SettingsLocalizationModule</t>
        </is>
      </c>
      <c r="B42" s="8">
        <f>COUNTIF('Detailed Test Cases'!B:B, A42)</f>
        <v/>
      </c>
      <c r="C42" s="8">
        <f>COUNTIFS('Detailed Test Cases'!B:B, A42, 'Detailed Test Cases'!G:G, "Passed")</f>
        <v/>
      </c>
      <c r="D42" s="8">
        <f>COUNTIFS('Detailed Test Cases'!B:B, A42, 'Detailed Test Cases'!G:G, "Failed")</f>
        <v/>
      </c>
      <c r="E42" s="8">
        <f>COUNTIFS('Detailed Test Cases'!B:B, A42, 'Detailed Test Cases'!G:G, "Skipped")</f>
        <v/>
      </c>
      <c r="F42" s="8">
        <f>COUNTIFS('Detailed Test Cases'!B:B, A42, 'Detailed Test Cases'!G:G, "Blocked")</f>
        <v/>
      </c>
      <c r="G42" s="8">
        <f>COUNTIFS('Detailed Test Cases'!B:B, A42, 'Detailed Test Cases'!G:G, "Not Executed")</f>
        <v/>
      </c>
    </row>
    <row r="43">
      <c r="A43" s="7" t="inlineStr">
        <is>
          <t>SupabaseIntegrationModule</t>
        </is>
      </c>
      <c r="B43" s="8">
        <f>COUNTIF('Detailed Test Cases'!B:B, A43)</f>
        <v/>
      </c>
      <c r="C43" s="8">
        <f>COUNTIFS('Detailed Test Cases'!B:B, A43, 'Detailed Test Cases'!G:G, "Passed")</f>
        <v/>
      </c>
      <c r="D43" s="8">
        <f>COUNTIFS('Detailed Test Cases'!B:B, A43, 'Detailed Test Cases'!G:G, "Failed")</f>
        <v/>
      </c>
      <c r="E43" s="8">
        <f>COUNTIFS('Detailed Test Cases'!B:B, A43, 'Detailed Test Cases'!G:G, "Skipped")</f>
        <v/>
      </c>
      <c r="F43" s="8">
        <f>COUNTIFS('Detailed Test Cases'!B:B, A43, 'Detailed Test Cases'!G:G, "Blocked")</f>
        <v/>
      </c>
      <c r="G43" s="8">
        <f>COUNTIFS('Detailed Test Cases'!B:B, A43, 'Detailed Test Cases'!G:G, "Not Executed")</f>
        <v/>
      </c>
    </row>
    <row r="44">
      <c r="A44" s="9" t="inlineStr">
        <is>
          <t>Total Suite</t>
        </is>
      </c>
      <c r="B44" s="10">
        <f>SUM(B9:B43)</f>
        <v/>
      </c>
      <c r="C44" s="10">
        <f>SUM(C9:C43)</f>
        <v/>
      </c>
      <c r="D44" s="10">
        <f>SUM(D9:D43)</f>
        <v/>
      </c>
      <c r="E44" s="10">
        <f>SUM(E9:E43)</f>
        <v/>
      </c>
      <c r="F44" s="10">
        <f>SUM(F9:F43)</f>
        <v/>
      </c>
      <c r="G44" s="10">
        <f>SUM(G9:G43)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5" customWidth="1" min="3" max="3"/>
    <col width="45" customWidth="1" min="4" max="4"/>
    <col width="35" customWidth="1" min="5" max="5"/>
    <col width="18" customWidth="1" min="6" max="6"/>
    <col width="15" customWidth="1" min="7" max="7"/>
    <col width="12" customWidth="1" min="8" max="8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Test Steps</t>
        </is>
      </c>
      <c r="E1" s="6" t="inlineStr">
        <is>
          <t>Expected Result</t>
        </is>
      </c>
      <c r="F1" s="6" t="inlineStr">
        <is>
          <t>Actual Result</t>
        </is>
      </c>
      <c r="G1" s="6" t="inlineStr">
        <is>
          <t>Status</t>
        </is>
      </c>
      <c r="H1" s="6" t="inlineStr">
        <is>
          <t>Priority</t>
        </is>
      </c>
    </row>
    <row r="2" ht="42" customHeight="1">
      <c r="A2" s="11" t="inlineStr">
        <is>
          <t>TC_001</t>
        </is>
      </c>
      <c r="B2" s="12" t="inlineStr">
        <is>
          <t>SplashScreen</t>
        </is>
      </c>
      <c r="C2" s="12" t="inlineStr">
        <is>
          <t>Verify brute-force defense and authentication lockout rules on SplashScreen</t>
        </is>
      </c>
      <c r="D2" s="12" t="inlineStr">
        <is>
          <t>Submit 10 rapid invalid login/auth attempts on SplashScreen.
Inspect response headers.
Verify account locks after 5 attempts with 429 status.</t>
        </is>
      </c>
      <c r="E2" s="12" t="inlineStr">
        <is>
          <t>Security control for SplashScreen successfully blocks unauthorized access or malicious input.</t>
        </is>
      </c>
      <c r="F2" s="12" t="inlineStr">
        <is>
          <t>Not Executed</t>
        </is>
      </c>
      <c r="G2" s="13" t="inlineStr">
        <is>
          <t>Not Executed</t>
        </is>
      </c>
      <c r="H2" s="11" t="inlineStr">
        <is>
          <t>Medium</t>
        </is>
      </c>
    </row>
    <row r="3" ht="42" customHeight="1">
      <c r="A3" s="11" t="inlineStr">
        <is>
          <t>TC_002</t>
        </is>
      </c>
      <c r="B3" s="12" t="inlineStr">
        <is>
          <t>SplashScreen</t>
        </is>
      </c>
      <c r="C3" s="12" t="inlineStr">
        <is>
          <t>Verify role-based access control (RBAC) and IDOR vulnerability defense on SplashScreen</t>
        </is>
      </c>
      <c r="D3" s="12" t="inlineStr">
        <is>
          <t>Attempt accessing secondary user private resource on SplashScreen using non-owner JWT.
Inspect server response.
Verify access denied with 403 Forbidden.</t>
        </is>
      </c>
      <c r="E3" s="12" t="inlineStr">
        <is>
          <t>Security control for SplashScreen successfully blocks unauthorized access or malicious input.</t>
        </is>
      </c>
      <c r="F3" s="12" t="inlineStr">
        <is>
          <t>Not Executed</t>
        </is>
      </c>
      <c r="G3" s="13" t="inlineStr">
        <is>
          <t>Not Executed</t>
        </is>
      </c>
      <c r="H3" s="11" t="inlineStr">
        <is>
          <t>Medium</t>
        </is>
      </c>
    </row>
    <row r="4" ht="42" customHeight="1">
      <c r="A4" s="11" t="inlineStr">
        <is>
          <t>TC_003</t>
        </is>
      </c>
      <c r="B4" s="12" t="inlineStr">
        <is>
          <t>SplashScreen</t>
        </is>
      </c>
      <c r="C4" s="12" t="inlineStr">
        <is>
          <t>Verify session JWT token expiration and invalidation handling on SplashScreen</t>
        </is>
      </c>
      <c r="D4" s="12" t="inlineStr">
        <is>
          <t>Present expired JWT token to SplashScreen API endpoint.
Inspect response.
Verify session invalidated and redirected to login.</t>
        </is>
      </c>
      <c r="E4" s="12" t="inlineStr">
        <is>
          <t>Input validation on SplashScreen correctly enforces rules and displays error hints.</t>
        </is>
      </c>
      <c r="F4" s="12" t="inlineStr">
        <is>
          <t>Not Executed</t>
        </is>
      </c>
      <c r="G4" s="13" t="inlineStr">
        <is>
          <t>Not Executed</t>
        </is>
      </c>
      <c r="H4" s="11" t="inlineStr">
        <is>
          <t>High</t>
        </is>
      </c>
    </row>
    <row r="5" ht="42" customHeight="1">
      <c r="A5" s="11" t="inlineStr">
        <is>
          <t>TC_004</t>
        </is>
      </c>
      <c r="B5" s="12" t="inlineStr">
        <is>
          <t>SplashScreen</t>
        </is>
      </c>
      <c r="C5" s="12" t="inlineStr">
        <is>
          <t>Verify input sanitization and SQL injection defense on SplashScreen</t>
        </is>
      </c>
      <c r="D5" s="12" t="inlineStr">
        <is>
          <t>Submit safe SQLi test string `' OR '1'='1` into input fields on SplashScreen.
Inspect database query log.
Verify query parameterized without syntax error.</t>
        </is>
      </c>
      <c r="E5" s="12" t="inlineStr">
        <is>
          <t>Input validation on SplashScreen correctly enforces rules and displays error hints.</t>
        </is>
      </c>
      <c r="F5" s="12" t="inlineStr">
        <is>
          <t>Not Executed</t>
        </is>
      </c>
      <c r="G5" s="13" t="inlineStr">
        <is>
          <t>Not Executed</t>
        </is>
      </c>
      <c r="H5" s="11" t="inlineStr">
        <is>
          <t>Medium</t>
        </is>
      </c>
    </row>
    <row r="6" ht="42" customHeight="1">
      <c r="A6" s="11" t="inlineStr">
        <is>
          <t>TC_005</t>
        </is>
      </c>
      <c r="B6" s="12" t="inlineStr">
        <is>
          <t>SplashScreen</t>
        </is>
      </c>
      <c r="C6" s="12" t="inlineStr">
        <is>
          <t>Verify Cross-Site Scripting (XSS) DOM escaping and sanitization on SplashScreen</t>
        </is>
      </c>
      <c r="D6" s="12" t="inlineStr">
        <is>
          <t>Submit safe script tag `&lt;script&gt;alert(1)&lt;/script&gt;` into SplashScreen input fields.
Inspect rendered DOM node.
Verify string rendered as literal text without execution.</t>
        </is>
      </c>
      <c r="E6" s="12" t="inlineStr">
        <is>
          <t>Endpoint for SplashScreen handles load within SLA response time limits with 0.0% errors.</t>
        </is>
      </c>
      <c r="F6" s="12" t="inlineStr">
        <is>
          <t>Not Executed</t>
        </is>
      </c>
      <c r="G6" s="13" t="inlineStr">
        <is>
          <t>Not Executed</t>
        </is>
      </c>
      <c r="H6" s="11" t="inlineStr">
        <is>
          <t>Low</t>
        </is>
      </c>
    </row>
    <row r="7" ht="42" customHeight="1">
      <c r="A7" s="11" t="inlineStr">
        <is>
          <t>TC_006</t>
        </is>
      </c>
      <c r="B7" s="12" t="inlineStr">
        <is>
          <t>SplashScreen</t>
        </is>
      </c>
      <c r="C7" s="12" t="inlineStr">
        <is>
          <t>Verify TLS 1.3 transport layer encryption enforcement on SplashScreen</t>
        </is>
      </c>
      <c r="D7" s="12" t="inlineStr">
        <is>
          <t>Inspect network connection parameters for SplashScreen using security audit proxy.
Verify TLS 1.3/1.2 cipher suite.
Confirm insecure HTTP blocked.</t>
        </is>
      </c>
      <c r="E7" s="12" t="inlineStr">
        <is>
          <t>Verify expected behavior for SplashScreen under Safe Vulnerability &amp; Security Checks scenario #6.</t>
        </is>
      </c>
      <c r="F7" s="12" t="inlineStr">
        <is>
          <t>Not Executed</t>
        </is>
      </c>
      <c r="G7" s="13" t="inlineStr">
        <is>
          <t>Not Executed</t>
        </is>
      </c>
      <c r="H7" s="11" t="inlineStr">
        <is>
          <t>High</t>
        </is>
      </c>
    </row>
    <row r="8" ht="42" customHeight="1">
      <c r="A8" s="11" t="inlineStr">
        <is>
          <t>TC_007</t>
        </is>
      </c>
      <c r="B8" s="12" t="inlineStr">
        <is>
          <t>SplashScreen</t>
        </is>
      </c>
      <c r="C8" s="12" t="inlineStr">
        <is>
          <t>Verify API rate limiting 429 Too Many Requests response on SplashScreen</t>
        </is>
      </c>
      <c r="D8" s="12" t="inlineStr">
        <is>
          <t>Send 100 rapid requests within 5 seconds to SplashScreen public API endpoint.
Inspect response status.
Verify HTTP 429 rate limit error returned.</t>
        </is>
      </c>
      <c r="E8" s="12" t="inlineStr">
        <is>
          <t>Endpoint for SplashScreen handles load within SLA response time limits with 0.0% errors.</t>
        </is>
      </c>
      <c r="F8" s="12" t="inlineStr">
        <is>
          <t>Not Executed</t>
        </is>
      </c>
      <c r="G8" s="13" t="inlineStr">
        <is>
          <t>Not Executed</t>
        </is>
      </c>
      <c r="H8" s="11" t="inlineStr">
        <is>
          <t>Medium</t>
        </is>
      </c>
    </row>
    <row r="9" ht="42" customHeight="1">
      <c r="A9" s="11" t="inlineStr">
        <is>
          <t>TC_008</t>
        </is>
      </c>
      <c r="B9" s="12" t="inlineStr">
        <is>
          <t>SplashScreen</t>
        </is>
      </c>
      <c r="C9" s="12" t="inlineStr">
        <is>
          <t>Verify Supabase Row Level Security (RLS) policy enforcement on SplashScreen</t>
        </is>
      </c>
      <c r="D9" s="12" t="inlineStr">
        <is>
          <t>Execute direct database query on SplashScreen table without authorization header.
Inspect PostgreSQL response.
Verify RLS policy blocks unauthorized row access.</t>
        </is>
      </c>
      <c r="E9" s="12" t="inlineStr">
        <is>
          <t>Security control for SplashScreen successfully blocks unauthorized access or malicious input.</t>
        </is>
      </c>
      <c r="F9" s="12" t="inlineStr">
        <is>
          <t>Not Executed</t>
        </is>
      </c>
      <c r="G9" s="13" t="inlineStr">
        <is>
          <t>Not Executed</t>
        </is>
      </c>
      <c r="H9" s="11" t="inlineStr">
        <is>
          <t>Medium</t>
        </is>
      </c>
    </row>
    <row r="10" ht="42" customHeight="1">
      <c r="A10" s="11" t="inlineStr">
        <is>
          <t>TC_009</t>
        </is>
      </c>
      <c r="B10" s="12" t="inlineStr">
        <is>
          <t>SplashScreen</t>
        </is>
      </c>
      <c r="C10" s="12" t="inlineStr">
        <is>
          <t>Verify privileged route guard interception on unauthenticated access to SplashScreen</t>
        </is>
      </c>
      <c r="D10" s="12" t="inlineStr">
        <is>
          <t>Attempt deep linking directly to protected route for SplashScreen without auth token.
Inspect router behavior.
Verify request intercepted and redirected.</t>
        </is>
      </c>
      <c r="E10" s="12" t="inlineStr">
        <is>
          <t>Security control for SplashScreen successfully blocks unauthorized access or malicious input.</t>
        </is>
      </c>
      <c r="F10" s="12" t="inlineStr">
        <is>
          <t>Not Executed</t>
        </is>
      </c>
      <c r="G10" s="13" t="inlineStr">
        <is>
          <t>Not Executed</t>
        </is>
      </c>
      <c r="H10" s="11" t="inlineStr">
        <is>
          <t>High</t>
        </is>
      </c>
    </row>
    <row r="11" ht="42" customHeight="1">
      <c r="A11" s="11" t="inlineStr">
        <is>
          <t>TC_010</t>
        </is>
      </c>
      <c r="B11" s="12" t="inlineStr">
        <is>
          <t>SplashScreen</t>
        </is>
      </c>
      <c r="C11" s="12" t="inlineStr">
        <is>
          <t>Verify sensitive data masking and log exposure prevention for SplashScreen</t>
        </is>
      </c>
      <c r="D11" s="12" t="inlineStr">
        <is>
          <t>Inspect application log output during operations on SplashScreen.
Check password, token, and PII fields.
Verify sensitive fields masked or omitted.</t>
        </is>
      </c>
      <c r="E11" s="12" t="inlineStr">
        <is>
          <t>Verify expected behavior for SplashScreen under Safe Vulnerability &amp; Security Checks scenario #10.</t>
        </is>
      </c>
      <c r="F11" s="12" t="inlineStr">
        <is>
          <t>Not Executed</t>
        </is>
      </c>
      <c r="G11" s="13" t="inlineStr">
        <is>
          <t>Not Executed</t>
        </is>
      </c>
      <c r="H11" s="11" t="inlineStr">
        <is>
          <t>Low</t>
        </is>
      </c>
    </row>
    <row r="12" ht="42" customHeight="1">
      <c r="A12" s="11" t="inlineStr">
        <is>
          <t>TC_011</t>
        </is>
      </c>
      <c r="B12" s="12" t="inlineStr">
        <is>
          <t>LoginScreen</t>
        </is>
      </c>
      <c r="C12" s="12" t="inlineStr">
        <is>
          <t>Verify brute-force defense and authentication lockout rules on LoginScreen</t>
        </is>
      </c>
      <c r="D12" s="12" t="inlineStr">
        <is>
          <t>Submit 10 rapid invalid login/auth attempts on LoginScreen.
Inspect response headers.
Verify account locks after 5 attempts with 429 status.</t>
        </is>
      </c>
      <c r="E12" s="12" t="inlineStr">
        <is>
          <t>Security control for LoginScreen successfully blocks unauthorized access or malicious input.</t>
        </is>
      </c>
      <c r="F12" s="12" t="inlineStr">
        <is>
          <t>Not Executed</t>
        </is>
      </c>
      <c r="G12" s="13" t="inlineStr">
        <is>
          <t>Not Executed</t>
        </is>
      </c>
      <c r="H12" s="11" t="inlineStr">
        <is>
          <t>Medium</t>
        </is>
      </c>
    </row>
    <row r="13" ht="42" customHeight="1">
      <c r="A13" s="11" t="inlineStr">
        <is>
          <t>TC_012</t>
        </is>
      </c>
      <c r="B13" s="12" t="inlineStr">
        <is>
          <t>LoginScreen</t>
        </is>
      </c>
      <c r="C13" s="12" t="inlineStr">
        <is>
          <t>Verify role-based access control (RBAC) and IDOR vulnerability defense on LoginScreen</t>
        </is>
      </c>
      <c r="D13" s="12" t="inlineStr">
        <is>
          <t>Attempt accessing secondary user private resource on LoginScreen using non-owner JWT.
Inspect server response.
Verify access denied with 403 Forbidden.</t>
        </is>
      </c>
      <c r="E13" s="12" t="inlineStr">
        <is>
          <t>Security control for LoginScreen successfully blocks unauthorized access or malicious input.</t>
        </is>
      </c>
      <c r="F13" s="12" t="inlineStr">
        <is>
          <t>Not Executed</t>
        </is>
      </c>
      <c r="G13" s="13" t="inlineStr">
        <is>
          <t>Not Executed</t>
        </is>
      </c>
      <c r="H13" s="11" t="inlineStr">
        <is>
          <t>High</t>
        </is>
      </c>
    </row>
    <row r="14" ht="42" customHeight="1">
      <c r="A14" s="11" t="inlineStr">
        <is>
          <t>TC_013</t>
        </is>
      </c>
      <c r="B14" s="12" t="inlineStr">
        <is>
          <t>LoginScreen</t>
        </is>
      </c>
      <c r="C14" s="12" t="inlineStr">
        <is>
          <t>Verify session JWT token expiration and invalidation handling on LoginScreen</t>
        </is>
      </c>
      <c r="D14" s="12" t="inlineStr">
        <is>
          <t>Present expired JWT token to LoginScreen API endpoint.
Inspect response.
Verify session invalidated and redirected to login.</t>
        </is>
      </c>
      <c r="E14" s="12" t="inlineStr">
        <is>
          <t>Input validation on LoginScreen correctly enforces rules and displays error hints.</t>
        </is>
      </c>
      <c r="F14" s="12" t="inlineStr">
        <is>
          <t>Not Executed</t>
        </is>
      </c>
      <c r="G14" s="13" t="inlineStr">
        <is>
          <t>Not Executed</t>
        </is>
      </c>
      <c r="H14" s="11" t="inlineStr">
        <is>
          <t>Medium</t>
        </is>
      </c>
    </row>
    <row r="15" ht="42" customHeight="1">
      <c r="A15" s="11" t="inlineStr">
        <is>
          <t>TC_014</t>
        </is>
      </c>
      <c r="B15" s="12" t="inlineStr">
        <is>
          <t>LoginScreen</t>
        </is>
      </c>
      <c r="C15" s="12" t="inlineStr">
        <is>
          <t>Verify input sanitization and SQL injection defense on LoginScreen</t>
        </is>
      </c>
      <c r="D15" s="12" t="inlineStr">
        <is>
          <t>Submit safe SQLi test string `' OR '1'='1` into input fields on LoginScreen.
Inspect database query log.
Verify query parameterized without syntax error.</t>
        </is>
      </c>
      <c r="E15" s="12" t="inlineStr">
        <is>
          <t>Input validation on LoginScreen correctly enforces rules and displays error hints.</t>
        </is>
      </c>
      <c r="F15" s="12" t="inlineStr">
        <is>
          <t>Not Executed</t>
        </is>
      </c>
      <c r="G15" s="13" t="inlineStr">
        <is>
          <t>Not Executed</t>
        </is>
      </c>
      <c r="H15" s="11" t="inlineStr">
        <is>
          <t>Medium</t>
        </is>
      </c>
    </row>
    <row r="16" ht="42" customHeight="1">
      <c r="A16" s="11" t="inlineStr">
        <is>
          <t>TC_015</t>
        </is>
      </c>
      <c r="B16" s="12" t="inlineStr">
        <is>
          <t>LoginScreen</t>
        </is>
      </c>
      <c r="C16" s="12" t="inlineStr">
        <is>
          <t>Verify Cross-Site Scripting (XSS) DOM escaping and sanitization on LoginScreen</t>
        </is>
      </c>
      <c r="D16" s="12" t="inlineStr">
        <is>
          <t>Submit safe script tag `&lt;script&gt;alert(1)&lt;/script&gt;` into LoginScreen input fields.
Inspect rendered DOM node.
Verify string rendered as literal text without execution.</t>
        </is>
      </c>
      <c r="E16" s="12" t="inlineStr">
        <is>
          <t>Endpoint for LoginScreen handles load within SLA response time limits with 0.0% errors.</t>
        </is>
      </c>
      <c r="F16" s="12" t="inlineStr">
        <is>
          <t>Not Executed</t>
        </is>
      </c>
      <c r="G16" s="13" t="inlineStr">
        <is>
          <t>Not Executed</t>
        </is>
      </c>
      <c r="H16" s="11" t="inlineStr">
        <is>
          <t>High</t>
        </is>
      </c>
    </row>
    <row r="17" ht="42" customHeight="1">
      <c r="A17" s="11" t="inlineStr">
        <is>
          <t>TC_016</t>
        </is>
      </c>
      <c r="B17" s="12" t="inlineStr">
        <is>
          <t>LoginScreen</t>
        </is>
      </c>
      <c r="C17" s="12" t="inlineStr">
        <is>
          <t>Verify TLS 1.3 transport layer encryption enforcement on LoginScreen</t>
        </is>
      </c>
      <c r="D17" s="12" t="inlineStr">
        <is>
          <t>Inspect network connection parameters for LoginScreen using security audit proxy.
Verify TLS 1.3/1.2 cipher suite.
Confirm insecure HTTP blocked.</t>
        </is>
      </c>
      <c r="E17" s="12" t="inlineStr">
        <is>
          <t>Verify expected behavior for LoginScreen under Safe Vulnerability &amp; Security Checks scenario #6.</t>
        </is>
      </c>
      <c r="F17" s="12" t="inlineStr">
        <is>
          <t>Not Executed</t>
        </is>
      </c>
      <c r="G17" s="13" t="inlineStr">
        <is>
          <t>Not Executed</t>
        </is>
      </c>
      <c r="H17" s="11" t="inlineStr">
        <is>
          <t>Medium</t>
        </is>
      </c>
    </row>
    <row r="18" ht="42" customHeight="1">
      <c r="A18" s="11" t="inlineStr">
        <is>
          <t>TC_017</t>
        </is>
      </c>
      <c r="B18" s="12" t="inlineStr">
        <is>
          <t>LoginScreen</t>
        </is>
      </c>
      <c r="C18" s="12" t="inlineStr">
        <is>
          <t>Verify API rate limiting 429 Too Many Requests response on LoginScreen</t>
        </is>
      </c>
      <c r="D18" s="12" t="inlineStr">
        <is>
          <t>Send 100 rapid requests within 5 seconds to LoginScreen public API endpoint.
Inspect response status.
Verify HTTP 429 rate limit error returned.</t>
        </is>
      </c>
      <c r="E18" s="12" t="inlineStr">
        <is>
          <t>Endpoint for LoginScreen handles load within SLA response time limits with 0.0% errors.</t>
        </is>
      </c>
      <c r="F18" s="12" t="inlineStr">
        <is>
          <t>Not Executed</t>
        </is>
      </c>
      <c r="G18" s="13" t="inlineStr">
        <is>
          <t>Not Executed</t>
        </is>
      </c>
      <c r="H18" s="11" t="inlineStr">
        <is>
          <t>Medium</t>
        </is>
      </c>
    </row>
    <row r="19" ht="42" customHeight="1">
      <c r="A19" s="11" t="inlineStr">
        <is>
          <t>TC_018</t>
        </is>
      </c>
      <c r="B19" s="12" t="inlineStr">
        <is>
          <t>LoginScreen</t>
        </is>
      </c>
      <c r="C19" s="12" t="inlineStr">
        <is>
          <t>Verify Supabase Row Level Security (RLS) policy enforcement on LoginScreen</t>
        </is>
      </c>
      <c r="D19" s="12" t="inlineStr">
        <is>
          <t>Execute direct database query on LoginScreen table without authorization header.
Inspect PostgreSQL response.
Verify RLS policy blocks unauthorized row access.</t>
        </is>
      </c>
      <c r="E19" s="12" t="inlineStr">
        <is>
          <t>Security control for LoginScreen successfully blocks unauthorized access or malicious input.</t>
        </is>
      </c>
      <c r="F19" s="12" t="inlineStr">
        <is>
          <t>Not Executed</t>
        </is>
      </c>
      <c r="G19" s="13" t="inlineStr">
        <is>
          <t>Not Executed</t>
        </is>
      </c>
      <c r="H19" s="11" t="inlineStr">
        <is>
          <t>High</t>
        </is>
      </c>
    </row>
    <row r="20" ht="42" customHeight="1">
      <c r="A20" s="11" t="inlineStr">
        <is>
          <t>TC_019</t>
        </is>
      </c>
      <c r="B20" s="12" t="inlineStr">
        <is>
          <t>LoginScreen</t>
        </is>
      </c>
      <c r="C20" s="12" t="inlineStr">
        <is>
          <t>Verify privileged route guard interception on unauthenticated access to LoginScreen</t>
        </is>
      </c>
      <c r="D20" s="12" t="inlineStr">
        <is>
          <t>Attempt deep linking directly to protected route for LoginScreen without auth token.
Inspect router behavior.
Verify request intercepted and redirected.</t>
        </is>
      </c>
      <c r="E20" s="12" t="inlineStr">
        <is>
          <t>Security control for LoginScreen successfully blocks unauthorized access or malicious input.</t>
        </is>
      </c>
      <c r="F20" s="12" t="inlineStr">
        <is>
          <t>Not Executed</t>
        </is>
      </c>
      <c r="G20" s="13" t="inlineStr">
        <is>
          <t>Not Executed</t>
        </is>
      </c>
      <c r="H20" s="11" t="inlineStr">
        <is>
          <t>Medium</t>
        </is>
      </c>
    </row>
    <row r="21" ht="42" customHeight="1">
      <c r="A21" s="11" t="inlineStr">
        <is>
          <t>TC_020</t>
        </is>
      </c>
      <c r="B21" s="12" t="inlineStr">
        <is>
          <t>LoginScreen</t>
        </is>
      </c>
      <c r="C21" s="12" t="inlineStr">
        <is>
          <t>Verify sensitive data masking and log exposure prevention for LoginScreen</t>
        </is>
      </c>
      <c r="D21" s="12" t="inlineStr">
        <is>
          <t>Inspect application log output during operations on LoginScreen.
Check password, token, and PII fields.
Verify sensitive fields masked or omitted.</t>
        </is>
      </c>
      <c r="E21" s="12" t="inlineStr">
        <is>
          <t>Verify expected behavior for LoginScreen under Safe Vulnerability &amp; Security Checks scenario #10.</t>
        </is>
      </c>
      <c r="F21" s="12" t="inlineStr">
        <is>
          <t>Not Executed</t>
        </is>
      </c>
      <c r="G21" s="13" t="inlineStr">
        <is>
          <t>Not Executed</t>
        </is>
      </c>
      <c r="H21" s="11" t="inlineStr">
        <is>
          <t>Low</t>
        </is>
      </c>
    </row>
    <row r="22" ht="42" customHeight="1">
      <c r="A22" s="11" t="inlineStr">
        <is>
          <t>TC_021</t>
        </is>
      </c>
      <c r="B22" s="12" t="inlineStr">
        <is>
          <t>SignUpScreen</t>
        </is>
      </c>
      <c r="C22" s="12" t="inlineStr">
        <is>
          <t>Verify brute-force defense and authentication lockout rules on SignUpScreen</t>
        </is>
      </c>
      <c r="D22" s="12" t="inlineStr">
        <is>
          <t>Submit 10 rapid invalid login/auth attempts on SignUpScreen.
Inspect response headers.
Verify account locks after 5 attempts with 429 status.</t>
        </is>
      </c>
      <c r="E22" s="12" t="inlineStr">
        <is>
          <t>Security control for SignUpScreen successfully blocks unauthorized access or malicious input.</t>
        </is>
      </c>
      <c r="F22" s="12" t="inlineStr">
        <is>
          <t>Not Executed</t>
        </is>
      </c>
      <c r="G22" s="13" t="inlineStr">
        <is>
          <t>Not Executed</t>
        </is>
      </c>
      <c r="H22" s="11" t="inlineStr">
        <is>
          <t>High</t>
        </is>
      </c>
    </row>
    <row r="23" ht="42" customHeight="1">
      <c r="A23" s="11" t="inlineStr">
        <is>
          <t>TC_022</t>
        </is>
      </c>
      <c r="B23" s="12" t="inlineStr">
        <is>
          <t>SignUpScreen</t>
        </is>
      </c>
      <c r="C23" s="12" t="inlineStr">
        <is>
          <t>Verify role-based access control (RBAC) and IDOR vulnerability defense on SignUpScreen</t>
        </is>
      </c>
      <c r="D23" s="12" t="inlineStr">
        <is>
          <t>Attempt accessing secondary user private resource on SignUpScreen using non-owner JWT.
Inspect server response.
Verify access denied with 403 Forbidden.</t>
        </is>
      </c>
      <c r="E23" s="12" t="inlineStr">
        <is>
          <t>Security control for SignUpScreen successfully blocks unauthorized access or malicious input.</t>
        </is>
      </c>
      <c r="F23" s="12" t="inlineStr">
        <is>
          <t>Not Executed</t>
        </is>
      </c>
      <c r="G23" s="13" t="inlineStr">
        <is>
          <t>Not Executed</t>
        </is>
      </c>
      <c r="H23" s="11" t="inlineStr">
        <is>
          <t>Medium</t>
        </is>
      </c>
    </row>
    <row r="24" ht="42" customHeight="1">
      <c r="A24" s="11" t="inlineStr">
        <is>
          <t>TC_023</t>
        </is>
      </c>
      <c r="B24" s="12" t="inlineStr">
        <is>
          <t>SignUpScreen</t>
        </is>
      </c>
      <c r="C24" s="12" t="inlineStr">
        <is>
          <t>Verify session JWT token expiration and invalidation handling on SignUpScreen</t>
        </is>
      </c>
      <c r="D24" s="12" t="inlineStr">
        <is>
          <t>Present expired JWT token to SignUpScreen API endpoint.
Inspect response.
Verify session invalidated and redirected to login.</t>
        </is>
      </c>
      <c r="E24" s="12" t="inlineStr">
        <is>
          <t>Input validation on SignUpScreen correctly enforces rules and displays error hints.</t>
        </is>
      </c>
      <c r="F24" s="12" t="inlineStr">
        <is>
          <t>Not Executed</t>
        </is>
      </c>
      <c r="G24" s="13" t="inlineStr">
        <is>
          <t>Not Executed</t>
        </is>
      </c>
      <c r="H24" s="11" t="inlineStr">
        <is>
          <t>Medium</t>
        </is>
      </c>
    </row>
    <row r="25" ht="42" customHeight="1">
      <c r="A25" s="11" t="inlineStr">
        <is>
          <t>TC_024</t>
        </is>
      </c>
      <c r="B25" s="12" t="inlineStr">
        <is>
          <t>SignUpScreen</t>
        </is>
      </c>
      <c r="C25" s="12" t="inlineStr">
        <is>
          <t>Verify input sanitization and SQL injection defense on SignUpScreen</t>
        </is>
      </c>
      <c r="D25" s="12" t="inlineStr">
        <is>
          <t>Submit safe SQLi test string `' OR '1'='1` into input fields on SignUpScreen.
Inspect database query log.
Verify query parameterized without syntax error.</t>
        </is>
      </c>
      <c r="E25" s="12" t="inlineStr">
        <is>
          <t>Input validation on SignUpScreen correctly enforces rules and displays error hints.</t>
        </is>
      </c>
      <c r="F25" s="12" t="inlineStr">
        <is>
          <t>Not Executed</t>
        </is>
      </c>
      <c r="G25" s="13" t="inlineStr">
        <is>
          <t>Not Executed</t>
        </is>
      </c>
      <c r="H25" s="11" t="inlineStr">
        <is>
          <t>High</t>
        </is>
      </c>
    </row>
    <row r="26" ht="42" customHeight="1">
      <c r="A26" s="11" t="inlineStr">
        <is>
          <t>TC_025</t>
        </is>
      </c>
      <c r="B26" s="12" t="inlineStr">
        <is>
          <t>SignUpScreen</t>
        </is>
      </c>
      <c r="C26" s="12" t="inlineStr">
        <is>
          <t>Verify Cross-Site Scripting (XSS) DOM escaping and sanitization on SignUpScreen</t>
        </is>
      </c>
      <c r="D26" s="12" t="inlineStr">
        <is>
          <t>Submit safe script tag `&lt;script&gt;alert(1)&lt;/script&gt;` into SignUpScreen input fields.
Inspect rendered DOM node.
Verify string rendered as literal text without execution.</t>
        </is>
      </c>
      <c r="E26" s="12" t="inlineStr">
        <is>
          <t>Endpoint for SignUpScreen handles load within SLA response time limits with 0.0% errors.</t>
        </is>
      </c>
      <c r="F26" s="12" t="inlineStr">
        <is>
          <t>Not Executed</t>
        </is>
      </c>
      <c r="G26" s="13" t="inlineStr">
        <is>
          <t>Not Executed</t>
        </is>
      </c>
      <c r="H26" s="11" t="inlineStr">
        <is>
          <t>Low</t>
        </is>
      </c>
    </row>
    <row r="27" ht="42" customHeight="1">
      <c r="A27" s="11" t="inlineStr">
        <is>
          <t>TC_026</t>
        </is>
      </c>
      <c r="B27" s="12" t="inlineStr">
        <is>
          <t>SignUpScreen</t>
        </is>
      </c>
      <c r="C27" s="12" t="inlineStr">
        <is>
          <t>Verify TLS 1.3 transport layer encryption enforcement on SignUpScreen</t>
        </is>
      </c>
      <c r="D27" s="12" t="inlineStr">
        <is>
          <t>Inspect network connection parameters for SignUpScreen using security audit proxy.
Verify TLS 1.3/1.2 cipher suite.
Confirm insecure HTTP blocked.</t>
        </is>
      </c>
      <c r="E27" s="12" t="inlineStr">
        <is>
          <t>Verify expected behavior for SignUpScreen under Safe Vulnerability &amp; Security Checks scenario #6.</t>
        </is>
      </c>
      <c r="F27" s="12" t="inlineStr">
        <is>
          <t>Not Executed</t>
        </is>
      </c>
      <c r="G27" s="13" t="inlineStr">
        <is>
          <t>Not Executed</t>
        </is>
      </c>
      <c r="H27" s="11" t="inlineStr">
        <is>
          <t>Medium</t>
        </is>
      </c>
    </row>
    <row r="28" ht="42" customHeight="1">
      <c r="A28" s="11" t="inlineStr">
        <is>
          <t>TC_027</t>
        </is>
      </c>
      <c r="B28" s="12" t="inlineStr">
        <is>
          <t>SignUpScreen</t>
        </is>
      </c>
      <c r="C28" s="12" t="inlineStr">
        <is>
          <t>Verify API rate limiting 429 Too Many Requests response on SignUpScreen</t>
        </is>
      </c>
      <c r="D28" s="12" t="inlineStr">
        <is>
          <t>Send 100 rapid requests within 5 seconds to SignUpScreen public API endpoint.
Inspect response status.
Verify HTTP 429 rate limit error returned.</t>
        </is>
      </c>
      <c r="E28" s="12" t="inlineStr">
        <is>
          <t>Endpoint for SignUpScreen handles load within SLA response time limits with 0.0% errors.</t>
        </is>
      </c>
      <c r="F28" s="12" t="inlineStr">
        <is>
          <t>Not Executed</t>
        </is>
      </c>
      <c r="G28" s="13" t="inlineStr">
        <is>
          <t>Not Executed</t>
        </is>
      </c>
      <c r="H28" s="11" t="inlineStr">
        <is>
          <t>High</t>
        </is>
      </c>
    </row>
    <row r="29" ht="42" customHeight="1">
      <c r="A29" s="11" t="inlineStr">
        <is>
          <t>TC_028</t>
        </is>
      </c>
      <c r="B29" s="12" t="inlineStr">
        <is>
          <t>SignUpScreen</t>
        </is>
      </c>
      <c r="C29" s="12" t="inlineStr">
        <is>
          <t>Verify Supabase Row Level Security (RLS) policy enforcement on SignUpScreen</t>
        </is>
      </c>
      <c r="D29" s="12" t="inlineStr">
        <is>
          <t>Execute direct database query on SignUpScreen table without authorization header.
Inspect PostgreSQL response.
Verify RLS policy blocks unauthorized row access.</t>
        </is>
      </c>
      <c r="E29" s="12" t="inlineStr">
        <is>
          <t>Security control for SignUpScreen successfully blocks unauthorized access or malicious input.</t>
        </is>
      </c>
      <c r="F29" s="12" t="inlineStr">
        <is>
          <t>Not Executed</t>
        </is>
      </c>
      <c r="G29" s="13" t="inlineStr">
        <is>
          <t>Not Executed</t>
        </is>
      </c>
      <c r="H29" s="11" t="inlineStr">
        <is>
          <t>Medium</t>
        </is>
      </c>
    </row>
    <row r="30" ht="42" customHeight="1">
      <c r="A30" s="11" t="inlineStr">
        <is>
          <t>TC_029</t>
        </is>
      </c>
      <c r="B30" s="12" t="inlineStr">
        <is>
          <t>SignUpScreen</t>
        </is>
      </c>
      <c r="C30" s="12" t="inlineStr">
        <is>
          <t>Verify privileged route guard interception on unauthenticated access to SignUpScreen</t>
        </is>
      </c>
      <c r="D30" s="12" t="inlineStr">
        <is>
          <t>Attempt deep linking directly to protected route for SignUpScreen without auth token.
Inspect router behavior.
Verify request intercepted and redirected.</t>
        </is>
      </c>
      <c r="E30" s="12" t="inlineStr">
        <is>
          <t>Security control for SignUpScreen successfully blocks unauthorized access or malicious input.</t>
        </is>
      </c>
      <c r="F30" s="12" t="inlineStr">
        <is>
          <t>Not Executed</t>
        </is>
      </c>
      <c r="G30" s="13" t="inlineStr">
        <is>
          <t>Not Executed</t>
        </is>
      </c>
      <c r="H30" s="11" t="inlineStr">
        <is>
          <t>Medium</t>
        </is>
      </c>
    </row>
    <row r="31" ht="42" customHeight="1">
      <c r="A31" s="11" t="inlineStr">
        <is>
          <t>TC_030</t>
        </is>
      </c>
      <c r="B31" s="12" t="inlineStr">
        <is>
          <t>SignUpScreen</t>
        </is>
      </c>
      <c r="C31" s="12" t="inlineStr">
        <is>
          <t>Verify sensitive data masking and log exposure prevention for SignUpScreen</t>
        </is>
      </c>
      <c r="D31" s="12" t="inlineStr">
        <is>
          <t>Inspect application log output during operations on SignUpScreen.
Check password, token, and PII fields.
Verify sensitive fields masked or omitted.</t>
        </is>
      </c>
      <c r="E31" s="12" t="inlineStr">
        <is>
          <t>Verify expected behavior for SignUpScreen under Safe Vulnerability &amp; Security Checks scenario #10.</t>
        </is>
      </c>
      <c r="F31" s="12" t="inlineStr">
        <is>
          <t>Not Executed</t>
        </is>
      </c>
      <c r="G31" s="13" t="inlineStr">
        <is>
          <t>Not Executed</t>
        </is>
      </c>
      <c r="H31" s="11" t="inlineStr">
        <is>
          <t>High</t>
        </is>
      </c>
    </row>
    <row r="32" ht="42" customHeight="1">
      <c r="A32" s="11" t="inlineStr">
        <is>
          <t>TC_031</t>
        </is>
      </c>
      <c r="B32" s="12" t="inlineStr">
        <is>
          <t>ForgotScreen</t>
        </is>
      </c>
      <c r="C32" s="12" t="inlineStr">
        <is>
          <t>Verify brute-force defense and authentication lockout rules on ForgotScreen</t>
        </is>
      </c>
      <c r="D32" s="12" t="inlineStr">
        <is>
          <t>Submit 10 rapid invalid login/auth attempts on ForgotScreen.
Inspect response headers.
Verify account locks after 5 attempts with 429 status.</t>
        </is>
      </c>
      <c r="E32" s="12" t="inlineStr">
        <is>
          <t>Security control for ForgotScreen successfully blocks unauthorized access or malicious input.</t>
        </is>
      </c>
      <c r="F32" s="12" t="inlineStr">
        <is>
          <t>Not Executed</t>
        </is>
      </c>
      <c r="G32" s="13" t="inlineStr">
        <is>
          <t>Not Executed</t>
        </is>
      </c>
      <c r="H32" s="11" t="inlineStr">
        <is>
          <t>Medium</t>
        </is>
      </c>
    </row>
    <row r="33" ht="42" customHeight="1">
      <c r="A33" s="11" t="inlineStr">
        <is>
          <t>TC_032</t>
        </is>
      </c>
      <c r="B33" s="12" t="inlineStr">
        <is>
          <t>ForgotScreen</t>
        </is>
      </c>
      <c r="C33" s="12" t="inlineStr">
        <is>
          <t>Verify role-based access control (RBAC) and IDOR vulnerability defense on ForgotScreen</t>
        </is>
      </c>
      <c r="D33" s="12" t="inlineStr">
        <is>
          <t>Attempt accessing secondary user private resource on ForgotScreen using non-owner JWT.
Inspect server response.
Verify access denied with 403 Forbidden.</t>
        </is>
      </c>
      <c r="E33" s="12" t="inlineStr">
        <is>
          <t>Security control for ForgotScreen successfully blocks unauthorized access or malicious input.</t>
        </is>
      </c>
      <c r="F33" s="12" t="inlineStr">
        <is>
          <t>Not Executed</t>
        </is>
      </c>
      <c r="G33" s="13" t="inlineStr">
        <is>
          <t>Not Executed</t>
        </is>
      </c>
      <c r="H33" s="11" t="inlineStr">
        <is>
          <t>Medium</t>
        </is>
      </c>
    </row>
    <row r="34" ht="42" customHeight="1">
      <c r="A34" s="11" t="inlineStr">
        <is>
          <t>TC_033</t>
        </is>
      </c>
      <c r="B34" s="12" t="inlineStr">
        <is>
          <t>ForgotScreen</t>
        </is>
      </c>
      <c r="C34" s="12" t="inlineStr">
        <is>
          <t>Verify session JWT token expiration and invalidation handling on ForgotScreen</t>
        </is>
      </c>
      <c r="D34" s="12" t="inlineStr">
        <is>
          <t>Present expired JWT token to ForgotScreen API endpoint.
Inspect response.
Verify session invalidated and redirected to login.</t>
        </is>
      </c>
      <c r="E34" s="12" t="inlineStr">
        <is>
          <t>Input validation on ForgotScreen correctly enforces rules and displays error hints.</t>
        </is>
      </c>
      <c r="F34" s="12" t="inlineStr">
        <is>
          <t>Not Executed</t>
        </is>
      </c>
      <c r="G34" s="13" t="inlineStr">
        <is>
          <t>Not Executed</t>
        </is>
      </c>
      <c r="H34" s="11" t="inlineStr">
        <is>
          <t>High</t>
        </is>
      </c>
    </row>
    <row r="35" ht="42" customHeight="1">
      <c r="A35" s="11" t="inlineStr">
        <is>
          <t>TC_034</t>
        </is>
      </c>
      <c r="B35" s="12" t="inlineStr">
        <is>
          <t>ForgotScreen</t>
        </is>
      </c>
      <c r="C35" s="12" t="inlineStr">
        <is>
          <t>Verify input sanitization and SQL injection defense on ForgotScreen</t>
        </is>
      </c>
      <c r="D35" s="12" t="inlineStr">
        <is>
          <t>Submit safe SQLi test string `' OR '1'='1` into input fields on ForgotScreen.
Inspect database query log.
Verify query parameterized without syntax error.</t>
        </is>
      </c>
      <c r="E35" s="12" t="inlineStr">
        <is>
          <t>Input validation on ForgotScreen correctly enforces rules and displays error hints.</t>
        </is>
      </c>
      <c r="F35" s="12" t="inlineStr">
        <is>
          <t>Not Executed</t>
        </is>
      </c>
      <c r="G35" s="13" t="inlineStr">
        <is>
          <t>Not Executed</t>
        </is>
      </c>
      <c r="H35" s="11" t="inlineStr">
        <is>
          <t>Medium</t>
        </is>
      </c>
    </row>
    <row r="36" ht="42" customHeight="1">
      <c r="A36" s="11" t="inlineStr">
        <is>
          <t>TC_035</t>
        </is>
      </c>
      <c r="B36" s="12" t="inlineStr">
        <is>
          <t>ForgotScreen</t>
        </is>
      </c>
      <c r="C36" s="12" t="inlineStr">
        <is>
          <t>Verify Cross-Site Scripting (XSS) DOM escaping and sanitization on ForgotScreen</t>
        </is>
      </c>
      <c r="D36" s="12" t="inlineStr">
        <is>
          <t>Submit safe script tag `&lt;script&gt;alert(1)&lt;/script&gt;` into ForgotScreen input fields.
Inspect rendered DOM node.
Verify string rendered as literal text without execution.</t>
        </is>
      </c>
      <c r="E36" s="12" t="inlineStr">
        <is>
          <t>Endpoint for ForgotScreen handles load within SLA response time limits with 0.0% errors.</t>
        </is>
      </c>
      <c r="F36" s="12" t="inlineStr">
        <is>
          <t>Not Executed</t>
        </is>
      </c>
      <c r="G36" s="13" t="inlineStr">
        <is>
          <t>Not Executed</t>
        </is>
      </c>
      <c r="H36" s="11" t="inlineStr">
        <is>
          <t>Low</t>
        </is>
      </c>
    </row>
    <row r="37" ht="42" customHeight="1">
      <c r="A37" s="11" t="inlineStr">
        <is>
          <t>TC_036</t>
        </is>
      </c>
      <c r="B37" s="12" t="inlineStr">
        <is>
          <t>ForgotScreen</t>
        </is>
      </c>
      <c r="C37" s="12" t="inlineStr">
        <is>
          <t>Verify TLS 1.3 transport layer encryption enforcement on ForgotScreen</t>
        </is>
      </c>
      <c r="D37" s="12" t="inlineStr">
        <is>
          <t>Inspect network connection parameters for ForgotScreen using security audit proxy.
Verify TLS 1.3/1.2 cipher suite.
Confirm insecure HTTP blocked.</t>
        </is>
      </c>
      <c r="E37" s="12" t="inlineStr">
        <is>
          <t>Verify expected behavior for ForgotScreen under Safe Vulnerability &amp; Security Checks scenario #6.</t>
        </is>
      </c>
      <c r="F37" s="12" t="inlineStr">
        <is>
          <t>Not Executed</t>
        </is>
      </c>
      <c r="G37" s="13" t="inlineStr">
        <is>
          <t>Not Executed</t>
        </is>
      </c>
      <c r="H37" s="11" t="inlineStr">
        <is>
          <t>High</t>
        </is>
      </c>
    </row>
    <row r="38" ht="42" customHeight="1">
      <c r="A38" s="11" t="inlineStr">
        <is>
          <t>TC_037</t>
        </is>
      </c>
      <c r="B38" s="12" t="inlineStr">
        <is>
          <t>ForgotScreen</t>
        </is>
      </c>
      <c r="C38" s="12" t="inlineStr">
        <is>
          <t>Verify API rate limiting 429 Too Many Requests response on ForgotScreen</t>
        </is>
      </c>
      <c r="D38" s="12" t="inlineStr">
        <is>
          <t>Send 100 rapid requests within 5 seconds to ForgotScreen public API endpoint.
Inspect response status.
Verify HTTP 429 rate limit error returned.</t>
        </is>
      </c>
      <c r="E38" s="12" t="inlineStr">
        <is>
          <t>Endpoint for ForgotScreen handles load within SLA response time limits with 0.0% errors.</t>
        </is>
      </c>
      <c r="F38" s="12" t="inlineStr">
        <is>
          <t>Not Executed</t>
        </is>
      </c>
      <c r="G38" s="13" t="inlineStr">
        <is>
          <t>Not Executed</t>
        </is>
      </c>
      <c r="H38" s="11" t="inlineStr">
        <is>
          <t>Medium</t>
        </is>
      </c>
    </row>
    <row r="39" ht="42" customHeight="1">
      <c r="A39" s="11" t="inlineStr">
        <is>
          <t>TC_038</t>
        </is>
      </c>
      <c r="B39" s="12" t="inlineStr">
        <is>
          <t>ForgotScreen</t>
        </is>
      </c>
      <c r="C39" s="12" t="inlineStr">
        <is>
          <t>Verify Supabase Row Level Security (RLS) policy enforcement on ForgotScreen</t>
        </is>
      </c>
      <c r="D39" s="12" t="inlineStr">
        <is>
          <t>Execute direct database query on ForgotScreen table without authorization header.
Inspect PostgreSQL response.
Verify RLS policy blocks unauthorized row access.</t>
        </is>
      </c>
      <c r="E39" s="12" t="inlineStr">
        <is>
          <t>Security control for ForgotScreen successfully blocks unauthorized access or malicious input.</t>
        </is>
      </c>
      <c r="F39" s="12" t="inlineStr">
        <is>
          <t>Not Executed</t>
        </is>
      </c>
      <c r="G39" s="13" t="inlineStr">
        <is>
          <t>Not Executed</t>
        </is>
      </c>
      <c r="H39" s="11" t="inlineStr">
        <is>
          <t>Medium</t>
        </is>
      </c>
    </row>
    <row r="40" ht="42" customHeight="1">
      <c r="A40" s="11" t="inlineStr">
        <is>
          <t>TC_039</t>
        </is>
      </c>
      <c r="B40" s="12" t="inlineStr">
        <is>
          <t>ForgotScreen</t>
        </is>
      </c>
      <c r="C40" s="12" t="inlineStr">
        <is>
          <t>Verify privileged route guard interception on unauthenticated access to ForgotScreen</t>
        </is>
      </c>
      <c r="D40" s="12" t="inlineStr">
        <is>
          <t>Attempt deep linking directly to protected route for ForgotScreen without auth token.
Inspect router behavior.
Verify request intercepted and redirected.</t>
        </is>
      </c>
      <c r="E40" s="12" t="inlineStr">
        <is>
          <t>Security control for ForgotScreen successfully blocks unauthorized access or malicious input.</t>
        </is>
      </c>
      <c r="F40" s="12" t="inlineStr">
        <is>
          <t>Not Executed</t>
        </is>
      </c>
      <c r="G40" s="13" t="inlineStr">
        <is>
          <t>Not Executed</t>
        </is>
      </c>
      <c r="H40" s="11" t="inlineStr">
        <is>
          <t>High</t>
        </is>
      </c>
    </row>
    <row r="41" ht="42" customHeight="1">
      <c r="A41" s="11" t="inlineStr">
        <is>
          <t>TC_040</t>
        </is>
      </c>
      <c r="B41" s="12" t="inlineStr">
        <is>
          <t>ForgotScreen</t>
        </is>
      </c>
      <c r="C41" s="12" t="inlineStr">
        <is>
          <t>Verify sensitive data masking and log exposure prevention for ForgotScreen</t>
        </is>
      </c>
      <c r="D41" s="12" t="inlineStr">
        <is>
          <t>Inspect application log output during operations on ForgotScreen.
Check password, token, and PII fields.
Verify sensitive fields masked or omitted.</t>
        </is>
      </c>
      <c r="E41" s="12" t="inlineStr">
        <is>
          <t>Verify expected behavior for ForgotScreen under Safe Vulnerability &amp; Security Checks scenario #10.</t>
        </is>
      </c>
      <c r="F41" s="12" t="inlineStr">
        <is>
          <t>Not Executed</t>
        </is>
      </c>
      <c r="G41" s="13" t="inlineStr">
        <is>
          <t>Not Executed</t>
        </is>
      </c>
      <c r="H41" s="11" t="inlineStr">
        <is>
          <t>Low</t>
        </is>
      </c>
    </row>
    <row r="42" ht="42" customHeight="1">
      <c r="A42" s="11" t="inlineStr">
        <is>
          <t>TC_041</t>
        </is>
      </c>
      <c r="B42" s="12" t="inlineStr">
        <is>
          <t>SelectScreen</t>
        </is>
      </c>
      <c r="C42" s="12" t="inlineStr">
        <is>
          <t>Verify brute-force defense and authentication lockout rules on SelectScreen</t>
        </is>
      </c>
      <c r="D42" s="12" t="inlineStr">
        <is>
          <t>Submit 10 rapid invalid login/auth attempts on SelectScreen.
Inspect response headers.
Verify account locks after 5 attempts with 429 status.</t>
        </is>
      </c>
      <c r="E42" s="12" t="inlineStr">
        <is>
          <t>Security control for SelectScreen successfully blocks unauthorized access or malicious input.</t>
        </is>
      </c>
      <c r="F42" s="12" t="inlineStr">
        <is>
          <t>Not Executed</t>
        </is>
      </c>
      <c r="G42" s="13" t="inlineStr">
        <is>
          <t>Not Executed</t>
        </is>
      </c>
      <c r="H42" s="11" t="inlineStr">
        <is>
          <t>Medium</t>
        </is>
      </c>
    </row>
    <row r="43" ht="42" customHeight="1">
      <c r="A43" s="11" t="inlineStr">
        <is>
          <t>TC_042</t>
        </is>
      </c>
      <c r="B43" s="12" t="inlineStr">
        <is>
          <t>SelectScreen</t>
        </is>
      </c>
      <c r="C43" s="12" t="inlineStr">
        <is>
          <t>Verify role-based access control (RBAC) and IDOR vulnerability defense on SelectScreen</t>
        </is>
      </c>
      <c r="D43" s="12" t="inlineStr">
        <is>
          <t>Attempt accessing secondary user private resource on SelectScreen using non-owner JWT.
Inspect server response.
Verify access denied with 403 Forbidden.</t>
        </is>
      </c>
      <c r="E43" s="12" t="inlineStr">
        <is>
          <t>Security control for SelectScreen successfully blocks unauthorized access or malicious input.</t>
        </is>
      </c>
      <c r="F43" s="12" t="inlineStr">
        <is>
          <t>Not Executed</t>
        </is>
      </c>
      <c r="G43" s="13" t="inlineStr">
        <is>
          <t>Not Executed</t>
        </is>
      </c>
      <c r="H43" s="11" t="inlineStr">
        <is>
          <t>High</t>
        </is>
      </c>
    </row>
    <row r="44" ht="42" customHeight="1">
      <c r="A44" s="11" t="inlineStr">
        <is>
          <t>TC_043</t>
        </is>
      </c>
      <c r="B44" s="12" t="inlineStr">
        <is>
          <t>SelectScreen</t>
        </is>
      </c>
      <c r="C44" s="12" t="inlineStr">
        <is>
          <t>Verify session JWT token expiration and invalidation handling on SelectScreen</t>
        </is>
      </c>
      <c r="D44" s="12" t="inlineStr">
        <is>
          <t>Present expired JWT token to SelectScreen API endpoint.
Inspect response.
Verify session invalidated and redirected to login.</t>
        </is>
      </c>
      <c r="E44" s="12" t="inlineStr">
        <is>
          <t>Input validation on SelectScreen correctly enforces rules and displays error hints.</t>
        </is>
      </c>
      <c r="F44" s="12" t="inlineStr">
        <is>
          <t>Not Executed</t>
        </is>
      </c>
      <c r="G44" s="13" t="inlineStr">
        <is>
          <t>Not Executed</t>
        </is>
      </c>
      <c r="H44" s="11" t="inlineStr">
        <is>
          <t>Medium</t>
        </is>
      </c>
    </row>
    <row r="45" ht="42" customHeight="1">
      <c r="A45" s="11" t="inlineStr">
        <is>
          <t>TC_044</t>
        </is>
      </c>
      <c r="B45" s="12" t="inlineStr">
        <is>
          <t>SelectScreen</t>
        </is>
      </c>
      <c r="C45" s="12" t="inlineStr">
        <is>
          <t>Verify input sanitization and SQL injection defense on SelectScreen</t>
        </is>
      </c>
      <c r="D45" s="12" t="inlineStr">
        <is>
          <t>Submit safe SQLi test string `' OR '1'='1` into input fields on SelectScreen.
Inspect database query log.
Verify query parameterized without syntax error.</t>
        </is>
      </c>
      <c r="E45" s="12" t="inlineStr">
        <is>
          <t>Input validation on SelectScreen correctly enforces rules and displays error hints.</t>
        </is>
      </c>
      <c r="F45" s="12" t="inlineStr">
        <is>
          <t>Not Executed</t>
        </is>
      </c>
      <c r="G45" s="13" t="inlineStr">
        <is>
          <t>Not Executed</t>
        </is>
      </c>
      <c r="H45" s="11" t="inlineStr">
        <is>
          <t>Medium</t>
        </is>
      </c>
    </row>
    <row r="46" ht="42" customHeight="1">
      <c r="A46" s="11" t="inlineStr">
        <is>
          <t>TC_045</t>
        </is>
      </c>
      <c r="B46" s="12" t="inlineStr">
        <is>
          <t>SelectScreen</t>
        </is>
      </c>
      <c r="C46" s="12" t="inlineStr">
        <is>
          <t>Verify Cross-Site Scripting (XSS) DOM escaping and sanitization on SelectScreen</t>
        </is>
      </c>
      <c r="D46" s="12" t="inlineStr">
        <is>
          <t>Submit safe script tag `&lt;script&gt;alert(1)&lt;/script&gt;` into SelectScreen input fields.
Inspect rendered DOM node.
Verify string rendered as literal text without execution.</t>
        </is>
      </c>
      <c r="E46" s="12" t="inlineStr">
        <is>
          <t>Endpoint for SelectScreen handles load within SLA response time limits with 0.0% errors.</t>
        </is>
      </c>
      <c r="F46" s="12" t="inlineStr">
        <is>
          <t>Not Executed</t>
        </is>
      </c>
      <c r="G46" s="13" t="inlineStr">
        <is>
          <t>Not Executed</t>
        </is>
      </c>
      <c r="H46" s="11" t="inlineStr">
        <is>
          <t>High</t>
        </is>
      </c>
    </row>
    <row r="47" ht="42" customHeight="1">
      <c r="A47" s="11" t="inlineStr">
        <is>
          <t>TC_046</t>
        </is>
      </c>
      <c r="B47" s="12" t="inlineStr">
        <is>
          <t>SelectScreen</t>
        </is>
      </c>
      <c r="C47" s="12" t="inlineStr">
        <is>
          <t>Verify TLS 1.3 transport layer encryption enforcement on SelectScreen</t>
        </is>
      </c>
      <c r="D47" s="12" t="inlineStr">
        <is>
          <t>Inspect network connection parameters for SelectScreen using security audit proxy.
Verify TLS 1.3/1.2 cipher suite.
Confirm insecure HTTP blocked.</t>
        </is>
      </c>
      <c r="E47" s="12" t="inlineStr">
        <is>
          <t>Verify expected behavior for SelectScreen under Safe Vulnerability &amp; Security Checks scenario #6.</t>
        </is>
      </c>
      <c r="F47" s="12" t="inlineStr">
        <is>
          <t>Not Executed</t>
        </is>
      </c>
      <c r="G47" s="13" t="inlineStr">
        <is>
          <t>Not Executed</t>
        </is>
      </c>
      <c r="H47" s="11" t="inlineStr">
        <is>
          <t>Medium</t>
        </is>
      </c>
    </row>
    <row r="48" ht="42" customHeight="1">
      <c r="A48" s="11" t="inlineStr">
        <is>
          <t>TC_047</t>
        </is>
      </c>
      <c r="B48" s="12" t="inlineStr">
        <is>
          <t>SelectScreen</t>
        </is>
      </c>
      <c r="C48" s="12" t="inlineStr">
        <is>
          <t>Verify API rate limiting 429 Too Many Requests response on SelectScreen</t>
        </is>
      </c>
      <c r="D48" s="12" t="inlineStr">
        <is>
          <t>Send 100 rapid requests within 5 seconds to SelectScreen public API endpoint.
Inspect response status.
Verify HTTP 429 rate limit error returned.</t>
        </is>
      </c>
      <c r="E48" s="12" t="inlineStr">
        <is>
          <t>Endpoint for SelectScreen handles load within SLA response time limits with 0.0% errors.</t>
        </is>
      </c>
      <c r="F48" s="12" t="inlineStr">
        <is>
          <t>Not Executed</t>
        </is>
      </c>
      <c r="G48" s="13" t="inlineStr">
        <is>
          <t>Not Executed</t>
        </is>
      </c>
      <c r="H48" s="11" t="inlineStr">
        <is>
          <t>Medium</t>
        </is>
      </c>
    </row>
    <row r="49" ht="42" customHeight="1">
      <c r="A49" s="11" t="inlineStr">
        <is>
          <t>TC_048</t>
        </is>
      </c>
      <c r="B49" s="12" t="inlineStr">
        <is>
          <t>SelectScreen</t>
        </is>
      </c>
      <c r="C49" s="12" t="inlineStr">
        <is>
          <t>Verify Supabase Row Level Security (RLS) policy enforcement on SelectScreen</t>
        </is>
      </c>
      <c r="D49" s="12" t="inlineStr">
        <is>
          <t>Execute direct database query on SelectScreen table without authorization header.
Inspect PostgreSQL response.
Verify RLS policy blocks unauthorized row access.</t>
        </is>
      </c>
      <c r="E49" s="12" t="inlineStr">
        <is>
          <t>Security control for SelectScreen successfully blocks unauthorized access or malicious input.</t>
        </is>
      </c>
      <c r="F49" s="12" t="inlineStr">
        <is>
          <t>Not Executed</t>
        </is>
      </c>
      <c r="G49" s="13" t="inlineStr">
        <is>
          <t>Not Executed</t>
        </is>
      </c>
      <c r="H49" s="11" t="inlineStr">
        <is>
          <t>High</t>
        </is>
      </c>
    </row>
    <row r="50" ht="42" customHeight="1">
      <c r="A50" s="11" t="inlineStr">
        <is>
          <t>TC_049</t>
        </is>
      </c>
      <c r="B50" s="12" t="inlineStr">
        <is>
          <t>SelectScreen</t>
        </is>
      </c>
      <c r="C50" s="12" t="inlineStr">
        <is>
          <t>Verify privileged route guard interception on unauthenticated access to SelectScreen</t>
        </is>
      </c>
      <c r="D50" s="12" t="inlineStr">
        <is>
          <t>Attempt deep linking directly to protected route for SelectScreen without auth token.
Inspect router behavior.
Verify request intercepted and redirected.</t>
        </is>
      </c>
      <c r="E50" s="12" t="inlineStr">
        <is>
          <t>Security control for SelectScreen successfully blocks unauthorized access or malicious input.</t>
        </is>
      </c>
      <c r="F50" s="12" t="inlineStr">
        <is>
          <t>Not Executed</t>
        </is>
      </c>
      <c r="G50" s="13" t="inlineStr">
        <is>
          <t>Not Executed</t>
        </is>
      </c>
      <c r="H50" s="11" t="inlineStr">
        <is>
          <t>Medium</t>
        </is>
      </c>
    </row>
    <row r="51" ht="42" customHeight="1">
      <c r="A51" s="11" t="inlineStr">
        <is>
          <t>TC_050</t>
        </is>
      </c>
      <c r="B51" s="12" t="inlineStr">
        <is>
          <t>SelectScreen</t>
        </is>
      </c>
      <c r="C51" s="12" t="inlineStr">
        <is>
          <t>Verify sensitive data masking and log exposure prevention for SelectScreen</t>
        </is>
      </c>
      <c r="D51" s="12" t="inlineStr">
        <is>
          <t>Inspect application log output during operations on SelectScreen.
Check password, token, and PII fields.
Verify sensitive fields masked or omitted.</t>
        </is>
      </c>
      <c r="E51" s="12" t="inlineStr">
        <is>
          <t>Verify expected behavior for SelectScreen under Safe Vulnerability &amp; Security Checks scenario #10.</t>
        </is>
      </c>
      <c r="F51" s="12" t="inlineStr">
        <is>
          <t>Not Executed</t>
        </is>
      </c>
      <c r="G51" s="13" t="inlineStr">
        <is>
          <t>Not Executed</t>
        </is>
      </c>
      <c r="H51" s="11" t="inlineStr">
        <is>
          <t>Low</t>
        </is>
      </c>
    </row>
    <row r="52" ht="42" customHeight="1">
      <c r="A52" s="11" t="inlineStr">
        <is>
          <t>TC_051</t>
        </is>
      </c>
      <c r="B52" s="12" t="inlineStr">
        <is>
          <t>GoalScreen</t>
        </is>
      </c>
      <c r="C52" s="12" t="inlineStr">
        <is>
          <t>Verify brute-force defense and authentication lockout rules on GoalScreen</t>
        </is>
      </c>
      <c r="D52" s="12" t="inlineStr">
        <is>
          <t>Submit 10 rapid invalid login/auth attempts on GoalScreen.
Inspect response headers.
Verify account locks after 5 attempts with 429 status.</t>
        </is>
      </c>
      <c r="E52" s="12" t="inlineStr">
        <is>
          <t>Security control for GoalScreen successfully blocks unauthorized access or malicious input.</t>
        </is>
      </c>
      <c r="F52" s="12" t="inlineStr">
        <is>
          <t>Not Executed</t>
        </is>
      </c>
      <c r="G52" s="13" t="inlineStr">
        <is>
          <t>Not Executed</t>
        </is>
      </c>
      <c r="H52" s="11" t="inlineStr">
        <is>
          <t>High</t>
        </is>
      </c>
    </row>
    <row r="53" ht="42" customHeight="1">
      <c r="A53" s="11" t="inlineStr">
        <is>
          <t>TC_052</t>
        </is>
      </c>
      <c r="B53" s="12" t="inlineStr">
        <is>
          <t>GoalScreen</t>
        </is>
      </c>
      <c r="C53" s="12" t="inlineStr">
        <is>
          <t>Verify role-based access control (RBAC) and IDOR vulnerability defense on GoalScreen</t>
        </is>
      </c>
      <c r="D53" s="12" t="inlineStr">
        <is>
          <t>Attempt accessing secondary user private resource on GoalScreen using non-owner JWT.
Inspect server response.
Verify access denied with 403 Forbidden.</t>
        </is>
      </c>
      <c r="E53" s="12" t="inlineStr">
        <is>
          <t>Security control for GoalScreen successfully blocks unauthorized access or malicious input.</t>
        </is>
      </c>
      <c r="F53" s="12" t="inlineStr">
        <is>
          <t>Not Executed</t>
        </is>
      </c>
      <c r="G53" s="13" t="inlineStr">
        <is>
          <t>Not Executed</t>
        </is>
      </c>
      <c r="H53" s="11" t="inlineStr">
        <is>
          <t>Medium</t>
        </is>
      </c>
    </row>
    <row r="54" ht="42" customHeight="1">
      <c r="A54" s="11" t="inlineStr">
        <is>
          <t>TC_053</t>
        </is>
      </c>
      <c r="B54" s="12" t="inlineStr">
        <is>
          <t>GoalScreen</t>
        </is>
      </c>
      <c r="C54" s="12" t="inlineStr">
        <is>
          <t>Verify session JWT token expiration and invalidation handling on GoalScreen</t>
        </is>
      </c>
      <c r="D54" s="12" t="inlineStr">
        <is>
          <t>Present expired JWT token to GoalScreen API endpoint.
Inspect response.
Verify session invalidated and redirected to login.</t>
        </is>
      </c>
      <c r="E54" s="12" t="inlineStr">
        <is>
          <t>Input validation on GoalScreen correctly enforces rules and displays error hints.</t>
        </is>
      </c>
      <c r="F54" s="12" t="inlineStr">
        <is>
          <t>Not Executed</t>
        </is>
      </c>
      <c r="G54" s="13" t="inlineStr">
        <is>
          <t>Not Executed</t>
        </is>
      </c>
      <c r="H54" s="11" t="inlineStr">
        <is>
          <t>Medium</t>
        </is>
      </c>
    </row>
    <row r="55" ht="42" customHeight="1">
      <c r="A55" s="11" t="inlineStr">
        <is>
          <t>TC_054</t>
        </is>
      </c>
      <c r="B55" s="12" t="inlineStr">
        <is>
          <t>GoalScreen</t>
        </is>
      </c>
      <c r="C55" s="12" t="inlineStr">
        <is>
          <t>Verify input sanitization and SQL injection defense on GoalScreen</t>
        </is>
      </c>
      <c r="D55" s="12" t="inlineStr">
        <is>
          <t>Submit safe SQLi test string `' OR '1'='1` into input fields on GoalScreen.
Inspect database query log.
Verify query parameterized without syntax error.</t>
        </is>
      </c>
      <c r="E55" s="12" t="inlineStr">
        <is>
          <t>Input validation on GoalScreen correctly enforces rules and displays error hints.</t>
        </is>
      </c>
      <c r="F55" s="12" t="inlineStr">
        <is>
          <t>Not Executed</t>
        </is>
      </c>
      <c r="G55" s="13" t="inlineStr">
        <is>
          <t>Not Executed</t>
        </is>
      </c>
      <c r="H55" s="11" t="inlineStr">
        <is>
          <t>High</t>
        </is>
      </c>
    </row>
    <row r="56" ht="42" customHeight="1">
      <c r="A56" s="11" t="inlineStr">
        <is>
          <t>TC_055</t>
        </is>
      </c>
      <c r="B56" s="12" t="inlineStr">
        <is>
          <t>GoalScreen</t>
        </is>
      </c>
      <c r="C56" s="12" t="inlineStr">
        <is>
          <t>Verify Cross-Site Scripting (XSS) DOM escaping and sanitization on GoalScreen</t>
        </is>
      </c>
      <c r="D56" s="12" t="inlineStr">
        <is>
          <t>Submit safe script tag `&lt;script&gt;alert(1)&lt;/script&gt;` into GoalScreen input fields.
Inspect rendered DOM node.
Verify string rendered as literal text without execution.</t>
        </is>
      </c>
      <c r="E56" s="12" t="inlineStr">
        <is>
          <t>Endpoint for GoalScreen handles load within SLA response time limits with 0.0% errors.</t>
        </is>
      </c>
      <c r="F56" s="12" t="inlineStr">
        <is>
          <t>Not Executed</t>
        </is>
      </c>
      <c r="G56" s="13" t="inlineStr">
        <is>
          <t>Not Executed</t>
        </is>
      </c>
      <c r="H56" s="11" t="inlineStr">
        <is>
          <t>Low</t>
        </is>
      </c>
    </row>
    <row r="57" ht="42" customHeight="1">
      <c r="A57" s="11" t="inlineStr">
        <is>
          <t>TC_056</t>
        </is>
      </c>
      <c r="B57" s="12" t="inlineStr">
        <is>
          <t>GoalScreen</t>
        </is>
      </c>
      <c r="C57" s="12" t="inlineStr">
        <is>
          <t>Verify TLS 1.3 transport layer encryption enforcement on GoalScreen</t>
        </is>
      </c>
      <c r="D57" s="12" t="inlineStr">
        <is>
          <t>Inspect network connection parameters for GoalScreen using security audit proxy.
Verify TLS 1.3/1.2 cipher suite.
Confirm insecure HTTP blocked.</t>
        </is>
      </c>
      <c r="E57" s="12" t="inlineStr">
        <is>
          <t>Verify expected behavior for GoalScreen under Safe Vulnerability &amp; Security Checks scenario #6.</t>
        </is>
      </c>
      <c r="F57" s="12" t="inlineStr">
        <is>
          <t>Not Executed</t>
        </is>
      </c>
      <c r="G57" s="13" t="inlineStr">
        <is>
          <t>Not Executed</t>
        </is>
      </c>
      <c r="H57" s="11" t="inlineStr">
        <is>
          <t>Medium</t>
        </is>
      </c>
    </row>
    <row r="58" ht="42" customHeight="1">
      <c r="A58" s="11" t="inlineStr">
        <is>
          <t>TC_057</t>
        </is>
      </c>
      <c r="B58" s="12" t="inlineStr">
        <is>
          <t>GoalScreen</t>
        </is>
      </c>
      <c r="C58" s="12" t="inlineStr">
        <is>
          <t>Verify API rate limiting 429 Too Many Requests response on GoalScreen</t>
        </is>
      </c>
      <c r="D58" s="12" t="inlineStr">
        <is>
          <t>Send 100 rapid requests within 5 seconds to GoalScreen public API endpoint.
Inspect response status.
Verify HTTP 429 rate limit error returned.</t>
        </is>
      </c>
      <c r="E58" s="12" t="inlineStr">
        <is>
          <t>Endpoint for GoalScreen handles load within SLA response time limits with 0.0% errors.</t>
        </is>
      </c>
      <c r="F58" s="12" t="inlineStr">
        <is>
          <t>Not Executed</t>
        </is>
      </c>
      <c r="G58" s="13" t="inlineStr">
        <is>
          <t>Not Executed</t>
        </is>
      </c>
      <c r="H58" s="11" t="inlineStr">
        <is>
          <t>High</t>
        </is>
      </c>
    </row>
    <row r="59" ht="42" customHeight="1">
      <c r="A59" s="11" t="inlineStr">
        <is>
          <t>TC_058</t>
        </is>
      </c>
      <c r="B59" s="12" t="inlineStr">
        <is>
          <t>GoalScreen</t>
        </is>
      </c>
      <c r="C59" s="12" t="inlineStr">
        <is>
          <t>Verify Supabase Row Level Security (RLS) policy enforcement on GoalScreen</t>
        </is>
      </c>
      <c r="D59" s="12" t="inlineStr">
        <is>
          <t>Execute direct database query on GoalScreen table without authorization header.
Inspect PostgreSQL response.
Verify RLS policy blocks unauthorized row access.</t>
        </is>
      </c>
      <c r="E59" s="12" t="inlineStr">
        <is>
          <t>Security control for GoalScreen successfully blocks unauthorized access or malicious input.</t>
        </is>
      </c>
      <c r="F59" s="12" t="inlineStr">
        <is>
          <t>Not Executed</t>
        </is>
      </c>
      <c r="G59" s="13" t="inlineStr">
        <is>
          <t>Not Executed</t>
        </is>
      </c>
      <c r="H59" s="11" t="inlineStr">
        <is>
          <t>Medium</t>
        </is>
      </c>
    </row>
    <row r="60" ht="42" customHeight="1">
      <c r="A60" s="11" t="inlineStr">
        <is>
          <t>TC_059</t>
        </is>
      </c>
      <c r="B60" s="12" t="inlineStr">
        <is>
          <t>GoalScreen</t>
        </is>
      </c>
      <c r="C60" s="12" t="inlineStr">
        <is>
          <t>Verify privileged route guard interception on unauthenticated access to GoalScreen</t>
        </is>
      </c>
      <c r="D60" s="12" t="inlineStr">
        <is>
          <t>Attempt deep linking directly to protected route for GoalScreen without auth token.
Inspect router behavior.
Verify request intercepted and redirected.</t>
        </is>
      </c>
      <c r="E60" s="12" t="inlineStr">
        <is>
          <t>Security control for GoalScreen successfully blocks unauthorized access or malicious input.</t>
        </is>
      </c>
      <c r="F60" s="12" t="inlineStr">
        <is>
          <t>Not Executed</t>
        </is>
      </c>
      <c r="G60" s="13" t="inlineStr">
        <is>
          <t>Not Executed</t>
        </is>
      </c>
      <c r="H60" s="11" t="inlineStr">
        <is>
          <t>Medium</t>
        </is>
      </c>
    </row>
    <row r="61" ht="42" customHeight="1">
      <c r="A61" s="11" t="inlineStr">
        <is>
          <t>TC_060</t>
        </is>
      </c>
      <c r="B61" s="12" t="inlineStr">
        <is>
          <t>GoalScreen</t>
        </is>
      </c>
      <c r="C61" s="12" t="inlineStr">
        <is>
          <t>Verify sensitive data masking and log exposure prevention for GoalScreen</t>
        </is>
      </c>
      <c r="D61" s="12" t="inlineStr">
        <is>
          <t>Inspect application log output during operations on GoalScreen.
Check password, token, and PII fields.
Verify sensitive fields masked or omitted.</t>
        </is>
      </c>
      <c r="E61" s="12" t="inlineStr">
        <is>
          <t>Verify expected behavior for GoalScreen under Safe Vulnerability &amp; Security Checks scenario #10.</t>
        </is>
      </c>
      <c r="F61" s="12" t="inlineStr">
        <is>
          <t>Not Executed</t>
        </is>
      </c>
      <c r="G61" s="13" t="inlineStr">
        <is>
          <t>Not Executed</t>
        </is>
      </c>
      <c r="H61" s="11" t="inlineStr">
        <is>
          <t>High</t>
        </is>
      </c>
    </row>
    <row r="62" ht="42" customHeight="1">
      <c r="A62" s="11" t="inlineStr">
        <is>
          <t>TC_061</t>
        </is>
      </c>
      <c r="B62" s="12" t="inlineStr">
        <is>
          <t>GenderScreen</t>
        </is>
      </c>
      <c r="C62" s="12" t="inlineStr">
        <is>
          <t>Verify brute-force defense and authentication lockout rules on GenderScreen</t>
        </is>
      </c>
      <c r="D62" s="12" t="inlineStr">
        <is>
          <t>Submit 10 rapid invalid login/auth attempts on GenderScreen.
Inspect response headers.
Verify account locks after 5 attempts with 429 status.</t>
        </is>
      </c>
      <c r="E62" s="12" t="inlineStr">
        <is>
          <t>Security control for GenderScreen successfully blocks unauthorized access or malicious input.</t>
        </is>
      </c>
      <c r="F62" s="12" t="inlineStr">
        <is>
          <t>Not Executed</t>
        </is>
      </c>
      <c r="G62" s="13" t="inlineStr">
        <is>
          <t>Not Executed</t>
        </is>
      </c>
      <c r="H62" s="11" t="inlineStr">
        <is>
          <t>Medium</t>
        </is>
      </c>
    </row>
    <row r="63" ht="42" customHeight="1">
      <c r="A63" s="11" t="inlineStr">
        <is>
          <t>TC_062</t>
        </is>
      </c>
      <c r="B63" s="12" t="inlineStr">
        <is>
          <t>GenderScreen</t>
        </is>
      </c>
      <c r="C63" s="12" t="inlineStr">
        <is>
          <t>Verify role-based access control (RBAC) and IDOR vulnerability defense on GenderScreen</t>
        </is>
      </c>
      <c r="D63" s="12" t="inlineStr">
        <is>
          <t>Attempt accessing secondary user private resource on GenderScreen using non-owner JWT.
Inspect server response.
Verify access denied with 403 Forbidden.</t>
        </is>
      </c>
      <c r="E63" s="12" t="inlineStr">
        <is>
          <t>Security control for GenderScreen successfully blocks unauthorized access or malicious input.</t>
        </is>
      </c>
      <c r="F63" s="12" t="inlineStr">
        <is>
          <t>Not Executed</t>
        </is>
      </c>
      <c r="G63" s="13" t="inlineStr">
        <is>
          <t>Not Executed</t>
        </is>
      </c>
      <c r="H63" s="11" t="inlineStr">
        <is>
          <t>Medium</t>
        </is>
      </c>
    </row>
    <row r="64" ht="42" customHeight="1">
      <c r="A64" s="11" t="inlineStr">
        <is>
          <t>TC_063</t>
        </is>
      </c>
      <c r="B64" s="12" t="inlineStr">
        <is>
          <t>GenderScreen</t>
        </is>
      </c>
      <c r="C64" s="12" t="inlineStr">
        <is>
          <t>Verify session JWT token expiration and invalidation handling on GenderScreen</t>
        </is>
      </c>
      <c r="D64" s="12" t="inlineStr">
        <is>
          <t>Present expired JWT token to GenderScreen API endpoint.
Inspect response.
Verify session invalidated and redirected to login.</t>
        </is>
      </c>
      <c r="E64" s="12" t="inlineStr">
        <is>
          <t>Input validation on GenderScreen correctly enforces rules and displays error hints.</t>
        </is>
      </c>
      <c r="F64" s="12" t="inlineStr">
        <is>
          <t>Not Executed</t>
        </is>
      </c>
      <c r="G64" s="13" t="inlineStr">
        <is>
          <t>Not Executed</t>
        </is>
      </c>
      <c r="H64" s="11" t="inlineStr">
        <is>
          <t>High</t>
        </is>
      </c>
    </row>
    <row r="65" ht="42" customHeight="1">
      <c r="A65" s="11" t="inlineStr">
        <is>
          <t>TC_064</t>
        </is>
      </c>
      <c r="B65" s="12" t="inlineStr">
        <is>
          <t>GenderScreen</t>
        </is>
      </c>
      <c r="C65" s="12" t="inlineStr">
        <is>
          <t>Verify input sanitization and SQL injection defense on GenderScreen</t>
        </is>
      </c>
      <c r="D65" s="12" t="inlineStr">
        <is>
          <t>Submit safe SQLi test string `' OR '1'='1` into input fields on GenderScreen.
Inspect database query log.
Verify query parameterized without syntax error.</t>
        </is>
      </c>
      <c r="E65" s="12" t="inlineStr">
        <is>
          <t>Input validation on GenderScreen correctly enforces rules and displays error hints.</t>
        </is>
      </c>
      <c r="F65" s="12" t="inlineStr">
        <is>
          <t>Not Executed</t>
        </is>
      </c>
      <c r="G65" s="13" t="inlineStr">
        <is>
          <t>Not Executed</t>
        </is>
      </c>
      <c r="H65" s="11" t="inlineStr">
        <is>
          <t>Medium</t>
        </is>
      </c>
    </row>
    <row r="66" ht="42" customHeight="1">
      <c r="A66" s="11" t="inlineStr">
        <is>
          <t>TC_065</t>
        </is>
      </c>
      <c r="B66" s="12" t="inlineStr">
        <is>
          <t>GenderScreen</t>
        </is>
      </c>
      <c r="C66" s="12" t="inlineStr">
        <is>
          <t>Verify Cross-Site Scripting (XSS) DOM escaping and sanitization on GenderScreen</t>
        </is>
      </c>
      <c r="D66" s="12" t="inlineStr">
        <is>
          <t>Submit safe script tag `&lt;script&gt;alert(1)&lt;/script&gt;` into GenderScreen input fields.
Inspect rendered DOM node.
Verify string rendered as literal text without execution.</t>
        </is>
      </c>
      <c r="E66" s="12" t="inlineStr">
        <is>
          <t>Endpoint for GenderScreen handles load within SLA response time limits with 0.0% errors.</t>
        </is>
      </c>
      <c r="F66" s="12" t="inlineStr">
        <is>
          <t>Not Executed</t>
        </is>
      </c>
      <c r="G66" s="13" t="inlineStr">
        <is>
          <t>Not Executed</t>
        </is>
      </c>
      <c r="H66" s="11" t="inlineStr">
        <is>
          <t>Low</t>
        </is>
      </c>
    </row>
    <row r="67" ht="42" customHeight="1">
      <c r="A67" s="11" t="inlineStr">
        <is>
          <t>TC_066</t>
        </is>
      </c>
      <c r="B67" s="12" t="inlineStr">
        <is>
          <t>GenderScreen</t>
        </is>
      </c>
      <c r="C67" s="12" t="inlineStr">
        <is>
          <t>Verify TLS 1.3 transport layer encryption enforcement on GenderScreen</t>
        </is>
      </c>
      <c r="D67" s="12" t="inlineStr">
        <is>
          <t>Inspect network connection parameters for GenderScreen using security audit proxy.
Verify TLS 1.3/1.2 cipher suite.
Confirm insecure HTTP blocked.</t>
        </is>
      </c>
      <c r="E67" s="12" t="inlineStr">
        <is>
          <t>Verify expected behavior for GenderScreen under Safe Vulnerability &amp; Security Checks scenario #6.</t>
        </is>
      </c>
      <c r="F67" s="12" t="inlineStr">
        <is>
          <t>Not Executed</t>
        </is>
      </c>
      <c r="G67" s="13" t="inlineStr">
        <is>
          <t>Not Executed</t>
        </is>
      </c>
      <c r="H67" s="11" t="inlineStr">
        <is>
          <t>High</t>
        </is>
      </c>
    </row>
    <row r="68" ht="42" customHeight="1">
      <c r="A68" s="11" t="inlineStr">
        <is>
          <t>TC_067</t>
        </is>
      </c>
      <c r="B68" s="12" t="inlineStr">
        <is>
          <t>GenderScreen</t>
        </is>
      </c>
      <c r="C68" s="12" t="inlineStr">
        <is>
          <t>Verify API rate limiting 429 Too Many Requests response on GenderScreen</t>
        </is>
      </c>
      <c r="D68" s="12" t="inlineStr">
        <is>
          <t>Send 100 rapid requests within 5 seconds to GenderScreen public API endpoint.
Inspect response status.
Verify HTTP 429 rate limit error returned.</t>
        </is>
      </c>
      <c r="E68" s="12" t="inlineStr">
        <is>
          <t>Endpoint for GenderScreen handles load within SLA response time limits with 0.0% errors.</t>
        </is>
      </c>
      <c r="F68" s="12" t="inlineStr">
        <is>
          <t>Not Executed</t>
        </is>
      </c>
      <c r="G68" s="13" t="inlineStr">
        <is>
          <t>Not Executed</t>
        </is>
      </c>
      <c r="H68" s="11" t="inlineStr">
        <is>
          <t>Medium</t>
        </is>
      </c>
    </row>
    <row r="69" ht="42" customHeight="1">
      <c r="A69" s="11" t="inlineStr">
        <is>
          <t>TC_068</t>
        </is>
      </c>
      <c r="B69" s="12" t="inlineStr">
        <is>
          <t>GenderScreen</t>
        </is>
      </c>
      <c r="C69" s="12" t="inlineStr">
        <is>
          <t>Verify Supabase Row Level Security (RLS) policy enforcement on GenderScreen</t>
        </is>
      </c>
      <c r="D69" s="12" t="inlineStr">
        <is>
          <t>Execute direct database query on GenderScreen table without authorization header.
Inspect PostgreSQL response.
Verify RLS policy blocks unauthorized row access.</t>
        </is>
      </c>
      <c r="E69" s="12" t="inlineStr">
        <is>
          <t>Security control for GenderScreen successfully blocks unauthorized access or malicious input.</t>
        </is>
      </c>
      <c r="F69" s="12" t="inlineStr">
        <is>
          <t>Not Executed</t>
        </is>
      </c>
      <c r="G69" s="13" t="inlineStr">
        <is>
          <t>Not Executed</t>
        </is>
      </c>
      <c r="H69" s="11" t="inlineStr">
        <is>
          <t>Medium</t>
        </is>
      </c>
    </row>
    <row r="70" ht="42" customHeight="1">
      <c r="A70" s="11" t="inlineStr">
        <is>
          <t>TC_069</t>
        </is>
      </c>
      <c r="B70" s="12" t="inlineStr">
        <is>
          <t>GenderScreen</t>
        </is>
      </c>
      <c r="C70" s="12" t="inlineStr">
        <is>
          <t>Verify privileged route guard interception on unauthenticated access to GenderScreen</t>
        </is>
      </c>
      <c r="D70" s="12" t="inlineStr">
        <is>
          <t>Attempt deep linking directly to protected route for GenderScreen without auth token.
Inspect router behavior.
Verify request intercepted and redirected.</t>
        </is>
      </c>
      <c r="E70" s="12" t="inlineStr">
        <is>
          <t>Security control for GenderScreen successfully blocks unauthorized access or malicious input.</t>
        </is>
      </c>
      <c r="F70" s="12" t="inlineStr">
        <is>
          <t>Not Executed</t>
        </is>
      </c>
      <c r="G70" s="13" t="inlineStr">
        <is>
          <t>Not Executed</t>
        </is>
      </c>
      <c r="H70" s="11" t="inlineStr">
        <is>
          <t>High</t>
        </is>
      </c>
    </row>
    <row r="71" ht="42" customHeight="1">
      <c r="A71" s="11" t="inlineStr">
        <is>
          <t>TC_070</t>
        </is>
      </c>
      <c r="B71" s="12" t="inlineStr">
        <is>
          <t>GenderScreen</t>
        </is>
      </c>
      <c r="C71" s="12" t="inlineStr">
        <is>
          <t>Verify sensitive data masking and log exposure prevention for GenderScreen</t>
        </is>
      </c>
      <c r="D71" s="12" t="inlineStr">
        <is>
          <t>Inspect application log output during operations on GenderScreen.
Check password, token, and PII fields.
Verify sensitive fields masked or omitted.</t>
        </is>
      </c>
      <c r="E71" s="12" t="inlineStr">
        <is>
          <t>Verify expected behavior for GenderScreen under Safe Vulnerability &amp; Security Checks scenario #10.</t>
        </is>
      </c>
      <c r="F71" s="12" t="inlineStr">
        <is>
          <t>Not Executed</t>
        </is>
      </c>
      <c r="G71" s="13" t="inlineStr">
        <is>
          <t>Not Executed</t>
        </is>
      </c>
      <c r="H71" s="11" t="inlineStr">
        <is>
          <t>Low</t>
        </is>
      </c>
    </row>
    <row r="72" ht="42" customHeight="1">
      <c r="A72" s="11" t="inlineStr">
        <is>
          <t>TC_071</t>
        </is>
      </c>
      <c r="B72" s="12" t="inlineStr">
        <is>
          <t>FoodScreen</t>
        </is>
      </c>
      <c r="C72" s="12" t="inlineStr">
        <is>
          <t>Verify brute-force defense and authentication lockout rules on FoodScreen</t>
        </is>
      </c>
      <c r="D72" s="12" t="inlineStr">
        <is>
          <t>Submit 10 rapid invalid login/auth attempts on FoodScreen.
Inspect response headers.
Verify account locks after 5 attempts with 429 status.</t>
        </is>
      </c>
      <c r="E72" s="12" t="inlineStr">
        <is>
          <t>Security control for FoodScreen successfully blocks unauthorized access or malicious input.</t>
        </is>
      </c>
      <c r="F72" s="12" t="inlineStr">
        <is>
          <t>Not Executed</t>
        </is>
      </c>
      <c r="G72" s="13" t="inlineStr">
        <is>
          <t>Not Executed</t>
        </is>
      </c>
      <c r="H72" s="11" t="inlineStr">
        <is>
          <t>Medium</t>
        </is>
      </c>
    </row>
    <row r="73" ht="42" customHeight="1">
      <c r="A73" s="11" t="inlineStr">
        <is>
          <t>TC_072</t>
        </is>
      </c>
      <c r="B73" s="12" t="inlineStr">
        <is>
          <t>FoodScreen</t>
        </is>
      </c>
      <c r="C73" s="12" t="inlineStr">
        <is>
          <t>Verify role-based access control (RBAC) and IDOR vulnerability defense on FoodScreen</t>
        </is>
      </c>
      <c r="D73" s="12" t="inlineStr">
        <is>
          <t>Attempt accessing secondary user private resource on FoodScreen using non-owner JWT.
Inspect server response.
Verify access denied with 403 Forbidden.</t>
        </is>
      </c>
      <c r="E73" s="12" t="inlineStr">
        <is>
          <t>Security control for FoodScreen successfully blocks unauthorized access or malicious input.</t>
        </is>
      </c>
      <c r="F73" s="12" t="inlineStr">
        <is>
          <t>Not Executed</t>
        </is>
      </c>
      <c r="G73" s="13" t="inlineStr">
        <is>
          <t>Not Executed</t>
        </is>
      </c>
      <c r="H73" s="11" t="inlineStr">
        <is>
          <t>High</t>
        </is>
      </c>
    </row>
    <row r="74" ht="42" customHeight="1">
      <c r="A74" s="11" t="inlineStr">
        <is>
          <t>TC_073</t>
        </is>
      </c>
      <c r="B74" s="12" t="inlineStr">
        <is>
          <t>FoodScreen</t>
        </is>
      </c>
      <c r="C74" s="12" t="inlineStr">
        <is>
          <t>Verify session JWT token expiration and invalidation handling on FoodScreen</t>
        </is>
      </c>
      <c r="D74" s="12" t="inlineStr">
        <is>
          <t>Present expired JWT token to FoodScreen API endpoint.
Inspect response.
Verify session invalidated and redirected to login.</t>
        </is>
      </c>
      <c r="E74" s="12" t="inlineStr">
        <is>
          <t>Input validation on FoodScreen correctly enforces rules and displays error hints.</t>
        </is>
      </c>
      <c r="F74" s="12" t="inlineStr">
        <is>
          <t>Not Executed</t>
        </is>
      </c>
      <c r="G74" s="13" t="inlineStr">
        <is>
          <t>Not Executed</t>
        </is>
      </c>
      <c r="H74" s="11" t="inlineStr">
        <is>
          <t>Medium</t>
        </is>
      </c>
    </row>
    <row r="75" ht="42" customHeight="1">
      <c r="A75" s="11" t="inlineStr">
        <is>
          <t>TC_074</t>
        </is>
      </c>
      <c r="B75" s="12" t="inlineStr">
        <is>
          <t>FoodScreen</t>
        </is>
      </c>
      <c r="C75" s="12" t="inlineStr">
        <is>
          <t>Verify input sanitization and SQL injection defense on FoodScreen</t>
        </is>
      </c>
      <c r="D75" s="12" t="inlineStr">
        <is>
          <t>Submit safe SQLi test string `' OR '1'='1` into input fields on FoodScreen.
Inspect database query log.
Verify query parameterized without syntax error.</t>
        </is>
      </c>
      <c r="E75" s="12" t="inlineStr">
        <is>
          <t>Input validation on FoodScreen correctly enforces rules and displays error hints.</t>
        </is>
      </c>
      <c r="F75" s="12" t="inlineStr">
        <is>
          <t>Not Executed</t>
        </is>
      </c>
      <c r="G75" s="13" t="inlineStr">
        <is>
          <t>Not Executed</t>
        </is>
      </c>
      <c r="H75" s="11" t="inlineStr">
        <is>
          <t>Medium</t>
        </is>
      </c>
    </row>
    <row r="76" ht="42" customHeight="1">
      <c r="A76" s="11" t="inlineStr">
        <is>
          <t>TC_075</t>
        </is>
      </c>
      <c r="B76" s="12" t="inlineStr">
        <is>
          <t>FoodScreen</t>
        </is>
      </c>
      <c r="C76" s="12" t="inlineStr">
        <is>
          <t>Verify Cross-Site Scripting (XSS) DOM escaping and sanitization on FoodScreen</t>
        </is>
      </c>
      <c r="D76" s="12" t="inlineStr">
        <is>
          <t>Submit safe script tag `&lt;script&gt;alert(1)&lt;/script&gt;` into FoodScreen input fields.
Inspect rendered DOM node.
Verify string rendered as literal text without execution.</t>
        </is>
      </c>
      <c r="E76" s="12" t="inlineStr">
        <is>
          <t>Endpoint for FoodScreen handles load within SLA response time limits with 0.0% errors.</t>
        </is>
      </c>
      <c r="F76" s="12" t="inlineStr">
        <is>
          <t>Not Executed</t>
        </is>
      </c>
      <c r="G76" s="13" t="inlineStr">
        <is>
          <t>Not Executed</t>
        </is>
      </c>
      <c r="H76" s="11" t="inlineStr">
        <is>
          <t>High</t>
        </is>
      </c>
    </row>
    <row r="77" ht="42" customHeight="1">
      <c r="A77" s="11" t="inlineStr">
        <is>
          <t>TC_076</t>
        </is>
      </c>
      <c r="B77" s="12" t="inlineStr">
        <is>
          <t>FoodScreen</t>
        </is>
      </c>
      <c r="C77" s="12" t="inlineStr">
        <is>
          <t>Verify TLS 1.3 transport layer encryption enforcement on FoodScreen</t>
        </is>
      </c>
      <c r="D77" s="12" t="inlineStr">
        <is>
          <t>Inspect network connection parameters for FoodScreen using security audit proxy.
Verify TLS 1.3/1.2 cipher suite.
Confirm insecure HTTP blocked.</t>
        </is>
      </c>
      <c r="E77" s="12" t="inlineStr">
        <is>
          <t>Verify expected behavior for FoodScreen under Safe Vulnerability &amp; Security Checks scenario #6.</t>
        </is>
      </c>
      <c r="F77" s="12" t="inlineStr">
        <is>
          <t>Not Executed</t>
        </is>
      </c>
      <c r="G77" s="13" t="inlineStr">
        <is>
          <t>Not Executed</t>
        </is>
      </c>
      <c r="H77" s="11" t="inlineStr">
        <is>
          <t>Medium</t>
        </is>
      </c>
    </row>
    <row r="78" ht="42" customHeight="1">
      <c r="A78" s="11" t="inlineStr">
        <is>
          <t>TC_077</t>
        </is>
      </c>
      <c r="B78" s="12" t="inlineStr">
        <is>
          <t>FoodScreen</t>
        </is>
      </c>
      <c r="C78" s="12" t="inlineStr">
        <is>
          <t>Verify API rate limiting 429 Too Many Requests response on FoodScreen</t>
        </is>
      </c>
      <c r="D78" s="12" t="inlineStr">
        <is>
          <t>Send 100 rapid requests within 5 seconds to FoodScreen public API endpoint.
Inspect response status.
Verify HTTP 429 rate limit error returned.</t>
        </is>
      </c>
      <c r="E78" s="12" t="inlineStr">
        <is>
          <t>Endpoint for FoodScreen handles load within SLA response time limits with 0.0% errors.</t>
        </is>
      </c>
      <c r="F78" s="12" t="inlineStr">
        <is>
          <t>Not Executed</t>
        </is>
      </c>
      <c r="G78" s="13" t="inlineStr">
        <is>
          <t>Not Executed</t>
        </is>
      </c>
      <c r="H78" s="11" t="inlineStr">
        <is>
          <t>Medium</t>
        </is>
      </c>
    </row>
    <row r="79" ht="42" customHeight="1">
      <c r="A79" s="11" t="inlineStr">
        <is>
          <t>TC_078</t>
        </is>
      </c>
      <c r="B79" s="12" t="inlineStr">
        <is>
          <t>FoodScreen</t>
        </is>
      </c>
      <c r="C79" s="12" t="inlineStr">
        <is>
          <t>Verify Supabase Row Level Security (RLS) policy enforcement on FoodScreen</t>
        </is>
      </c>
      <c r="D79" s="12" t="inlineStr">
        <is>
          <t>Execute direct database query on FoodScreen table without authorization header.
Inspect PostgreSQL response.
Verify RLS policy blocks unauthorized row access.</t>
        </is>
      </c>
      <c r="E79" s="12" t="inlineStr">
        <is>
          <t>Security control for FoodScreen successfully blocks unauthorized access or malicious input.</t>
        </is>
      </c>
      <c r="F79" s="12" t="inlineStr">
        <is>
          <t>Not Executed</t>
        </is>
      </c>
      <c r="G79" s="13" t="inlineStr">
        <is>
          <t>Not Executed</t>
        </is>
      </c>
      <c r="H79" s="11" t="inlineStr">
        <is>
          <t>High</t>
        </is>
      </c>
    </row>
    <row r="80" ht="42" customHeight="1">
      <c r="A80" s="11" t="inlineStr">
        <is>
          <t>TC_079</t>
        </is>
      </c>
      <c r="B80" s="12" t="inlineStr">
        <is>
          <t>FoodScreen</t>
        </is>
      </c>
      <c r="C80" s="12" t="inlineStr">
        <is>
          <t>Verify privileged route guard interception on unauthenticated access to FoodScreen</t>
        </is>
      </c>
      <c r="D80" s="12" t="inlineStr">
        <is>
          <t>Attempt deep linking directly to protected route for FoodScreen without auth token.
Inspect router behavior.
Verify request intercepted and redirected.</t>
        </is>
      </c>
      <c r="E80" s="12" t="inlineStr">
        <is>
          <t>Security control for FoodScreen successfully blocks unauthorized access or malicious input.</t>
        </is>
      </c>
      <c r="F80" s="12" t="inlineStr">
        <is>
          <t>Not Executed</t>
        </is>
      </c>
      <c r="G80" s="13" t="inlineStr">
        <is>
          <t>Not Executed</t>
        </is>
      </c>
      <c r="H80" s="11" t="inlineStr">
        <is>
          <t>Medium</t>
        </is>
      </c>
    </row>
    <row r="81" ht="42" customHeight="1">
      <c r="A81" s="11" t="inlineStr">
        <is>
          <t>TC_080</t>
        </is>
      </c>
      <c r="B81" s="12" t="inlineStr">
        <is>
          <t>FoodScreen</t>
        </is>
      </c>
      <c r="C81" s="12" t="inlineStr">
        <is>
          <t>Verify sensitive data masking and log exposure prevention for FoodScreen</t>
        </is>
      </c>
      <c r="D81" s="12" t="inlineStr">
        <is>
          <t>Inspect application log output during operations on FoodScreen.
Check password, token, and PII fields.
Verify sensitive fields masked or omitted.</t>
        </is>
      </c>
      <c r="E81" s="12" t="inlineStr">
        <is>
          <t>Verify expected behavior for FoodScreen under Safe Vulnerability &amp; Security Checks scenario #10.</t>
        </is>
      </c>
      <c r="F81" s="12" t="inlineStr">
        <is>
          <t>Not Executed</t>
        </is>
      </c>
      <c r="G81" s="13" t="inlineStr">
        <is>
          <t>Not Executed</t>
        </is>
      </c>
      <c r="H81" s="11" t="inlineStr">
        <is>
          <t>Low</t>
        </is>
      </c>
    </row>
    <row r="82" ht="42" customHeight="1">
      <c r="A82" s="11" t="inlineStr">
        <is>
          <t>TC_081</t>
        </is>
      </c>
      <c r="B82" s="12" t="inlineStr">
        <is>
          <t>LocationScreen</t>
        </is>
      </c>
      <c r="C82" s="12" t="inlineStr">
        <is>
          <t>Verify brute-force defense and authentication lockout rules on LocationScreen</t>
        </is>
      </c>
      <c r="D82" s="12" t="inlineStr">
        <is>
          <t>Submit 10 rapid invalid login/auth attempts on LocationScreen.
Inspect response headers.
Verify account locks after 5 attempts with 429 status.</t>
        </is>
      </c>
      <c r="E82" s="12" t="inlineStr">
        <is>
          <t>Security control for LocationScreen successfully blocks unauthorized access or malicious input.</t>
        </is>
      </c>
      <c r="F82" s="12" t="inlineStr">
        <is>
          <t>Not Executed</t>
        </is>
      </c>
      <c r="G82" s="13" t="inlineStr">
        <is>
          <t>Not Executed</t>
        </is>
      </c>
      <c r="H82" s="11" t="inlineStr">
        <is>
          <t>High</t>
        </is>
      </c>
    </row>
    <row r="83" ht="42" customHeight="1">
      <c r="A83" s="11" t="inlineStr">
        <is>
          <t>TC_082</t>
        </is>
      </c>
      <c r="B83" s="12" t="inlineStr">
        <is>
          <t>LocationScreen</t>
        </is>
      </c>
      <c r="C83" s="12" t="inlineStr">
        <is>
          <t>Verify role-based access control (RBAC) and IDOR vulnerability defense on LocationScreen</t>
        </is>
      </c>
      <c r="D83" s="12" t="inlineStr">
        <is>
          <t>Attempt accessing secondary user private resource on LocationScreen using non-owner JWT.
Inspect server response.
Verify access denied with 403 Forbidden.</t>
        </is>
      </c>
      <c r="E83" s="12" t="inlineStr">
        <is>
          <t>Security control for LocationScreen successfully blocks unauthorized access or malicious input.</t>
        </is>
      </c>
      <c r="F83" s="12" t="inlineStr">
        <is>
          <t>Not Executed</t>
        </is>
      </c>
      <c r="G83" s="13" t="inlineStr">
        <is>
          <t>Not Executed</t>
        </is>
      </c>
      <c r="H83" s="11" t="inlineStr">
        <is>
          <t>Medium</t>
        </is>
      </c>
    </row>
    <row r="84" ht="42" customHeight="1">
      <c r="A84" s="11" t="inlineStr">
        <is>
          <t>TC_083</t>
        </is>
      </c>
      <c r="B84" s="12" t="inlineStr">
        <is>
          <t>LocationScreen</t>
        </is>
      </c>
      <c r="C84" s="12" t="inlineStr">
        <is>
          <t>Verify session JWT token expiration and invalidation handling on LocationScreen</t>
        </is>
      </c>
      <c r="D84" s="12" t="inlineStr">
        <is>
          <t>Present expired JWT token to LocationScreen API endpoint.
Inspect response.
Verify session invalidated and redirected to login.</t>
        </is>
      </c>
      <c r="E84" s="12" t="inlineStr">
        <is>
          <t>Input validation on LocationScreen correctly enforces rules and displays error hints.</t>
        </is>
      </c>
      <c r="F84" s="12" t="inlineStr">
        <is>
          <t>Not Executed</t>
        </is>
      </c>
      <c r="G84" s="13" t="inlineStr">
        <is>
          <t>Not Executed</t>
        </is>
      </c>
      <c r="H84" s="11" t="inlineStr">
        <is>
          <t>Medium</t>
        </is>
      </c>
    </row>
    <row r="85" ht="42" customHeight="1">
      <c r="A85" s="11" t="inlineStr">
        <is>
          <t>TC_084</t>
        </is>
      </c>
      <c r="B85" s="12" t="inlineStr">
        <is>
          <t>LocationScreen</t>
        </is>
      </c>
      <c r="C85" s="12" t="inlineStr">
        <is>
          <t>Verify input sanitization and SQL injection defense on LocationScreen</t>
        </is>
      </c>
      <c r="D85" s="12" t="inlineStr">
        <is>
          <t>Submit safe SQLi test string `' OR '1'='1` into input fields on LocationScreen.
Inspect database query log.
Verify query parameterized without syntax error.</t>
        </is>
      </c>
      <c r="E85" s="12" t="inlineStr">
        <is>
          <t>Input validation on LocationScreen correctly enforces rules and displays error hints.</t>
        </is>
      </c>
      <c r="F85" s="12" t="inlineStr">
        <is>
          <t>Not Executed</t>
        </is>
      </c>
      <c r="G85" s="13" t="inlineStr">
        <is>
          <t>Not Executed</t>
        </is>
      </c>
      <c r="H85" s="11" t="inlineStr">
        <is>
          <t>High</t>
        </is>
      </c>
    </row>
    <row r="86" ht="42" customHeight="1">
      <c r="A86" s="11" t="inlineStr">
        <is>
          <t>TC_085</t>
        </is>
      </c>
      <c r="B86" s="12" t="inlineStr">
        <is>
          <t>LocationScreen</t>
        </is>
      </c>
      <c r="C86" s="12" t="inlineStr">
        <is>
          <t>Verify Cross-Site Scripting (XSS) DOM escaping and sanitization on LocationScreen</t>
        </is>
      </c>
      <c r="D86" s="12" t="inlineStr">
        <is>
          <t>Submit safe script tag `&lt;script&gt;alert(1)&lt;/script&gt;` into LocationScreen input fields.
Inspect rendered DOM node.
Verify string rendered as literal text without execution.</t>
        </is>
      </c>
      <c r="E86" s="12" t="inlineStr">
        <is>
          <t>Endpoint for LocationScreen handles load within SLA response time limits with 0.0% errors.</t>
        </is>
      </c>
      <c r="F86" s="12" t="inlineStr">
        <is>
          <t>Not Executed</t>
        </is>
      </c>
      <c r="G86" s="13" t="inlineStr">
        <is>
          <t>Not Executed</t>
        </is>
      </c>
      <c r="H86" s="11" t="inlineStr">
        <is>
          <t>Low</t>
        </is>
      </c>
    </row>
    <row r="87" ht="42" customHeight="1">
      <c r="A87" s="11" t="inlineStr">
        <is>
          <t>TC_086</t>
        </is>
      </c>
      <c r="B87" s="12" t="inlineStr">
        <is>
          <t>LocationScreen</t>
        </is>
      </c>
      <c r="C87" s="12" t="inlineStr">
        <is>
          <t>Verify TLS 1.3 transport layer encryption enforcement on LocationScreen</t>
        </is>
      </c>
      <c r="D87" s="12" t="inlineStr">
        <is>
          <t>Inspect network connection parameters for LocationScreen using security audit proxy.
Verify TLS 1.3/1.2 cipher suite.
Confirm insecure HTTP blocked.</t>
        </is>
      </c>
      <c r="E87" s="12" t="inlineStr">
        <is>
          <t>Verify expected behavior for LocationScreen under Safe Vulnerability &amp; Security Checks scenario #6.</t>
        </is>
      </c>
      <c r="F87" s="12" t="inlineStr">
        <is>
          <t>Not Executed</t>
        </is>
      </c>
      <c r="G87" s="13" t="inlineStr">
        <is>
          <t>Not Executed</t>
        </is>
      </c>
      <c r="H87" s="11" t="inlineStr">
        <is>
          <t>Medium</t>
        </is>
      </c>
    </row>
    <row r="88" ht="42" customHeight="1">
      <c r="A88" s="11" t="inlineStr">
        <is>
          <t>TC_087</t>
        </is>
      </c>
      <c r="B88" s="12" t="inlineStr">
        <is>
          <t>LocationScreen</t>
        </is>
      </c>
      <c r="C88" s="12" t="inlineStr">
        <is>
          <t>Verify API rate limiting 429 Too Many Requests response on LocationScreen</t>
        </is>
      </c>
      <c r="D88" s="12" t="inlineStr">
        <is>
          <t>Send 100 rapid requests within 5 seconds to LocationScreen public API endpoint.
Inspect response status.
Verify HTTP 429 rate limit error returned.</t>
        </is>
      </c>
      <c r="E88" s="12" t="inlineStr">
        <is>
          <t>Endpoint for LocationScreen handles load within SLA response time limits with 0.0% errors.</t>
        </is>
      </c>
      <c r="F88" s="12" t="inlineStr">
        <is>
          <t>Not Executed</t>
        </is>
      </c>
      <c r="G88" s="13" t="inlineStr">
        <is>
          <t>Not Executed</t>
        </is>
      </c>
      <c r="H88" s="11" t="inlineStr">
        <is>
          <t>High</t>
        </is>
      </c>
    </row>
    <row r="89" ht="42" customHeight="1">
      <c r="A89" s="11" t="inlineStr">
        <is>
          <t>TC_088</t>
        </is>
      </c>
      <c r="B89" s="12" t="inlineStr">
        <is>
          <t>LocationScreen</t>
        </is>
      </c>
      <c r="C89" s="12" t="inlineStr">
        <is>
          <t>Verify Supabase Row Level Security (RLS) policy enforcement on LocationScreen</t>
        </is>
      </c>
      <c r="D89" s="12" t="inlineStr">
        <is>
          <t>Execute direct database query on LocationScreen table without authorization header.
Inspect PostgreSQL response.
Verify RLS policy blocks unauthorized row access.</t>
        </is>
      </c>
      <c r="E89" s="12" t="inlineStr">
        <is>
          <t>Security control for LocationScreen successfully blocks unauthorized access or malicious input.</t>
        </is>
      </c>
      <c r="F89" s="12" t="inlineStr">
        <is>
          <t>Not Executed</t>
        </is>
      </c>
      <c r="G89" s="13" t="inlineStr">
        <is>
          <t>Not Executed</t>
        </is>
      </c>
      <c r="H89" s="11" t="inlineStr">
        <is>
          <t>Medium</t>
        </is>
      </c>
    </row>
    <row r="90" ht="42" customHeight="1">
      <c r="A90" s="11" t="inlineStr">
        <is>
          <t>TC_089</t>
        </is>
      </c>
      <c r="B90" s="12" t="inlineStr">
        <is>
          <t>LocationScreen</t>
        </is>
      </c>
      <c r="C90" s="12" t="inlineStr">
        <is>
          <t>Verify privileged route guard interception on unauthenticated access to LocationScreen</t>
        </is>
      </c>
      <c r="D90" s="12" t="inlineStr">
        <is>
          <t>Attempt deep linking directly to protected route for LocationScreen without auth token.
Inspect router behavior.
Verify request intercepted and redirected.</t>
        </is>
      </c>
      <c r="E90" s="12" t="inlineStr">
        <is>
          <t>Security control for LocationScreen successfully blocks unauthorized access or malicious input.</t>
        </is>
      </c>
      <c r="F90" s="12" t="inlineStr">
        <is>
          <t>Not Executed</t>
        </is>
      </c>
      <c r="G90" s="13" t="inlineStr">
        <is>
          <t>Not Executed</t>
        </is>
      </c>
      <c r="H90" s="11" t="inlineStr">
        <is>
          <t>Medium</t>
        </is>
      </c>
    </row>
    <row r="91" ht="42" customHeight="1">
      <c r="A91" s="11" t="inlineStr">
        <is>
          <t>TC_090</t>
        </is>
      </c>
      <c r="B91" s="12" t="inlineStr">
        <is>
          <t>LocationScreen</t>
        </is>
      </c>
      <c r="C91" s="12" t="inlineStr">
        <is>
          <t>Verify sensitive data masking and log exposure prevention for LocationScreen</t>
        </is>
      </c>
      <c r="D91" s="12" t="inlineStr">
        <is>
          <t>Inspect application log output during operations on LocationScreen.
Check password, token, and PII fields.
Verify sensitive fields masked or omitted.</t>
        </is>
      </c>
      <c r="E91" s="12" t="inlineStr">
        <is>
          <t>Verify expected behavior for LocationScreen under Safe Vulnerability &amp; Security Checks scenario #10.</t>
        </is>
      </c>
      <c r="F91" s="12" t="inlineStr">
        <is>
          <t>Not Executed</t>
        </is>
      </c>
      <c r="G91" s="13" t="inlineStr">
        <is>
          <t>Not Executed</t>
        </is>
      </c>
      <c r="H91" s="11" t="inlineStr">
        <is>
          <t>High</t>
        </is>
      </c>
    </row>
    <row r="92" ht="42" customHeight="1">
      <c r="A92" s="11" t="inlineStr">
        <is>
          <t>TC_091</t>
        </is>
      </c>
      <c r="B92" s="12" t="inlineStr">
        <is>
          <t>NumberScreen</t>
        </is>
      </c>
      <c r="C92" s="12" t="inlineStr">
        <is>
          <t>Verify brute-force defense and authentication lockout rules on NumberScreen</t>
        </is>
      </c>
      <c r="D92" s="12" t="inlineStr">
        <is>
          <t>Submit 10 rapid invalid login/auth attempts on NumberScreen.
Inspect response headers.
Verify account locks after 5 attempts with 429 status.</t>
        </is>
      </c>
      <c r="E92" s="12" t="inlineStr">
        <is>
          <t>Security control for NumberScreen successfully blocks unauthorized access or malicious input.</t>
        </is>
      </c>
      <c r="F92" s="12" t="inlineStr">
        <is>
          <t>Not Executed</t>
        </is>
      </c>
      <c r="G92" s="13" t="inlineStr">
        <is>
          <t>Not Executed</t>
        </is>
      </c>
      <c r="H92" s="11" t="inlineStr">
        <is>
          <t>Medium</t>
        </is>
      </c>
    </row>
    <row r="93" ht="42" customHeight="1">
      <c r="A93" s="11" t="inlineStr">
        <is>
          <t>TC_092</t>
        </is>
      </c>
      <c r="B93" s="12" t="inlineStr">
        <is>
          <t>NumberScreen</t>
        </is>
      </c>
      <c r="C93" s="12" t="inlineStr">
        <is>
          <t>Verify role-based access control (RBAC) and IDOR vulnerability defense on NumberScreen</t>
        </is>
      </c>
      <c r="D93" s="12" t="inlineStr">
        <is>
          <t>Attempt accessing secondary user private resource on NumberScreen using non-owner JWT.
Inspect server response.
Verify access denied with 403 Forbidden.</t>
        </is>
      </c>
      <c r="E93" s="12" t="inlineStr">
        <is>
          <t>Security control for NumberScreen successfully blocks unauthorized access or malicious input.</t>
        </is>
      </c>
      <c r="F93" s="12" t="inlineStr">
        <is>
          <t>Not Executed</t>
        </is>
      </c>
      <c r="G93" s="13" t="inlineStr">
        <is>
          <t>Not Executed</t>
        </is>
      </c>
      <c r="H93" s="11" t="inlineStr">
        <is>
          <t>Medium</t>
        </is>
      </c>
    </row>
    <row r="94" ht="42" customHeight="1">
      <c r="A94" s="11" t="inlineStr">
        <is>
          <t>TC_093</t>
        </is>
      </c>
      <c r="B94" s="12" t="inlineStr">
        <is>
          <t>NumberScreen</t>
        </is>
      </c>
      <c r="C94" s="12" t="inlineStr">
        <is>
          <t>Verify session JWT token expiration and invalidation handling on NumberScreen</t>
        </is>
      </c>
      <c r="D94" s="12" t="inlineStr">
        <is>
          <t>Present expired JWT token to NumberScreen API endpoint.
Inspect response.
Verify session invalidated and redirected to login.</t>
        </is>
      </c>
      <c r="E94" s="12" t="inlineStr">
        <is>
          <t>Input validation on NumberScreen correctly enforces rules and displays error hints.</t>
        </is>
      </c>
      <c r="F94" s="12" t="inlineStr">
        <is>
          <t>Not Executed</t>
        </is>
      </c>
      <c r="G94" s="13" t="inlineStr">
        <is>
          <t>Not Executed</t>
        </is>
      </c>
      <c r="H94" s="11" t="inlineStr">
        <is>
          <t>High</t>
        </is>
      </c>
    </row>
    <row r="95" ht="42" customHeight="1">
      <c r="A95" s="11" t="inlineStr">
        <is>
          <t>TC_094</t>
        </is>
      </c>
      <c r="B95" s="12" t="inlineStr">
        <is>
          <t>NumberScreen</t>
        </is>
      </c>
      <c r="C95" s="12" t="inlineStr">
        <is>
          <t>Verify input sanitization and SQL injection defense on NumberScreen</t>
        </is>
      </c>
      <c r="D95" s="12" t="inlineStr">
        <is>
          <t>Submit safe SQLi test string `' OR '1'='1` into input fields on NumberScreen.
Inspect database query log.
Verify query parameterized without syntax error.</t>
        </is>
      </c>
      <c r="E95" s="12" t="inlineStr">
        <is>
          <t>Input validation on NumberScreen correctly enforces rules and displays error hints.</t>
        </is>
      </c>
      <c r="F95" s="12" t="inlineStr">
        <is>
          <t>Not Executed</t>
        </is>
      </c>
      <c r="G95" s="13" t="inlineStr">
        <is>
          <t>Not Executed</t>
        </is>
      </c>
      <c r="H95" s="11" t="inlineStr">
        <is>
          <t>Medium</t>
        </is>
      </c>
    </row>
    <row r="96" ht="42" customHeight="1">
      <c r="A96" s="11" t="inlineStr">
        <is>
          <t>TC_095</t>
        </is>
      </c>
      <c r="B96" s="12" t="inlineStr">
        <is>
          <t>NumberScreen</t>
        </is>
      </c>
      <c r="C96" s="12" t="inlineStr">
        <is>
          <t>Verify Cross-Site Scripting (XSS) DOM escaping and sanitization on NumberScreen</t>
        </is>
      </c>
      <c r="D96" s="12" t="inlineStr">
        <is>
          <t>Submit safe script tag `&lt;script&gt;alert(1)&lt;/script&gt;` into NumberScreen input fields.
Inspect rendered DOM node.
Verify string rendered as literal text without execution.</t>
        </is>
      </c>
      <c r="E96" s="12" t="inlineStr">
        <is>
          <t>Endpoint for NumberScreen handles load within SLA response time limits with 0.0% errors.</t>
        </is>
      </c>
      <c r="F96" s="12" t="inlineStr">
        <is>
          <t>Not Executed</t>
        </is>
      </c>
      <c r="G96" s="13" t="inlineStr">
        <is>
          <t>Not Executed</t>
        </is>
      </c>
      <c r="H96" s="11" t="inlineStr">
        <is>
          <t>Low</t>
        </is>
      </c>
    </row>
    <row r="97" ht="42" customHeight="1">
      <c r="A97" s="11" t="inlineStr">
        <is>
          <t>TC_096</t>
        </is>
      </c>
      <c r="B97" s="12" t="inlineStr">
        <is>
          <t>NumberScreen</t>
        </is>
      </c>
      <c r="C97" s="12" t="inlineStr">
        <is>
          <t>Verify TLS 1.3 transport layer encryption enforcement on NumberScreen</t>
        </is>
      </c>
      <c r="D97" s="12" t="inlineStr">
        <is>
          <t>Inspect network connection parameters for NumberScreen using security audit proxy.
Verify TLS 1.3/1.2 cipher suite.
Confirm insecure HTTP blocked.</t>
        </is>
      </c>
      <c r="E97" s="12" t="inlineStr">
        <is>
          <t>Verify expected behavior for NumberScreen under Safe Vulnerability &amp; Security Checks scenario #6.</t>
        </is>
      </c>
      <c r="F97" s="12" t="inlineStr">
        <is>
          <t>Not Executed</t>
        </is>
      </c>
      <c r="G97" s="13" t="inlineStr">
        <is>
          <t>Not Executed</t>
        </is>
      </c>
      <c r="H97" s="11" t="inlineStr">
        <is>
          <t>High</t>
        </is>
      </c>
    </row>
    <row r="98" ht="42" customHeight="1">
      <c r="A98" s="11" t="inlineStr">
        <is>
          <t>TC_097</t>
        </is>
      </c>
      <c r="B98" s="12" t="inlineStr">
        <is>
          <t>NumberScreen</t>
        </is>
      </c>
      <c r="C98" s="12" t="inlineStr">
        <is>
          <t>Verify API rate limiting 429 Too Many Requests response on NumberScreen</t>
        </is>
      </c>
      <c r="D98" s="12" t="inlineStr">
        <is>
          <t>Send 100 rapid requests within 5 seconds to NumberScreen public API endpoint.
Inspect response status.
Verify HTTP 429 rate limit error returned.</t>
        </is>
      </c>
      <c r="E98" s="12" t="inlineStr">
        <is>
          <t>Endpoint for NumberScreen handles load within SLA response time limits with 0.0% errors.</t>
        </is>
      </c>
      <c r="F98" s="12" t="inlineStr">
        <is>
          <t>Not Executed</t>
        </is>
      </c>
      <c r="G98" s="13" t="inlineStr">
        <is>
          <t>Not Executed</t>
        </is>
      </c>
      <c r="H98" s="11" t="inlineStr">
        <is>
          <t>Medium</t>
        </is>
      </c>
    </row>
    <row r="99" ht="42" customHeight="1">
      <c r="A99" s="11" t="inlineStr">
        <is>
          <t>TC_098</t>
        </is>
      </c>
      <c r="B99" s="12" t="inlineStr">
        <is>
          <t>NumberScreen</t>
        </is>
      </c>
      <c r="C99" s="12" t="inlineStr">
        <is>
          <t>Verify Supabase Row Level Security (RLS) policy enforcement on NumberScreen</t>
        </is>
      </c>
      <c r="D99" s="12" t="inlineStr">
        <is>
          <t>Execute direct database query on NumberScreen table without authorization header.
Inspect PostgreSQL response.
Verify RLS policy blocks unauthorized row access.</t>
        </is>
      </c>
      <c r="E99" s="12" t="inlineStr">
        <is>
          <t>Security control for NumberScreen successfully blocks unauthorized access or malicious input.</t>
        </is>
      </c>
      <c r="F99" s="12" t="inlineStr">
        <is>
          <t>Not Executed</t>
        </is>
      </c>
      <c r="G99" s="13" t="inlineStr">
        <is>
          <t>Not Executed</t>
        </is>
      </c>
      <c r="H99" s="11" t="inlineStr">
        <is>
          <t>Medium</t>
        </is>
      </c>
    </row>
    <row r="100" ht="42" customHeight="1">
      <c r="A100" s="11" t="inlineStr">
        <is>
          <t>TC_099</t>
        </is>
      </c>
      <c r="B100" s="12" t="inlineStr">
        <is>
          <t>NumberScreen</t>
        </is>
      </c>
      <c r="C100" s="12" t="inlineStr">
        <is>
          <t>Verify privileged route guard interception on unauthenticated access to NumberScreen</t>
        </is>
      </c>
      <c r="D100" s="12" t="inlineStr">
        <is>
          <t>Attempt deep linking directly to protected route for NumberScreen without auth token.
Inspect router behavior.
Verify request intercepted and redirected.</t>
        </is>
      </c>
      <c r="E100" s="12" t="inlineStr">
        <is>
          <t>Security control for NumberScreen successfully blocks unauthorized access or malicious input.</t>
        </is>
      </c>
      <c r="F100" s="12" t="inlineStr">
        <is>
          <t>Not Executed</t>
        </is>
      </c>
      <c r="G100" s="13" t="inlineStr">
        <is>
          <t>Not Executed</t>
        </is>
      </c>
      <c r="H100" s="11" t="inlineStr">
        <is>
          <t>High</t>
        </is>
      </c>
    </row>
    <row r="101" ht="42" customHeight="1">
      <c r="A101" s="11" t="inlineStr">
        <is>
          <t>TC_100</t>
        </is>
      </c>
      <c r="B101" s="12" t="inlineStr">
        <is>
          <t>NumberScreen</t>
        </is>
      </c>
      <c r="C101" s="12" t="inlineStr">
        <is>
          <t>Verify sensitive data masking and log exposure prevention for NumberScreen</t>
        </is>
      </c>
      <c r="D101" s="12" t="inlineStr">
        <is>
          <t>Inspect application log output during operations on NumberScreen.
Check password, token, and PII fields.
Verify sensitive fields masked or omitted.</t>
        </is>
      </c>
      <c r="E101" s="12" t="inlineStr">
        <is>
          <t>Verify expected behavior for NumberScreen under Safe Vulnerability &amp; Security Checks scenario #10.</t>
        </is>
      </c>
      <c r="F101" s="12" t="inlineStr">
        <is>
          <t>Not Executed</t>
        </is>
      </c>
      <c r="G101" s="13" t="inlineStr">
        <is>
          <t>Not Executed</t>
        </is>
      </c>
      <c r="H101" s="11" t="inlineStr">
        <is>
          <t>Low</t>
        </is>
      </c>
    </row>
    <row r="102" ht="42" customHeight="1">
      <c r="A102" s="11" t="inlineStr">
        <is>
          <t>TC_101</t>
        </is>
      </c>
      <c r="B102" s="12" t="inlineStr">
        <is>
          <t>DashboardScreen</t>
        </is>
      </c>
      <c r="C102" s="12" t="inlineStr">
        <is>
          <t>Verify brute-force defense and authentication lockout rules on DashboardScreen</t>
        </is>
      </c>
      <c r="D102" s="12" t="inlineStr">
        <is>
          <t>Submit 10 rapid invalid login/auth attempts on DashboardScreen.
Inspect response headers.
Verify account locks after 5 attempts with 429 status.</t>
        </is>
      </c>
      <c r="E102" s="12" t="inlineStr">
        <is>
          <t>Security control for DashboardScreen successfully blocks unauthorized access or malicious input.</t>
        </is>
      </c>
      <c r="F102" s="12" t="inlineStr">
        <is>
          <t>Not Executed</t>
        </is>
      </c>
      <c r="G102" s="13" t="inlineStr">
        <is>
          <t>Not Executed</t>
        </is>
      </c>
      <c r="H102" s="11" t="inlineStr">
        <is>
          <t>Medium</t>
        </is>
      </c>
    </row>
    <row r="103" ht="42" customHeight="1">
      <c r="A103" s="11" t="inlineStr">
        <is>
          <t>TC_102</t>
        </is>
      </c>
      <c r="B103" s="12" t="inlineStr">
        <is>
          <t>DashboardScreen</t>
        </is>
      </c>
      <c r="C103" s="12" t="inlineStr">
        <is>
          <t>Verify role-based access control (RBAC) and IDOR vulnerability defense on DashboardScreen</t>
        </is>
      </c>
      <c r="D103" s="12" t="inlineStr">
        <is>
          <t>Attempt accessing secondary user private resource on DashboardScreen using non-owner JWT.
Inspect server response.
Verify access denied with 403 Forbidden.</t>
        </is>
      </c>
      <c r="E103" s="12" t="inlineStr">
        <is>
          <t>Security control for DashboardScreen successfully blocks unauthorized access or malicious input.</t>
        </is>
      </c>
      <c r="F103" s="12" t="inlineStr">
        <is>
          <t>Not Executed</t>
        </is>
      </c>
      <c r="G103" s="13" t="inlineStr">
        <is>
          <t>Not Executed</t>
        </is>
      </c>
      <c r="H103" s="11" t="inlineStr">
        <is>
          <t>High</t>
        </is>
      </c>
    </row>
    <row r="104" ht="42" customHeight="1">
      <c r="A104" s="11" t="inlineStr">
        <is>
          <t>TC_103</t>
        </is>
      </c>
      <c r="B104" s="12" t="inlineStr">
        <is>
          <t>DashboardScreen</t>
        </is>
      </c>
      <c r="C104" s="12" t="inlineStr">
        <is>
          <t>Verify session JWT token expiration and invalidation handling on DashboardScreen</t>
        </is>
      </c>
      <c r="D104" s="12" t="inlineStr">
        <is>
          <t>Present expired JWT token to DashboardScreen API endpoint.
Inspect response.
Verify session invalidated and redirected to login.</t>
        </is>
      </c>
      <c r="E104" s="12" t="inlineStr">
        <is>
          <t>Input validation on DashboardScreen correctly enforces rules and displays error hints.</t>
        </is>
      </c>
      <c r="F104" s="12" t="inlineStr">
        <is>
          <t>Not Executed</t>
        </is>
      </c>
      <c r="G104" s="13" t="inlineStr">
        <is>
          <t>Not Executed</t>
        </is>
      </c>
      <c r="H104" s="11" t="inlineStr">
        <is>
          <t>Medium</t>
        </is>
      </c>
    </row>
    <row r="105" ht="42" customHeight="1">
      <c r="A105" s="11" t="inlineStr">
        <is>
          <t>TC_104</t>
        </is>
      </c>
      <c r="B105" s="12" t="inlineStr">
        <is>
          <t>DashboardScreen</t>
        </is>
      </c>
      <c r="C105" s="12" t="inlineStr">
        <is>
          <t>Verify input sanitization and SQL injection defense on DashboardScreen</t>
        </is>
      </c>
      <c r="D105" s="12" t="inlineStr">
        <is>
          <t>Submit safe SQLi test string `' OR '1'='1` into input fields on DashboardScreen.
Inspect database query log.
Verify query parameterized without syntax error.</t>
        </is>
      </c>
      <c r="E105" s="12" t="inlineStr">
        <is>
          <t>Input validation on DashboardScreen correctly enforces rules and displays error hints.</t>
        </is>
      </c>
      <c r="F105" s="12" t="inlineStr">
        <is>
          <t>Not Executed</t>
        </is>
      </c>
      <c r="G105" s="13" t="inlineStr">
        <is>
          <t>Not Executed</t>
        </is>
      </c>
      <c r="H105" s="11" t="inlineStr">
        <is>
          <t>Medium</t>
        </is>
      </c>
    </row>
    <row r="106" ht="42" customHeight="1">
      <c r="A106" s="11" t="inlineStr">
        <is>
          <t>TC_105</t>
        </is>
      </c>
      <c r="B106" s="12" t="inlineStr">
        <is>
          <t>DashboardScreen</t>
        </is>
      </c>
      <c r="C106" s="12" t="inlineStr">
        <is>
          <t>Verify Cross-Site Scripting (XSS) DOM escaping and sanitization on DashboardScreen</t>
        </is>
      </c>
      <c r="D106" s="12" t="inlineStr">
        <is>
          <t>Submit safe script tag `&lt;script&gt;alert(1)&lt;/script&gt;` into DashboardScreen input fields.
Inspect rendered DOM node.
Verify string rendered as literal text without execution.</t>
        </is>
      </c>
      <c r="E106" s="12" t="inlineStr">
        <is>
          <t>Endpoint for DashboardScreen handles load within SLA response time limits with 0.0% errors.</t>
        </is>
      </c>
      <c r="F106" s="12" t="inlineStr">
        <is>
          <t>Not Executed</t>
        </is>
      </c>
      <c r="G106" s="13" t="inlineStr">
        <is>
          <t>Not Executed</t>
        </is>
      </c>
      <c r="H106" s="11" t="inlineStr">
        <is>
          <t>High</t>
        </is>
      </c>
    </row>
    <row r="107" ht="42" customHeight="1">
      <c r="A107" s="11" t="inlineStr">
        <is>
          <t>TC_106</t>
        </is>
      </c>
      <c r="B107" s="12" t="inlineStr">
        <is>
          <t>DashboardScreen</t>
        </is>
      </c>
      <c r="C107" s="12" t="inlineStr">
        <is>
          <t>Verify TLS 1.3 transport layer encryption enforcement on DashboardScreen</t>
        </is>
      </c>
      <c r="D107" s="12" t="inlineStr">
        <is>
          <t>Inspect network connection parameters for DashboardScreen using security audit proxy.
Verify TLS 1.3/1.2 cipher suite.
Confirm insecure HTTP blocked.</t>
        </is>
      </c>
      <c r="E107" s="12" t="inlineStr">
        <is>
          <t>Verify expected behavior for DashboardScreen under Safe Vulnerability &amp; Security Checks scenario #6.</t>
        </is>
      </c>
      <c r="F107" s="12" t="inlineStr">
        <is>
          <t>Not Executed</t>
        </is>
      </c>
      <c r="G107" s="13" t="inlineStr">
        <is>
          <t>Not Executed</t>
        </is>
      </c>
      <c r="H107" s="11" t="inlineStr">
        <is>
          <t>Medium</t>
        </is>
      </c>
    </row>
    <row r="108" ht="42" customHeight="1">
      <c r="A108" s="11" t="inlineStr">
        <is>
          <t>TC_107</t>
        </is>
      </c>
      <c r="B108" s="12" t="inlineStr">
        <is>
          <t>DashboardScreen</t>
        </is>
      </c>
      <c r="C108" s="12" t="inlineStr">
        <is>
          <t>Verify API rate limiting 429 Too Many Requests response on DashboardScreen</t>
        </is>
      </c>
      <c r="D108" s="12" t="inlineStr">
        <is>
          <t>Send 100 rapid requests within 5 seconds to DashboardScreen public API endpoint.
Inspect response status.
Verify HTTP 429 rate limit error returned.</t>
        </is>
      </c>
      <c r="E108" s="12" t="inlineStr">
        <is>
          <t>Endpoint for DashboardScreen handles load within SLA response time limits with 0.0% errors.</t>
        </is>
      </c>
      <c r="F108" s="12" t="inlineStr">
        <is>
          <t>Not Executed</t>
        </is>
      </c>
      <c r="G108" s="13" t="inlineStr">
        <is>
          <t>Not Executed</t>
        </is>
      </c>
      <c r="H108" s="11" t="inlineStr">
        <is>
          <t>Medium</t>
        </is>
      </c>
    </row>
    <row r="109" ht="42" customHeight="1">
      <c r="A109" s="11" t="inlineStr">
        <is>
          <t>TC_108</t>
        </is>
      </c>
      <c r="B109" s="12" t="inlineStr">
        <is>
          <t>DashboardScreen</t>
        </is>
      </c>
      <c r="C109" s="12" t="inlineStr">
        <is>
          <t>Verify Supabase Row Level Security (RLS) policy enforcement on DashboardScreen</t>
        </is>
      </c>
      <c r="D109" s="12" t="inlineStr">
        <is>
          <t>Execute direct database query on DashboardScreen table without authorization header.
Inspect PostgreSQL response.
Verify RLS policy blocks unauthorized row access.</t>
        </is>
      </c>
      <c r="E109" s="12" t="inlineStr">
        <is>
          <t>Security control for DashboardScreen successfully blocks unauthorized access or malicious input.</t>
        </is>
      </c>
      <c r="F109" s="12" t="inlineStr">
        <is>
          <t>Not Executed</t>
        </is>
      </c>
      <c r="G109" s="13" t="inlineStr">
        <is>
          <t>Not Executed</t>
        </is>
      </c>
      <c r="H109" s="11" t="inlineStr">
        <is>
          <t>High</t>
        </is>
      </c>
    </row>
    <row r="110" ht="42" customHeight="1">
      <c r="A110" s="11" t="inlineStr">
        <is>
          <t>TC_109</t>
        </is>
      </c>
      <c r="B110" s="12" t="inlineStr">
        <is>
          <t>DashboardScreen</t>
        </is>
      </c>
      <c r="C110" s="12" t="inlineStr">
        <is>
          <t>Verify privileged route guard interception on unauthenticated access to DashboardScreen</t>
        </is>
      </c>
      <c r="D110" s="12" t="inlineStr">
        <is>
          <t>Attempt deep linking directly to protected route for DashboardScreen without auth token.
Inspect router behavior.
Verify request intercepted and redirected.</t>
        </is>
      </c>
      <c r="E110" s="12" t="inlineStr">
        <is>
          <t>Security control for DashboardScreen successfully blocks unauthorized access or malicious input.</t>
        </is>
      </c>
      <c r="F110" s="12" t="inlineStr">
        <is>
          <t>Not Executed</t>
        </is>
      </c>
      <c r="G110" s="13" t="inlineStr">
        <is>
          <t>Not Executed</t>
        </is>
      </c>
      <c r="H110" s="11" t="inlineStr">
        <is>
          <t>Medium</t>
        </is>
      </c>
    </row>
    <row r="111" ht="42" customHeight="1">
      <c r="A111" s="11" t="inlineStr">
        <is>
          <t>TC_110</t>
        </is>
      </c>
      <c r="B111" s="12" t="inlineStr">
        <is>
          <t>DashboardScreen</t>
        </is>
      </c>
      <c r="C111" s="12" t="inlineStr">
        <is>
          <t>Verify sensitive data masking and log exposure prevention for DashboardScreen</t>
        </is>
      </c>
      <c r="D111" s="12" t="inlineStr">
        <is>
          <t>Inspect application log output during operations on DashboardScreen.
Check password, token, and PII fields.
Verify sensitive fields masked or omitted.</t>
        </is>
      </c>
      <c r="E111" s="12" t="inlineStr">
        <is>
          <t>Verify expected behavior for DashboardScreen under Safe Vulnerability &amp; Security Checks scenario #10.</t>
        </is>
      </c>
      <c r="F111" s="12" t="inlineStr">
        <is>
          <t>Not Executed</t>
        </is>
      </c>
      <c r="G111" s="13" t="inlineStr">
        <is>
          <t>Not Executed</t>
        </is>
      </c>
      <c r="H111" s="11" t="inlineStr">
        <is>
          <t>Low</t>
        </is>
      </c>
    </row>
    <row r="112" ht="42" customHeight="1">
      <c r="A112" s="11" t="inlineStr">
        <is>
          <t>TC_111</t>
        </is>
      </c>
      <c r="B112" s="12" t="inlineStr">
        <is>
          <t>HomeTab</t>
        </is>
      </c>
      <c r="C112" s="12" t="inlineStr">
        <is>
          <t>Verify brute-force defense and authentication lockout rules on HomeTab</t>
        </is>
      </c>
      <c r="D112" s="12" t="inlineStr">
        <is>
          <t>Submit 10 rapid invalid login/auth attempts on HomeTab.
Inspect response headers.
Verify account locks after 5 attempts with 429 status.</t>
        </is>
      </c>
      <c r="E112" s="12" t="inlineStr">
        <is>
          <t>Security control for HomeTab successfully blocks unauthorized access or malicious input.</t>
        </is>
      </c>
      <c r="F112" s="12" t="inlineStr">
        <is>
          <t>Not Executed</t>
        </is>
      </c>
      <c r="G112" s="13" t="inlineStr">
        <is>
          <t>Not Executed</t>
        </is>
      </c>
      <c r="H112" s="11" t="inlineStr">
        <is>
          <t>High</t>
        </is>
      </c>
    </row>
    <row r="113" ht="42" customHeight="1">
      <c r="A113" s="11" t="inlineStr">
        <is>
          <t>TC_112</t>
        </is>
      </c>
      <c r="B113" s="12" t="inlineStr">
        <is>
          <t>HomeTab</t>
        </is>
      </c>
      <c r="C113" s="12" t="inlineStr">
        <is>
          <t>Verify role-based access control (RBAC) and IDOR vulnerability defense on HomeTab</t>
        </is>
      </c>
      <c r="D113" s="12" t="inlineStr">
        <is>
          <t>Attempt accessing secondary user private resource on HomeTab using non-owner JWT.
Inspect server response.
Verify access denied with 403 Forbidden.</t>
        </is>
      </c>
      <c r="E113" s="12" t="inlineStr">
        <is>
          <t>Security control for HomeTab successfully blocks unauthorized access or malicious input.</t>
        </is>
      </c>
      <c r="F113" s="12" t="inlineStr">
        <is>
          <t>Not Executed</t>
        </is>
      </c>
      <c r="G113" s="13" t="inlineStr">
        <is>
          <t>Not Executed</t>
        </is>
      </c>
      <c r="H113" s="11" t="inlineStr">
        <is>
          <t>Medium</t>
        </is>
      </c>
    </row>
    <row r="114" ht="42" customHeight="1">
      <c r="A114" s="11" t="inlineStr">
        <is>
          <t>TC_113</t>
        </is>
      </c>
      <c r="B114" s="12" t="inlineStr">
        <is>
          <t>HomeTab</t>
        </is>
      </c>
      <c r="C114" s="12" t="inlineStr">
        <is>
          <t>Verify session JWT token expiration and invalidation handling on HomeTab</t>
        </is>
      </c>
      <c r="D114" s="12" t="inlineStr">
        <is>
          <t>Present expired JWT token to HomeTab API endpoint.
Inspect response.
Verify session invalidated and redirected to login.</t>
        </is>
      </c>
      <c r="E114" s="12" t="inlineStr">
        <is>
          <t>Input validation on HomeTab correctly enforces rules and displays error hints.</t>
        </is>
      </c>
      <c r="F114" s="12" t="inlineStr">
        <is>
          <t>Not Executed</t>
        </is>
      </c>
      <c r="G114" s="13" t="inlineStr">
        <is>
          <t>Not Executed</t>
        </is>
      </c>
      <c r="H114" s="11" t="inlineStr">
        <is>
          <t>Medium</t>
        </is>
      </c>
    </row>
    <row r="115" ht="42" customHeight="1">
      <c r="A115" s="11" t="inlineStr">
        <is>
          <t>TC_114</t>
        </is>
      </c>
      <c r="B115" s="12" t="inlineStr">
        <is>
          <t>HomeTab</t>
        </is>
      </c>
      <c r="C115" s="12" t="inlineStr">
        <is>
          <t>Verify input sanitization and SQL injection defense on HomeTab</t>
        </is>
      </c>
      <c r="D115" s="12" t="inlineStr">
        <is>
          <t>Submit safe SQLi test string `' OR '1'='1` into input fields on HomeTab.
Inspect database query log.
Verify query parameterized without syntax error.</t>
        </is>
      </c>
      <c r="E115" s="12" t="inlineStr">
        <is>
          <t>Input validation on HomeTab correctly enforces rules and displays error hints.</t>
        </is>
      </c>
      <c r="F115" s="12" t="inlineStr">
        <is>
          <t>Not Executed</t>
        </is>
      </c>
      <c r="G115" s="13" t="inlineStr">
        <is>
          <t>Not Executed</t>
        </is>
      </c>
      <c r="H115" s="11" t="inlineStr">
        <is>
          <t>High</t>
        </is>
      </c>
    </row>
    <row r="116" ht="42" customHeight="1">
      <c r="A116" s="11" t="inlineStr">
        <is>
          <t>TC_115</t>
        </is>
      </c>
      <c r="B116" s="12" t="inlineStr">
        <is>
          <t>HomeTab</t>
        </is>
      </c>
      <c r="C116" s="12" t="inlineStr">
        <is>
          <t>Verify Cross-Site Scripting (XSS) DOM escaping and sanitization on HomeTab</t>
        </is>
      </c>
      <c r="D116" s="12" t="inlineStr">
        <is>
          <t>Submit safe script tag `&lt;script&gt;alert(1)&lt;/script&gt;` into HomeTab input fields.
Inspect rendered DOM node.
Verify string rendered as literal text without execution.</t>
        </is>
      </c>
      <c r="E116" s="12" t="inlineStr">
        <is>
          <t>Endpoint for HomeTab handles load within SLA response time limits with 0.0% errors.</t>
        </is>
      </c>
      <c r="F116" s="12" t="inlineStr">
        <is>
          <t>Not Executed</t>
        </is>
      </c>
      <c r="G116" s="13" t="inlineStr">
        <is>
          <t>Not Executed</t>
        </is>
      </c>
      <c r="H116" s="11" t="inlineStr">
        <is>
          <t>Low</t>
        </is>
      </c>
    </row>
    <row r="117" ht="42" customHeight="1">
      <c r="A117" s="11" t="inlineStr">
        <is>
          <t>TC_116</t>
        </is>
      </c>
      <c r="B117" s="12" t="inlineStr">
        <is>
          <t>HomeTab</t>
        </is>
      </c>
      <c r="C117" s="12" t="inlineStr">
        <is>
          <t>Verify TLS 1.3 transport layer encryption enforcement on HomeTab</t>
        </is>
      </c>
      <c r="D117" s="12" t="inlineStr">
        <is>
          <t>Inspect network connection parameters for HomeTab using security audit proxy.
Verify TLS 1.3/1.2 cipher suite.
Confirm insecure HTTP blocked.</t>
        </is>
      </c>
      <c r="E117" s="12" t="inlineStr">
        <is>
          <t>Verify expected behavior for HomeTab under Safe Vulnerability &amp; Security Checks scenario #6.</t>
        </is>
      </c>
      <c r="F117" s="12" t="inlineStr">
        <is>
          <t>Not Executed</t>
        </is>
      </c>
      <c r="G117" s="13" t="inlineStr">
        <is>
          <t>Not Executed</t>
        </is>
      </c>
      <c r="H117" s="11" t="inlineStr">
        <is>
          <t>Medium</t>
        </is>
      </c>
    </row>
    <row r="118" ht="42" customHeight="1">
      <c r="A118" s="11" t="inlineStr">
        <is>
          <t>TC_117</t>
        </is>
      </c>
      <c r="B118" s="12" t="inlineStr">
        <is>
          <t>HomeTab</t>
        </is>
      </c>
      <c r="C118" s="12" t="inlineStr">
        <is>
          <t>Verify API rate limiting 429 Too Many Requests response on HomeTab</t>
        </is>
      </c>
      <c r="D118" s="12" t="inlineStr">
        <is>
          <t>Send 100 rapid requests within 5 seconds to HomeTab public API endpoint.
Inspect response status.
Verify HTTP 429 rate limit error returned.</t>
        </is>
      </c>
      <c r="E118" s="12" t="inlineStr">
        <is>
          <t>Endpoint for HomeTab handles load within SLA response time limits with 0.0% errors.</t>
        </is>
      </c>
      <c r="F118" s="12" t="inlineStr">
        <is>
          <t>Not Executed</t>
        </is>
      </c>
      <c r="G118" s="13" t="inlineStr">
        <is>
          <t>Not Executed</t>
        </is>
      </c>
      <c r="H118" s="11" t="inlineStr">
        <is>
          <t>High</t>
        </is>
      </c>
    </row>
    <row r="119" ht="42" customHeight="1">
      <c r="A119" s="11" t="inlineStr">
        <is>
          <t>TC_118</t>
        </is>
      </c>
      <c r="B119" s="12" t="inlineStr">
        <is>
          <t>HomeTab</t>
        </is>
      </c>
      <c r="C119" s="12" t="inlineStr">
        <is>
          <t>Verify Supabase Row Level Security (RLS) policy enforcement on HomeTab</t>
        </is>
      </c>
      <c r="D119" s="12" t="inlineStr">
        <is>
          <t>Execute direct database query on HomeTab table without authorization header.
Inspect PostgreSQL response.
Verify RLS policy blocks unauthorized row access.</t>
        </is>
      </c>
      <c r="E119" s="12" t="inlineStr">
        <is>
          <t>Security control for HomeTab successfully blocks unauthorized access or malicious input.</t>
        </is>
      </c>
      <c r="F119" s="12" t="inlineStr">
        <is>
          <t>Not Executed</t>
        </is>
      </c>
      <c r="G119" s="13" t="inlineStr">
        <is>
          <t>Not Executed</t>
        </is>
      </c>
      <c r="H119" s="11" t="inlineStr">
        <is>
          <t>Medium</t>
        </is>
      </c>
    </row>
    <row r="120" ht="42" customHeight="1">
      <c r="A120" s="11" t="inlineStr">
        <is>
          <t>TC_119</t>
        </is>
      </c>
      <c r="B120" s="12" t="inlineStr">
        <is>
          <t>HomeTab</t>
        </is>
      </c>
      <c r="C120" s="12" t="inlineStr">
        <is>
          <t>Verify privileged route guard interception on unauthenticated access to HomeTab</t>
        </is>
      </c>
      <c r="D120" s="12" t="inlineStr">
        <is>
          <t>Attempt deep linking directly to protected route for HomeTab without auth token.
Inspect router behavior.
Verify request intercepted and redirected.</t>
        </is>
      </c>
      <c r="E120" s="12" t="inlineStr">
        <is>
          <t>Security control for HomeTab successfully blocks unauthorized access or malicious input.</t>
        </is>
      </c>
      <c r="F120" s="12" t="inlineStr">
        <is>
          <t>Not Executed</t>
        </is>
      </c>
      <c r="G120" s="13" t="inlineStr">
        <is>
          <t>Not Executed</t>
        </is>
      </c>
      <c r="H120" s="11" t="inlineStr">
        <is>
          <t>Medium</t>
        </is>
      </c>
    </row>
    <row r="121" ht="42" customHeight="1">
      <c r="A121" s="11" t="inlineStr">
        <is>
          <t>TC_120</t>
        </is>
      </c>
      <c r="B121" s="12" t="inlineStr">
        <is>
          <t>HomeTab</t>
        </is>
      </c>
      <c r="C121" s="12" t="inlineStr">
        <is>
          <t>Verify sensitive data masking and log exposure prevention for HomeTab</t>
        </is>
      </c>
      <c r="D121" s="12" t="inlineStr">
        <is>
          <t>Inspect application log output during operations on HomeTab.
Check password, token, and PII fields.
Verify sensitive fields masked or omitted.</t>
        </is>
      </c>
      <c r="E121" s="12" t="inlineStr">
        <is>
          <t>Verify expected behavior for HomeTab under Safe Vulnerability &amp; Security Checks scenario #10.</t>
        </is>
      </c>
      <c r="F121" s="12" t="inlineStr">
        <is>
          <t>Not Executed</t>
        </is>
      </c>
      <c r="G121" s="13" t="inlineStr">
        <is>
          <t>Not Executed</t>
        </is>
      </c>
      <c r="H121" s="11" t="inlineStr">
        <is>
          <t>High</t>
        </is>
      </c>
    </row>
    <row r="122" ht="42" customHeight="1">
      <c r="A122" s="11" t="inlineStr">
        <is>
          <t>TC_121</t>
        </is>
      </c>
      <c r="B122" s="12" t="inlineStr">
        <is>
          <t>HeroCard</t>
        </is>
      </c>
      <c r="C122" s="12" t="inlineStr">
        <is>
          <t>Verify brute-force defense and authentication lockout rules on HeroCard</t>
        </is>
      </c>
      <c r="D122" s="12" t="inlineStr">
        <is>
          <t>Submit 10 rapid invalid login/auth attempts on HeroCard.
Inspect response headers.
Verify account locks after 5 attempts with 429 status.</t>
        </is>
      </c>
      <c r="E122" s="12" t="inlineStr">
        <is>
          <t>Security control for HeroCard successfully blocks unauthorized access or malicious input.</t>
        </is>
      </c>
      <c r="F122" s="12" t="inlineStr">
        <is>
          <t>Not Executed</t>
        </is>
      </c>
      <c r="G122" s="13" t="inlineStr">
        <is>
          <t>Not Executed</t>
        </is>
      </c>
      <c r="H122" s="11" t="inlineStr">
        <is>
          <t>Medium</t>
        </is>
      </c>
    </row>
    <row r="123" ht="42" customHeight="1">
      <c r="A123" s="11" t="inlineStr">
        <is>
          <t>TC_122</t>
        </is>
      </c>
      <c r="B123" s="12" t="inlineStr">
        <is>
          <t>HeroCard</t>
        </is>
      </c>
      <c r="C123" s="12" t="inlineStr">
        <is>
          <t>Verify role-based access control (RBAC) and IDOR vulnerability defense on HeroCard</t>
        </is>
      </c>
      <c r="D123" s="12" t="inlineStr">
        <is>
          <t>Attempt accessing secondary user private resource on HeroCard using non-owner JWT.
Inspect server response.
Verify access denied with 403 Forbidden.</t>
        </is>
      </c>
      <c r="E123" s="12" t="inlineStr">
        <is>
          <t>Security control for HeroCard successfully blocks unauthorized access or malicious input.</t>
        </is>
      </c>
      <c r="F123" s="12" t="inlineStr">
        <is>
          <t>Not Executed</t>
        </is>
      </c>
      <c r="G123" s="13" t="inlineStr">
        <is>
          <t>Not Executed</t>
        </is>
      </c>
      <c r="H123" s="11" t="inlineStr">
        <is>
          <t>Medium</t>
        </is>
      </c>
    </row>
    <row r="124" ht="42" customHeight="1">
      <c r="A124" s="11" t="inlineStr">
        <is>
          <t>TC_123</t>
        </is>
      </c>
      <c r="B124" s="12" t="inlineStr">
        <is>
          <t>HeroCard</t>
        </is>
      </c>
      <c r="C124" s="12" t="inlineStr">
        <is>
          <t>Verify session JWT token expiration and invalidation handling on HeroCard</t>
        </is>
      </c>
      <c r="D124" s="12" t="inlineStr">
        <is>
          <t>Present expired JWT token to HeroCard API endpoint.
Inspect response.
Verify session invalidated and redirected to login.</t>
        </is>
      </c>
      <c r="E124" s="12" t="inlineStr">
        <is>
          <t>Input validation on HeroCard correctly enforces rules and displays error hints.</t>
        </is>
      </c>
      <c r="F124" s="12" t="inlineStr">
        <is>
          <t>Not Executed</t>
        </is>
      </c>
      <c r="G124" s="13" t="inlineStr">
        <is>
          <t>Not Executed</t>
        </is>
      </c>
      <c r="H124" s="11" t="inlineStr">
        <is>
          <t>High</t>
        </is>
      </c>
    </row>
    <row r="125" ht="42" customHeight="1">
      <c r="A125" s="11" t="inlineStr">
        <is>
          <t>TC_124</t>
        </is>
      </c>
      <c r="B125" s="12" t="inlineStr">
        <is>
          <t>HeroCard</t>
        </is>
      </c>
      <c r="C125" s="12" t="inlineStr">
        <is>
          <t>Verify input sanitization and SQL injection defense on HeroCard</t>
        </is>
      </c>
      <c r="D125" s="12" t="inlineStr">
        <is>
          <t>Submit safe SQLi test string `' OR '1'='1` into input fields on HeroCard.
Inspect database query log.
Verify query parameterized without syntax error.</t>
        </is>
      </c>
      <c r="E125" s="12" t="inlineStr">
        <is>
          <t>Input validation on HeroCard correctly enforces rules and displays error hints.</t>
        </is>
      </c>
      <c r="F125" s="12" t="inlineStr">
        <is>
          <t>Not Executed</t>
        </is>
      </c>
      <c r="G125" s="13" t="inlineStr">
        <is>
          <t>Not Executed</t>
        </is>
      </c>
      <c r="H125" s="11" t="inlineStr">
        <is>
          <t>Medium</t>
        </is>
      </c>
    </row>
    <row r="126" ht="42" customHeight="1">
      <c r="A126" s="11" t="inlineStr">
        <is>
          <t>TC_125</t>
        </is>
      </c>
      <c r="B126" s="12" t="inlineStr">
        <is>
          <t>HeroCard</t>
        </is>
      </c>
      <c r="C126" s="12" t="inlineStr">
        <is>
          <t>Verify Cross-Site Scripting (XSS) DOM escaping and sanitization on HeroCard</t>
        </is>
      </c>
      <c r="D126" s="12" t="inlineStr">
        <is>
          <t>Submit safe script tag `&lt;script&gt;alert(1)&lt;/script&gt;` into HeroCard input fields.
Inspect rendered DOM node.
Verify string rendered as literal text without execution.</t>
        </is>
      </c>
      <c r="E126" s="12" t="inlineStr">
        <is>
          <t>Endpoint for HeroCard handles load within SLA response time limits with 0.0% errors.</t>
        </is>
      </c>
      <c r="F126" s="12" t="inlineStr">
        <is>
          <t>Not Executed</t>
        </is>
      </c>
      <c r="G126" s="13" t="inlineStr">
        <is>
          <t>Not Executed</t>
        </is>
      </c>
      <c r="H126" s="11" t="inlineStr">
        <is>
          <t>Low</t>
        </is>
      </c>
    </row>
    <row r="127" ht="42" customHeight="1">
      <c r="A127" s="11" t="inlineStr">
        <is>
          <t>TC_126</t>
        </is>
      </c>
      <c r="B127" s="12" t="inlineStr">
        <is>
          <t>HeroCard</t>
        </is>
      </c>
      <c r="C127" s="12" t="inlineStr">
        <is>
          <t>Verify TLS 1.3 transport layer encryption enforcement on HeroCard</t>
        </is>
      </c>
      <c r="D127" s="12" t="inlineStr">
        <is>
          <t>Inspect network connection parameters for HeroCard using security audit proxy.
Verify TLS 1.3/1.2 cipher suite.
Confirm insecure HTTP blocked.</t>
        </is>
      </c>
      <c r="E127" s="12" t="inlineStr">
        <is>
          <t>Verify expected behavior for HeroCard under Safe Vulnerability &amp; Security Checks scenario #6.</t>
        </is>
      </c>
      <c r="F127" s="12" t="inlineStr">
        <is>
          <t>Not Executed</t>
        </is>
      </c>
      <c r="G127" s="13" t="inlineStr">
        <is>
          <t>Not Executed</t>
        </is>
      </c>
      <c r="H127" s="11" t="inlineStr">
        <is>
          <t>High</t>
        </is>
      </c>
    </row>
    <row r="128" ht="42" customHeight="1">
      <c r="A128" s="11" t="inlineStr">
        <is>
          <t>TC_127</t>
        </is>
      </c>
      <c r="B128" s="12" t="inlineStr">
        <is>
          <t>HeroCard</t>
        </is>
      </c>
      <c r="C128" s="12" t="inlineStr">
        <is>
          <t>Verify API rate limiting 429 Too Many Requests response on HeroCard</t>
        </is>
      </c>
      <c r="D128" s="12" t="inlineStr">
        <is>
          <t>Send 100 rapid requests within 5 seconds to HeroCard public API endpoint.
Inspect response status.
Verify HTTP 429 rate limit error returned.</t>
        </is>
      </c>
      <c r="E128" s="12" t="inlineStr">
        <is>
          <t>Endpoint for HeroCard handles load within SLA response time limits with 0.0% errors.</t>
        </is>
      </c>
      <c r="F128" s="12" t="inlineStr">
        <is>
          <t>Not Executed</t>
        </is>
      </c>
      <c r="G128" s="13" t="inlineStr">
        <is>
          <t>Not Executed</t>
        </is>
      </c>
      <c r="H128" s="11" t="inlineStr">
        <is>
          <t>Medium</t>
        </is>
      </c>
    </row>
    <row r="129" ht="42" customHeight="1">
      <c r="A129" s="11" t="inlineStr">
        <is>
          <t>TC_128</t>
        </is>
      </c>
      <c r="B129" s="12" t="inlineStr">
        <is>
          <t>HeroCard</t>
        </is>
      </c>
      <c r="C129" s="12" t="inlineStr">
        <is>
          <t>Verify Supabase Row Level Security (RLS) policy enforcement on HeroCard</t>
        </is>
      </c>
      <c r="D129" s="12" t="inlineStr">
        <is>
          <t>Execute direct database query on HeroCard table without authorization header.
Inspect PostgreSQL response.
Verify RLS policy blocks unauthorized row access.</t>
        </is>
      </c>
      <c r="E129" s="12" t="inlineStr">
        <is>
          <t>Security control for HeroCard successfully blocks unauthorized access or malicious input.</t>
        </is>
      </c>
      <c r="F129" s="12" t="inlineStr">
        <is>
          <t>Not Executed</t>
        </is>
      </c>
      <c r="G129" s="13" t="inlineStr">
        <is>
          <t>Not Executed</t>
        </is>
      </c>
      <c r="H129" s="11" t="inlineStr">
        <is>
          <t>Medium</t>
        </is>
      </c>
    </row>
    <row r="130" ht="42" customHeight="1">
      <c r="A130" s="11" t="inlineStr">
        <is>
          <t>TC_129</t>
        </is>
      </c>
      <c r="B130" s="12" t="inlineStr">
        <is>
          <t>HeroCard</t>
        </is>
      </c>
      <c r="C130" s="12" t="inlineStr">
        <is>
          <t>Verify privileged route guard interception on unauthenticated access to HeroCard</t>
        </is>
      </c>
      <c r="D130" s="12" t="inlineStr">
        <is>
          <t>Attempt deep linking directly to protected route for HeroCard without auth token.
Inspect router behavior.
Verify request intercepted and redirected.</t>
        </is>
      </c>
      <c r="E130" s="12" t="inlineStr">
        <is>
          <t>Security control for HeroCard successfully blocks unauthorized access or malicious input.</t>
        </is>
      </c>
      <c r="F130" s="12" t="inlineStr">
        <is>
          <t>Not Executed</t>
        </is>
      </c>
      <c r="G130" s="13" t="inlineStr">
        <is>
          <t>Not Executed</t>
        </is>
      </c>
      <c r="H130" s="11" t="inlineStr">
        <is>
          <t>High</t>
        </is>
      </c>
    </row>
    <row r="131" ht="42" customHeight="1">
      <c r="A131" s="11" t="inlineStr">
        <is>
          <t>TC_130</t>
        </is>
      </c>
      <c r="B131" s="12" t="inlineStr">
        <is>
          <t>HeroCard</t>
        </is>
      </c>
      <c r="C131" s="12" t="inlineStr">
        <is>
          <t>Verify sensitive data masking and log exposure prevention for HeroCard</t>
        </is>
      </c>
      <c r="D131" s="12" t="inlineStr">
        <is>
          <t>Inspect application log output during operations on HeroCard.
Check password, token, and PII fields.
Verify sensitive fields masked or omitted.</t>
        </is>
      </c>
      <c r="E131" s="12" t="inlineStr">
        <is>
          <t>Verify expected behavior for HeroCard under Safe Vulnerability &amp; Security Checks scenario #10.</t>
        </is>
      </c>
      <c r="F131" s="12" t="inlineStr">
        <is>
          <t>Not Executed</t>
        </is>
      </c>
      <c r="G131" s="13" t="inlineStr">
        <is>
          <t>Not Executed</t>
        </is>
      </c>
      <c r="H131" s="11" t="inlineStr">
        <is>
          <t>Low</t>
        </is>
      </c>
    </row>
    <row r="132" ht="42" customHeight="1">
      <c r="A132" s="11" t="inlineStr">
        <is>
          <t>TC_131</t>
        </is>
      </c>
      <c r="B132" s="12" t="inlineStr">
        <is>
          <t>WorkoutDayCard</t>
        </is>
      </c>
      <c r="C132" s="12" t="inlineStr">
        <is>
          <t>Verify brute-force defense and authentication lockout rules on WorkoutDayCard</t>
        </is>
      </c>
      <c r="D132" s="12" t="inlineStr">
        <is>
          <t>Submit 10 rapid invalid login/auth attempts on WorkoutDayCard.
Inspect response headers.
Verify account locks after 5 attempts with 429 status.</t>
        </is>
      </c>
      <c r="E132" s="12" t="inlineStr">
        <is>
          <t>Security control for WorkoutDayCard successfully blocks unauthorized access or malicious input.</t>
        </is>
      </c>
      <c r="F132" s="12" t="inlineStr">
        <is>
          <t>Not Executed</t>
        </is>
      </c>
      <c r="G132" s="13" t="inlineStr">
        <is>
          <t>Not Executed</t>
        </is>
      </c>
      <c r="H132" s="11" t="inlineStr">
        <is>
          <t>Medium</t>
        </is>
      </c>
    </row>
    <row r="133" ht="42" customHeight="1">
      <c r="A133" s="11" t="inlineStr">
        <is>
          <t>TC_132</t>
        </is>
      </c>
      <c r="B133" s="12" t="inlineStr">
        <is>
          <t>WorkoutDayCard</t>
        </is>
      </c>
      <c r="C133" s="12" t="inlineStr">
        <is>
          <t>Verify role-based access control (RBAC) and IDOR vulnerability defense on WorkoutDayCard</t>
        </is>
      </c>
      <c r="D133" s="12" t="inlineStr">
        <is>
          <t>Attempt accessing secondary user private resource on WorkoutDayCard using non-owner JWT.
Inspect server response.
Verify access denied with 403 Forbidden.</t>
        </is>
      </c>
      <c r="E133" s="12" t="inlineStr">
        <is>
          <t>Security control for WorkoutDayCard successfully blocks unauthorized access or malicious input.</t>
        </is>
      </c>
      <c r="F133" s="12" t="inlineStr">
        <is>
          <t>Not Executed</t>
        </is>
      </c>
      <c r="G133" s="13" t="inlineStr">
        <is>
          <t>Not Executed</t>
        </is>
      </c>
      <c r="H133" s="11" t="inlineStr">
        <is>
          <t>High</t>
        </is>
      </c>
    </row>
    <row r="134" ht="42" customHeight="1">
      <c r="A134" s="11" t="inlineStr">
        <is>
          <t>TC_133</t>
        </is>
      </c>
      <c r="B134" s="12" t="inlineStr">
        <is>
          <t>WorkoutDayCard</t>
        </is>
      </c>
      <c r="C134" s="12" t="inlineStr">
        <is>
          <t>Verify session JWT token expiration and invalidation handling on WorkoutDayCard</t>
        </is>
      </c>
      <c r="D134" s="12" t="inlineStr">
        <is>
          <t>Present expired JWT token to WorkoutDayCard API endpoint.
Inspect response.
Verify session invalidated and redirected to login.</t>
        </is>
      </c>
      <c r="E134" s="12" t="inlineStr">
        <is>
          <t>Input validation on WorkoutDayCard correctly enforces rules and displays error hints.</t>
        </is>
      </c>
      <c r="F134" s="12" t="inlineStr">
        <is>
          <t>Not Executed</t>
        </is>
      </c>
      <c r="G134" s="13" t="inlineStr">
        <is>
          <t>Not Executed</t>
        </is>
      </c>
      <c r="H134" s="11" t="inlineStr">
        <is>
          <t>Medium</t>
        </is>
      </c>
    </row>
    <row r="135" ht="42" customHeight="1">
      <c r="A135" s="11" t="inlineStr">
        <is>
          <t>TC_134</t>
        </is>
      </c>
      <c r="B135" s="12" t="inlineStr">
        <is>
          <t>WorkoutDayCard</t>
        </is>
      </c>
      <c r="C135" s="12" t="inlineStr">
        <is>
          <t>Verify input sanitization and SQL injection defense on WorkoutDayCard</t>
        </is>
      </c>
      <c r="D135" s="12" t="inlineStr">
        <is>
          <t>Submit safe SQLi test string `' OR '1'='1` into input fields on WorkoutDayCard.
Inspect database query log.
Verify query parameterized without syntax error.</t>
        </is>
      </c>
      <c r="E135" s="12" t="inlineStr">
        <is>
          <t>Input validation on WorkoutDayCard correctly enforces rules and displays error hints.</t>
        </is>
      </c>
      <c r="F135" s="12" t="inlineStr">
        <is>
          <t>Not Executed</t>
        </is>
      </c>
      <c r="G135" s="13" t="inlineStr">
        <is>
          <t>Not Executed</t>
        </is>
      </c>
      <c r="H135" s="11" t="inlineStr">
        <is>
          <t>Medium</t>
        </is>
      </c>
    </row>
    <row r="136" ht="42" customHeight="1">
      <c r="A136" s="11" t="inlineStr">
        <is>
          <t>TC_135</t>
        </is>
      </c>
      <c r="B136" s="12" t="inlineStr">
        <is>
          <t>WorkoutDayCard</t>
        </is>
      </c>
      <c r="C136" s="12" t="inlineStr">
        <is>
          <t>Verify Cross-Site Scripting (XSS) DOM escaping and sanitization on WorkoutDayCard</t>
        </is>
      </c>
      <c r="D136" s="12" t="inlineStr">
        <is>
          <t>Submit safe script tag `&lt;script&gt;alert(1)&lt;/script&gt;` into WorkoutDayCard input fields.
Inspect rendered DOM node.
Verify string rendered as literal text without execution.</t>
        </is>
      </c>
      <c r="E136" s="12" t="inlineStr">
        <is>
          <t>Endpoint for WorkoutDayCard handles load within SLA response time limits with 0.0% errors.</t>
        </is>
      </c>
      <c r="F136" s="12" t="inlineStr">
        <is>
          <t>Not Executed</t>
        </is>
      </c>
      <c r="G136" s="13" t="inlineStr">
        <is>
          <t>Not Executed</t>
        </is>
      </c>
      <c r="H136" s="11" t="inlineStr">
        <is>
          <t>High</t>
        </is>
      </c>
    </row>
    <row r="137" ht="42" customHeight="1">
      <c r="A137" s="11" t="inlineStr">
        <is>
          <t>TC_136</t>
        </is>
      </c>
      <c r="B137" s="12" t="inlineStr">
        <is>
          <t>WorkoutDayCard</t>
        </is>
      </c>
      <c r="C137" s="12" t="inlineStr">
        <is>
          <t>Verify TLS 1.3 transport layer encryption enforcement on WorkoutDayCard</t>
        </is>
      </c>
      <c r="D137" s="12" t="inlineStr">
        <is>
          <t>Inspect network connection parameters for WorkoutDayCard using security audit proxy.
Verify TLS 1.3/1.2 cipher suite.
Confirm insecure HTTP blocked.</t>
        </is>
      </c>
      <c r="E137" s="12" t="inlineStr">
        <is>
          <t>Verify expected behavior for WorkoutDayCard under Safe Vulnerability &amp; Security Checks scenario #6.</t>
        </is>
      </c>
      <c r="F137" s="12" t="inlineStr">
        <is>
          <t>Not Executed</t>
        </is>
      </c>
      <c r="G137" s="13" t="inlineStr">
        <is>
          <t>Not Executed</t>
        </is>
      </c>
      <c r="H137" s="11" t="inlineStr">
        <is>
          <t>Medium</t>
        </is>
      </c>
    </row>
    <row r="138" ht="42" customHeight="1">
      <c r="A138" s="11" t="inlineStr">
        <is>
          <t>TC_137</t>
        </is>
      </c>
      <c r="B138" s="12" t="inlineStr">
        <is>
          <t>WorkoutDayCard</t>
        </is>
      </c>
      <c r="C138" s="12" t="inlineStr">
        <is>
          <t>Verify API rate limiting 429 Too Many Requests response on WorkoutDayCard</t>
        </is>
      </c>
      <c r="D138" s="12" t="inlineStr">
        <is>
          <t>Send 100 rapid requests within 5 seconds to WorkoutDayCard public API endpoint.
Inspect response status.
Verify HTTP 429 rate limit error returned.</t>
        </is>
      </c>
      <c r="E138" s="12" t="inlineStr">
        <is>
          <t>Endpoint for WorkoutDayCard handles load within SLA response time limits with 0.0% errors.</t>
        </is>
      </c>
      <c r="F138" s="12" t="inlineStr">
        <is>
          <t>Not Executed</t>
        </is>
      </c>
      <c r="G138" s="13" t="inlineStr">
        <is>
          <t>Not Executed</t>
        </is>
      </c>
      <c r="H138" s="11" t="inlineStr">
        <is>
          <t>Medium</t>
        </is>
      </c>
    </row>
    <row r="139" ht="42" customHeight="1">
      <c r="A139" s="11" t="inlineStr">
        <is>
          <t>TC_138</t>
        </is>
      </c>
      <c r="B139" s="12" t="inlineStr">
        <is>
          <t>WorkoutDayCard</t>
        </is>
      </c>
      <c r="C139" s="12" t="inlineStr">
        <is>
          <t>Verify Supabase Row Level Security (RLS) policy enforcement on WorkoutDayCard</t>
        </is>
      </c>
      <c r="D139" s="12" t="inlineStr">
        <is>
          <t>Execute direct database query on WorkoutDayCard table without authorization header.
Inspect PostgreSQL response.
Verify RLS policy blocks unauthorized row access.</t>
        </is>
      </c>
      <c r="E139" s="12" t="inlineStr">
        <is>
          <t>Security control for WorkoutDayCard successfully blocks unauthorized access or malicious input.</t>
        </is>
      </c>
      <c r="F139" s="12" t="inlineStr">
        <is>
          <t>Not Executed</t>
        </is>
      </c>
      <c r="G139" s="13" t="inlineStr">
        <is>
          <t>Not Executed</t>
        </is>
      </c>
      <c r="H139" s="11" t="inlineStr">
        <is>
          <t>High</t>
        </is>
      </c>
    </row>
    <row r="140" ht="42" customHeight="1">
      <c r="A140" s="11" t="inlineStr">
        <is>
          <t>TC_139</t>
        </is>
      </c>
      <c r="B140" s="12" t="inlineStr">
        <is>
          <t>WorkoutDayCard</t>
        </is>
      </c>
      <c r="C140" s="12" t="inlineStr">
        <is>
          <t>Verify privileged route guard interception on unauthenticated access to WorkoutDayCard</t>
        </is>
      </c>
      <c r="D140" s="12" t="inlineStr">
        <is>
          <t>Attempt deep linking directly to protected route for WorkoutDayCard without auth token.
Inspect router behavior.
Verify request intercepted and redirected.</t>
        </is>
      </c>
      <c r="E140" s="12" t="inlineStr">
        <is>
          <t>Security control for WorkoutDayCard successfully blocks unauthorized access or malicious input.</t>
        </is>
      </c>
      <c r="F140" s="12" t="inlineStr">
        <is>
          <t>Not Executed</t>
        </is>
      </c>
      <c r="G140" s="13" t="inlineStr">
        <is>
          <t>Not Executed</t>
        </is>
      </c>
      <c r="H140" s="11" t="inlineStr">
        <is>
          <t>Medium</t>
        </is>
      </c>
    </row>
    <row r="141" ht="42" customHeight="1">
      <c r="A141" s="11" t="inlineStr">
        <is>
          <t>TC_140</t>
        </is>
      </c>
      <c r="B141" s="12" t="inlineStr">
        <is>
          <t>WorkoutDayCard</t>
        </is>
      </c>
      <c r="C141" s="12" t="inlineStr">
        <is>
          <t>Verify sensitive data masking and log exposure prevention for WorkoutDayCard</t>
        </is>
      </c>
      <c r="D141" s="12" t="inlineStr">
        <is>
          <t>Inspect application log output during operations on WorkoutDayCard.
Check password, token, and PII fields.
Verify sensitive fields masked or omitted.</t>
        </is>
      </c>
      <c r="E141" s="12" t="inlineStr">
        <is>
          <t>Verify expected behavior for WorkoutDayCard under Safe Vulnerability &amp; Security Checks scenario #10.</t>
        </is>
      </c>
      <c r="F141" s="12" t="inlineStr">
        <is>
          <t>Not Executed</t>
        </is>
      </c>
      <c r="G141" s="13" t="inlineStr">
        <is>
          <t>Not Executed</t>
        </is>
      </c>
      <c r="H141" s="11" t="inlineStr">
        <is>
          <t>Low</t>
        </is>
      </c>
    </row>
    <row r="142" ht="42" customHeight="1">
      <c r="A142" s="11" t="inlineStr">
        <is>
          <t>TC_141</t>
        </is>
      </c>
      <c r="B142" s="12" t="inlineStr">
        <is>
          <t>WarmupCard</t>
        </is>
      </c>
      <c r="C142" s="12" t="inlineStr">
        <is>
          <t>Verify brute-force defense and authentication lockout rules on WarmupCard</t>
        </is>
      </c>
      <c r="D142" s="12" t="inlineStr">
        <is>
          <t>Submit 10 rapid invalid login/auth attempts on WarmupCard.
Inspect response headers.
Verify account locks after 5 attempts with 429 status.</t>
        </is>
      </c>
      <c r="E142" s="12" t="inlineStr">
        <is>
          <t>Security control for WarmupCard successfully blocks unauthorized access or malicious input.</t>
        </is>
      </c>
      <c r="F142" s="12" t="inlineStr">
        <is>
          <t>Not Executed</t>
        </is>
      </c>
      <c r="G142" s="13" t="inlineStr">
        <is>
          <t>Not Executed</t>
        </is>
      </c>
      <c r="H142" s="11" t="inlineStr">
        <is>
          <t>High</t>
        </is>
      </c>
    </row>
    <row r="143" ht="42" customHeight="1">
      <c r="A143" s="11" t="inlineStr">
        <is>
          <t>TC_142</t>
        </is>
      </c>
      <c r="B143" s="12" t="inlineStr">
        <is>
          <t>WarmupCard</t>
        </is>
      </c>
      <c r="C143" s="12" t="inlineStr">
        <is>
          <t>Verify role-based access control (RBAC) and IDOR vulnerability defense on WarmupCard</t>
        </is>
      </c>
      <c r="D143" s="12" t="inlineStr">
        <is>
          <t>Attempt accessing secondary user private resource on WarmupCard using non-owner JWT.
Inspect server response.
Verify access denied with 403 Forbidden.</t>
        </is>
      </c>
      <c r="E143" s="12" t="inlineStr">
        <is>
          <t>Security control for WarmupCard successfully blocks unauthorized access or malicious input.</t>
        </is>
      </c>
      <c r="F143" s="12" t="inlineStr">
        <is>
          <t>Not Executed</t>
        </is>
      </c>
      <c r="G143" s="13" t="inlineStr">
        <is>
          <t>Not Executed</t>
        </is>
      </c>
      <c r="H143" s="11" t="inlineStr">
        <is>
          <t>Medium</t>
        </is>
      </c>
    </row>
    <row r="144" ht="42" customHeight="1">
      <c r="A144" s="11" t="inlineStr">
        <is>
          <t>TC_143</t>
        </is>
      </c>
      <c r="B144" s="12" t="inlineStr">
        <is>
          <t>WarmupCard</t>
        </is>
      </c>
      <c r="C144" s="12" t="inlineStr">
        <is>
          <t>Verify session JWT token expiration and invalidation handling on WarmupCard</t>
        </is>
      </c>
      <c r="D144" s="12" t="inlineStr">
        <is>
          <t>Present expired JWT token to WarmupCard API endpoint.
Inspect response.
Verify session invalidated and redirected to login.</t>
        </is>
      </c>
      <c r="E144" s="12" t="inlineStr">
        <is>
          <t>Input validation on WarmupCard correctly enforces rules and displays error hints.</t>
        </is>
      </c>
      <c r="F144" s="12" t="inlineStr">
        <is>
          <t>Not Executed</t>
        </is>
      </c>
      <c r="G144" s="13" t="inlineStr">
        <is>
          <t>Not Executed</t>
        </is>
      </c>
      <c r="H144" s="11" t="inlineStr">
        <is>
          <t>Medium</t>
        </is>
      </c>
    </row>
    <row r="145" ht="42" customHeight="1">
      <c r="A145" s="11" t="inlineStr">
        <is>
          <t>TC_144</t>
        </is>
      </c>
      <c r="B145" s="12" t="inlineStr">
        <is>
          <t>WarmupCard</t>
        </is>
      </c>
      <c r="C145" s="12" t="inlineStr">
        <is>
          <t>Verify input sanitization and SQL injection defense on WarmupCard</t>
        </is>
      </c>
      <c r="D145" s="12" t="inlineStr">
        <is>
          <t>Submit safe SQLi test string `' OR '1'='1` into input fields on WarmupCard.
Inspect database query log.
Verify query parameterized without syntax error.</t>
        </is>
      </c>
      <c r="E145" s="12" t="inlineStr">
        <is>
          <t>Input validation on WarmupCard correctly enforces rules and displays error hints.</t>
        </is>
      </c>
      <c r="F145" s="12" t="inlineStr">
        <is>
          <t>Not Executed</t>
        </is>
      </c>
      <c r="G145" s="13" t="inlineStr">
        <is>
          <t>Not Executed</t>
        </is>
      </c>
      <c r="H145" s="11" t="inlineStr">
        <is>
          <t>High</t>
        </is>
      </c>
    </row>
    <row r="146" ht="42" customHeight="1">
      <c r="A146" s="11" t="inlineStr">
        <is>
          <t>TC_145</t>
        </is>
      </c>
      <c r="B146" s="12" t="inlineStr">
        <is>
          <t>WarmupCard</t>
        </is>
      </c>
      <c r="C146" s="12" t="inlineStr">
        <is>
          <t>Verify Cross-Site Scripting (XSS) DOM escaping and sanitization on WarmupCard</t>
        </is>
      </c>
      <c r="D146" s="12" t="inlineStr">
        <is>
          <t>Submit safe script tag `&lt;script&gt;alert(1)&lt;/script&gt;` into WarmupCard input fields.
Inspect rendered DOM node.
Verify string rendered as literal text without execution.</t>
        </is>
      </c>
      <c r="E146" s="12" t="inlineStr">
        <is>
          <t>Endpoint for WarmupCard handles load within SLA response time limits with 0.0% errors.</t>
        </is>
      </c>
      <c r="F146" s="12" t="inlineStr">
        <is>
          <t>Not Executed</t>
        </is>
      </c>
      <c r="G146" s="13" t="inlineStr">
        <is>
          <t>Not Executed</t>
        </is>
      </c>
      <c r="H146" s="11" t="inlineStr">
        <is>
          <t>Low</t>
        </is>
      </c>
    </row>
    <row r="147" ht="42" customHeight="1">
      <c r="A147" s="11" t="inlineStr">
        <is>
          <t>TC_146</t>
        </is>
      </c>
      <c r="B147" s="12" t="inlineStr">
        <is>
          <t>WarmupCard</t>
        </is>
      </c>
      <c r="C147" s="12" t="inlineStr">
        <is>
          <t>Verify TLS 1.3 transport layer encryption enforcement on WarmupCard</t>
        </is>
      </c>
      <c r="D147" s="12" t="inlineStr">
        <is>
          <t>Inspect network connection parameters for WarmupCard using security audit proxy.
Verify TLS 1.3/1.2 cipher suite.
Confirm insecure HTTP blocked.</t>
        </is>
      </c>
      <c r="E147" s="12" t="inlineStr">
        <is>
          <t>Verify expected behavior for WarmupCard under Safe Vulnerability &amp; Security Checks scenario #6.</t>
        </is>
      </c>
      <c r="F147" s="12" t="inlineStr">
        <is>
          <t>Not Executed</t>
        </is>
      </c>
      <c r="G147" s="13" t="inlineStr">
        <is>
          <t>Not Executed</t>
        </is>
      </c>
      <c r="H147" s="11" t="inlineStr">
        <is>
          <t>Medium</t>
        </is>
      </c>
    </row>
    <row r="148" ht="42" customHeight="1">
      <c r="A148" s="11" t="inlineStr">
        <is>
          <t>TC_147</t>
        </is>
      </c>
      <c r="B148" s="12" t="inlineStr">
        <is>
          <t>WarmupCard</t>
        </is>
      </c>
      <c r="C148" s="12" t="inlineStr">
        <is>
          <t>Verify API rate limiting 429 Too Many Requests response on WarmupCard</t>
        </is>
      </c>
      <c r="D148" s="12" t="inlineStr">
        <is>
          <t>Send 100 rapid requests within 5 seconds to WarmupCard public API endpoint.
Inspect response status.
Verify HTTP 429 rate limit error returned.</t>
        </is>
      </c>
      <c r="E148" s="12" t="inlineStr">
        <is>
          <t>Endpoint for WarmupCard handles load within SLA response time limits with 0.0% errors.</t>
        </is>
      </c>
      <c r="F148" s="12" t="inlineStr">
        <is>
          <t>Not Executed</t>
        </is>
      </c>
      <c r="G148" s="13" t="inlineStr">
        <is>
          <t>Not Executed</t>
        </is>
      </c>
      <c r="H148" s="11" t="inlineStr">
        <is>
          <t>High</t>
        </is>
      </c>
    </row>
    <row r="149" ht="42" customHeight="1">
      <c r="A149" s="11" t="inlineStr">
        <is>
          <t>TC_148</t>
        </is>
      </c>
      <c r="B149" s="12" t="inlineStr">
        <is>
          <t>WarmupCard</t>
        </is>
      </c>
      <c r="C149" s="12" t="inlineStr">
        <is>
          <t>Verify Supabase Row Level Security (RLS) policy enforcement on WarmupCard</t>
        </is>
      </c>
      <c r="D149" s="12" t="inlineStr">
        <is>
          <t>Execute direct database query on WarmupCard table without authorization header.
Inspect PostgreSQL response.
Verify RLS policy blocks unauthorized row access.</t>
        </is>
      </c>
      <c r="E149" s="12" t="inlineStr">
        <is>
          <t>Security control for WarmupCard successfully blocks unauthorized access or malicious input.</t>
        </is>
      </c>
      <c r="F149" s="12" t="inlineStr">
        <is>
          <t>Not Executed</t>
        </is>
      </c>
      <c r="G149" s="13" t="inlineStr">
        <is>
          <t>Not Executed</t>
        </is>
      </c>
      <c r="H149" s="11" t="inlineStr">
        <is>
          <t>Medium</t>
        </is>
      </c>
    </row>
    <row r="150" ht="42" customHeight="1">
      <c r="A150" s="11" t="inlineStr">
        <is>
          <t>TC_149</t>
        </is>
      </c>
      <c r="B150" s="12" t="inlineStr">
        <is>
          <t>WarmupCard</t>
        </is>
      </c>
      <c r="C150" s="12" t="inlineStr">
        <is>
          <t>Verify privileged route guard interception on unauthenticated access to WarmupCard</t>
        </is>
      </c>
      <c r="D150" s="12" t="inlineStr">
        <is>
          <t>Attempt deep linking directly to protected route for WarmupCard without auth token.
Inspect router behavior.
Verify request intercepted and redirected.</t>
        </is>
      </c>
      <c r="E150" s="12" t="inlineStr">
        <is>
          <t>Security control for WarmupCard successfully blocks unauthorized access or malicious input.</t>
        </is>
      </c>
      <c r="F150" s="12" t="inlineStr">
        <is>
          <t>Not Executed</t>
        </is>
      </c>
      <c r="G150" s="13" t="inlineStr">
        <is>
          <t>Not Executed</t>
        </is>
      </c>
      <c r="H150" s="11" t="inlineStr">
        <is>
          <t>Medium</t>
        </is>
      </c>
    </row>
    <row r="151" ht="42" customHeight="1">
      <c r="A151" s="11" t="inlineStr">
        <is>
          <t>TC_150</t>
        </is>
      </c>
      <c r="B151" s="12" t="inlineStr">
        <is>
          <t>WarmupCard</t>
        </is>
      </c>
      <c r="C151" s="12" t="inlineStr">
        <is>
          <t>Verify sensitive data masking and log exposure prevention for WarmupCard</t>
        </is>
      </c>
      <c r="D151" s="12" t="inlineStr">
        <is>
          <t>Inspect application log output during operations on WarmupCard.
Check password, token, and PII fields.
Verify sensitive fields masked or omitted.</t>
        </is>
      </c>
      <c r="E151" s="12" t="inlineStr">
        <is>
          <t>Verify expected behavior for WarmupCard under Safe Vulnerability &amp; Security Checks scenario #10.</t>
        </is>
      </c>
      <c r="F151" s="12" t="inlineStr">
        <is>
          <t>Not Executed</t>
        </is>
      </c>
      <c r="G151" s="13" t="inlineStr">
        <is>
          <t>Not Executed</t>
        </is>
      </c>
      <c r="H151" s="11" t="inlineStr">
        <is>
          <t>High</t>
        </is>
      </c>
    </row>
    <row r="152" ht="42" customHeight="1">
      <c r="A152" s="11" t="inlineStr">
        <is>
          <t>TC_151</t>
        </is>
      </c>
      <c r="B152" s="12" t="inlineStr">
        <is>
          <t>DietDayCard</t>
        </is>
      </c>
      <c r="C152" s="12" t="inlineStr">
        <is>
          <t>Verify brute-force defense and authentication lockout rules on DietDayCard</t>
        </is>
      </c>
      <c r="D152" s="12" t="inlineStr">
        <is>
          <t>Submit 10 rapid invalid login/auth attempts on DietDayCard.
Inspect response headers.
Verify account locks after 5 attempts with 429 status.</t>
        </is>
      </c>
      <c r="E152" s="12" t="inlineStr">
        <is>
          <t>Security control for DietDayCard successfully blocks unauthorized access or malicious input.</t>
        </is>
      </c>
      <c r="F152" s="12" t="inlineStr">
        <is>
          <t>Not Executed</t>
        </is>
      </c>
      <c r="G152" s="13" t="inlineStr">
        <is>
          <t>Not Executed</t>
        </is>
      </c>
      <c r="H152" s="11" t="inlineStr">
        <is>
          <t>Medium</t>
        </is>
      </c>
    </row>
    <row r="153" ht="42" customHeight="1">
      <c r="A153" s="11" t="inlineStr">
        <is>
          <t>TC_152</t>
        </is>
      </c>
      <c r="B153" s="12" t="inlineStr">
        <is>
          <t>DietDayCard</t>
        </is>
      </c>
      <c r="C153" s="12" t="inlineStr">
        <is>
          <t>Verify role-based access control (RBAC) and IDOR vulnerability defense on DietDayCard</t>
        </is>
      </c>
      <c r="D153" s="12" t="inlineStr">
        <is>
          <t>Attempt accessing secondary user private resource on DietDayCard using non-owner JWT.
Inspect server response.
Verify access denied with 403 Forbidden.</t>
        </is>
      </c>
      <c r="E153" s="12" t="inlineStr">
        <is>
          <t>Security control for DietDayCard successfully blocks unauthorized access or malicious input.</t>
        </is>
      </c>
      <c r="F153" s="12" t="inlineStr">
        <is>
          <t>Not Executed</t>
        </is>
      </c>
      <c r="G153" s="13" t="inlineStr">
        <is>
          <t>Not Executed</t>
        </is>
      </c>
      <c r="H153" s="11" t="inlineStr">
        <is>
          <t>Medium</t>
        </is>
      </c>
    </row>
    <row r="154" ht="42" customHeight="1">
      <c r="A154" s="11" t="inlineStr">
        <is>
          <t>TC_153</t>
        </is>
      </c>
      <c r="B154" s="12" t="inlineStr">
        <is>
          <t>DietDayCard</t>
        </is>
      </c>
      <c r="C154" s="12" t="inlineStr">
        <is>
          <t>Verify session JWT token expiration and invalidation handling on DietDayCard</t>
        </is>
      </c>
      <c r="D154" s="12" t="inlineStr">
        <is>
          <t>Present expired JWT token to DietDayCard API endpoint.
Inspect response.
Verify session invalidated and redirected to login.</t>
        </is>
      </c>
      <c r="E154" s="12" t="inlineStr">
        <is>
          <t>Input validation on DietDayCard correctly enforces rules and displays error hints.</t>
        </is>
      </c>
      <c r="F154" s="12" t="inlineStr">
        <is>
          <t>Not Executed</t>
        </is>
      </c>
      <c r="G154" s="13" t="inlineStr">
        <is>
          <t>Not Executed</t>
        </is>
      </c>
      <c r="H154" s="11" t="inlineStr">
        <is>
          <t>High</t>
        </is>
      </c>
    </row>
    <row r="155" ht="42" customHeight="1">
      <c r="A155" s="11" t="inlineStr">
        <is>
          <t>TC_154</t>
        </is>
      </c>
      <c r="B155" s="12" t="inlineStr">
        <is>
          <t>DietDayCard</t>
        </is>
      </c>
      <c r="C155" s="12" t="inlineStr">
        <is>
          <t>Verify input sanitization and SQL injection defense on DietDayCard</t>
        </is>
      </c>
      <c r="D155" s="12" t="inlineStr">
        <is>
          <t>Submit safe SQLi test string `' OR '1'='1` into input fields on DietDayCard.
Inspect database query log.
Verify query parameterized without syntax error.</t>
        </is>
      </c>
      <c r="E155" s="12" t="inlineStr">
        <is>
          <t>Input validation on DietDayCard correctly enforces rules and displays error hints.</t>
        </is>
      </c>
      <c r="F155" s="12" t="inlineStr">
        <is>
          <t>Not Executed</t>
        </is>
      </c>
      <c r="G155" s="13" t="inlineStr">
        <is>
          <t>Not Executed</t>
        </is>
      </c>
      <c r="H155" s="11" t="inlineStr">
        <is>
          <t>Medium</t>
        </is>
      </c>
    </row>
    <row r="156" ht="42" customHeight="1">
      <c r="A156" s="11" t="inlineStr">
        <is>
          <t>TC_155</t>
        </is>
      </c>
      <c r="B156" s="12" t="inlineStr">
        <is>
          <t>DietDayCard</t>
        </is>
      </c>
      <c r="C156" s="12" t="inlineStr">
        <is>
          <t>Verify Cross-Site Scripting (XSS) DOM escaping and sanitization on DietDayCard</t>
        </is>
      </c>
      <c r="D156" s="12" t="inlineStr">
        <is>
          <t>Submit safe script tag `&lt;script&gt;alert(1)&lt;/script&gt;` into DietDayCard input fields.
Inspect rendered DOM node.
Verify string rendered as literal text without execution.</t>
        </is>
      </c>
      <c r="E156" s="12" t="inlineStr">
        <is>
          <t>Endpoint for DietDayCard handles load within SLA response time limits with 0.0% errors.</t>
        </is>
      </c>
      <c r="F156" s="12" t="inlineStr">
        <is>
          <t>Not Executed</t>
        </is>
      </c>
      <c r="G156" s="13" t="inlineStr">
        <is>
          <t>Not Executed</t>
        </is>
      </c>
      <c r="H156" s="11" t="inlineStr">
        <is>
          <t>Low</t>
        </is>
      </c>
    </row>
    <row r="157" ht="42" customHeight="1">
      <c r="A157" s="11" t="inlineStr">
        <is>
          <t>TC_156</t>
        </is>
      </c>
      <c r="B157" s="12" t="inlineStr">
        <is>
          <t>DietDayCard</t>
        </is>
      </c>
      <c r="C157" s="12" t="inlineStr">
        <is>
          <t>Verify TLS 1.3 transport layer encryption enforcement on DietDayCard</t>
        </is>
      </c>
      <c r="D157" s="12" t="inlineStr">
        <is>
          <t>Inspect network connection parameters for DietDayCard using security audit proxy.
Verify TLS 1.3/1.2 cipher suite.
Confirm insecure HTTP blocked.</t>
        </is>
      </c>
      <c r="E157" s="12" t="inlineStr">
        <is>
          <t>Verify expected behavior for DietDayCard under Safe Vulnerability &amp; Security Checks scenario #6.</t>
        </is>
      </c>
      <c r="F157" s="12" t="inlineStr">
        <is>
          <t>Not Executed</t>
        </is>
      </c>
      <c r="G157" s="13" t="inlineStr">
        <is>
          <t>Not Executed</t>
        </is>
      </c>
      <c r="H157" s="11" t="inlineStr">
        <is>
          <t>High</t>
        </is>
      </c>
    </row>
    <row r="158" ht="42" customHeight="1">
      <c r="A158" s="11" t="inlineStr">
        <is>
          <t>TC_157</t>
        </is>
      </c>
      <c r="B158" s="12" t="inlineStr">
        <is>
          <t>DietDayCard</t>
        </is>
      </c>
      <c r="C158" s="12" t="inlineStr">
        <is>
          <t>Verify API rate limiting 429 Too Many Requests response on DietDayCard</t>
        </is>
      </c>
      <c r="D158" s="12" t="inlineStr">
        <is>
          <t>Send 100 rapid requests within 5 seconds to DietDayCard public API endpoint.
Inspect response status.
Verify HTTP 429 rate limit error returned.</t>
        </is>
      </c>
      <c r="E158" s="12" t="inlineStr">
        <is>
          <t>Endpoint for DietDayCard handles load within SLA response time limits with 0.0% errors.</t>
        </is>
      </c>
      <c r="F158" s="12" t="inlineStr">
        <is>
          <t>Not Executed</t>
        </is>
      </c>
      <c r="G158" s="13" t="inlineStr">
        <is>
          <t>Not Executed</t>
        </is>
      </c>
      <c r="H158" s="11" t="inlineStr">
        <is>
          <t>Medium</t>
        </is>
      </c>
    </row>
    <row r="159" ht="42" customHeight="1">
      <c r="A159" s="11" t="inlineStr">
        <is>
          <t>TC_158</t>
        </is>
      </c>
      <c r="B159" s="12" t="inlineStr">
        <is>
          <t>DietDayCard</t>
        </is>
      </c>
      <c r="C159" s="12" t="inlineStr">
        <is>
          <t>Verify Supabase Row Level Security (RLS) policy enforcement on DietDayCard</t>
        </is>
      </c>
      <c r="D159" s="12" t="inlineStr">
        <is>
          <t>Execute direct database query on DietDayCard table without authorization header.
Inspect PostgreSQL response.
Verify RLS policy blocks unauthorized row access.</t>
        </is>
      </c>
      <c r="E159" s="12" t="inlineStr">
        <is>
          <t>Security control for DietDayCard successfully blocks unauthorized access or malicious input.</t>
        </is>
      </c>
      <c r="F159" s="12" t="inlineStr">
        <is>
          <t>Not Executed</t>
        </is>
      </c>
      <c r="G159" s="13" t="inlineStr">
        <is>
          <t>Not Executed</t>
        </is>
      </c>
      <c r="H159" s="11" t="inlineStr">
        <is>
          <t>Medium</t>
        </is>
      </c>
    </row>
    <row r="160" ht="42" customHeight="1">
      <c r="A160" s="11" t="inlineStr">
        <is>
          <t>TC_159</t>
        </is>
      </c>
      <c r="B160" s="12" t="inlineStr">
        <is>
          <t>DietDayCard</t>
        </is>
      </c>
      <c r="C160" s="12" t="inlineStr">
        <is>
          <t>Verify privileged route guard interception on unauthenticated access to DietDayCard</t>
        </is>
      </c>
      <c r="D160" s="12" t="inlineStr">
        <is>
          <t>Attempt deep linking directly to protected route for DietDayCard without auth token.
Inspect router behavior.
Verify request intercepted and redirected.</t>
        </is>
      </c>
      <c r="E160" s="12" t="inlineStr">
        <is>
          <t>Security control for DietDayCard successfully blocks unauthorized access or malicious input.</t>
        </is>
      </c>
      <c r="F160" s="12" t="inlineStr">
        <is>
          <t>Not Executed</t>
        </is>
      </c>
      <c r="G160" s="13" t="inlineStr">
        <is>
          <t>Not Executed</t>
        </is>
      </c>
      <c r="H160" s="11" t="inlineStr">
        <is>
          <t>High</t>
        </is>
      </c>
    </row>
    <row r="161" ht="42" customHeight="1">
      <c r="A161" s="11" t="inlineStr">
        <is>
          <t>TC_160</t>
        </is>
      </c>
      <c r="B161" s="12" t="inlineStr">
        <is>
          <t>DietDayCard</t>
        </is>
      </c>
      <c r="C161" s="12" t="inlineStr">
        <is>
          <t>Verify sensitive data masking and log exposure prevention for DietDayCard</t>
        </is>
      </c>
      <c r="D161" s="12" t="inlineStr">
        <is>
          <t>Inspect application log output during operations on DietDayCard.
Check password, token, and PII fields.
Verify sensitive fields masked or omitted.</t>
        </is>
      </c>
      <c r="E161" s="12" t="inlineStr">
        <is>
          <t>Verify expected behavior for DietDayCard under Safe Vulnerability &amp; Security Checks scenario #10.</t>
        </is>
      </c>
      <c r="F161" s="12" t="inlineStr">
        <is>
          <t>Not Executed</t>
        </is>
      </c>
      <c r="G161" s="13" t="inlineStr">
        <is>
          <t>Not Executed</t>
        </is>
      </c>
      <c r="H161" s="11" t="inlineStr">
        <is>
          <t>Low</t>
        </is>
      </c>
    </row>
    <row r="162" ht="42" customHeight="1">
      <c r="A162" s="11" t="inlineStr">
        <is>
          <t>TC_161</t>
        </is>
      </c>
      <c r="B162" s="12" t="inlineStr">
        <is>
          <t>BudgetFoodSection</t>
        </is>
      </c>
      <c r="C162" s="12" t="inlineStr">
        <is>
          <t>Verify brute-force defense and authentication lockout rules on BudgetFoodSection</t>
        </is>
      </c>
      <c r="D162" s="12" t="inlineStr">
        <is>
          <t>Submit 10 rapid invalid login/auth attempts on BudgetFoodSection.
Inspect response headers.
Verify account locks after 5 attempts with 429 status.</t>
        </is>
      </c>
      <c r="E162" s="12" t="inlineStr">
        <is>
          <t>Security control for BudgetFoodSection successfully blocks unauthorized access or malicious input.</t>
        </is>
      </c>
      <c r="F162" s="12" t="inlineStr">
        <is>
          <t>Not Executed</t>
        </is>
      </c>
      <c r="G162" s="13" t="inlineStr">
        <is>
          <t>Not Executed</t>
        </is>
      </c>
      <c r="H162" s="11" t="inlineStr">
        <is>
          <t>Medium</t>
        </is>
      </c>
    </row>
    <row r="163" ht="42" customHeight="1">
      <c r="A163" s="11" t="inlineStr">
        <is>
          <t>TC_162</t>
        </is>
      </c>
      <c r="B163" s="12" t="inlineStr">
        <is>
          <t>BudgetFoodSection</t>
        </is>
      </c>
      <c r="C163" s="12" t="inlineStr">
        <is>
          <t>Verify role-based access control (RBAC) and IDOR vulnerability defense on BudgetFoodSection</t>
        </is>
      </c>
      <c r="D163" s="12" t="inlineStr">
        <is>
          <t>Attempt accessing secondary user private resource on BudgetFoodSection using non-owner JWT.
Inspect server response.
Verify access denied with 403 Forbidden.</t>
        </is>
      </c>
      <c r="E163" s="12" t="inlineStr">
        <is>
          <t>Security control for BudgetFoodSection successfully blocks unauthorized access or malicious input.</t>
        </is>
      </c>
      <c r="F163" s="12" t="inlineStr">
        <is>
          <t>Not Executed</t>
        </is>
      </c>
      <c r="G163" s="13" t="inlineStr">
        <is>
          <t>Not Executed</t>
        </is>
      </c>
      <c r="H163" s="11" t="inlineStr">
        <is>
          <t>High</t>
        </is>
      </c>
    </row>
    <row r="164" ht="42" customHeight="1">
      <c r="A164" s="11" t="inlineStr">
        <is>
          <t>TC_163</t>
        </is>
      </c>
      <c r="B164" s="12" t="inlineStr">
        <is>
          <t>BudgetFoodSection</t>
        </is>
      </c>
      <c r="C164" s="12" t="inlineStr">
        <is>
          <t>Verify session JWT token expiration and invalidation handling on BudgetFoodSection</t>
        </is>
      </c>
      <c r="D164" s="12" t="inlineStr">
        <is>
          <t>Present expired JWT token to BudgetFoodSection API endpoint.
Inspect response.
Verify session invalidated and redirected to login.</t>
        </is>
      </c>
      <c r="E164" s="12" t="inlineStr">
        <is>
          <t>Input validation on BudgetFoodSection correctly enforces rules and displays error hints.</t>
        </is>
      </c>
      <c r="F164" s="12" t="inlineStr">
        <is>
          <t>Not Executed</t>
        </is>
      </c>
      <c r="G164" s="13" t="inlineStr">
        <is>
          <t>Not Executed</t>
        </is>
      </c>
      <c r="H164" s="11" t="inlineStr">
        <is>
          <t>Medium</t>
        </is>
      </c>
    </row>
    <row r="165" ht="42" customHeight="1">
      <c r="A165" s="11" t="inlineStr">
        <is>
          <t>TC_164</t>
        </is>
      </c>
      <c r="B165" s="12" t="inlineStr">
        <is>
          <t>BudgetFoodSection</t>
        </is>
      </c>
      <c r="C165" s="12" t="inlineStr">
        <is>
          <t>Verify input sanitization and SQL injection defense on BudgetFoodSection</t>
        </is>
      </c>
      <c r="D165" s="12" t="inlineStr">
        <is>
          <t>Submit safe SQLi test string `' OR '1'='1` into input fields on BudgetFoodSection.
Inspect database query log.
Verify query parameterized without syntax error.</t>
        </is>
      </c>
      <c r="E165" s="12" t="inlineStr">
        <is>
          <t>Input validation on BudgetFoodSection correctly enforces rules and displays error hints.</t>
        </is>
      </c>
      <c r="F165" s="12" t="inlineStr">
        <is>
          <t>Not Executed</t>
        </is>
      </c>
      <c r="G165" s="13" t="inlineStr">
        <is>
          <t>Not Executed</t>
        </is>
      </c>
      <c r="H165" s="11" t="inlineStr">
        <is>
          <t>Medium</t>
        </is>
      </c>
    </row>
    <row r="166" ht="42" customHeight="1">
      <c r="A166" s="11" t="inlineStr">
        <is>
          <t>TC_165</t>
        </is>
      </c>
      <c r="B166" s="12" t="inlineStr">
        <is>
          <t>BudgetFoodSection</t>
        </is>
      </c>
      <c r="C166" s="12" t="inlineStr">
        <is>
          <t>Verify Cross-Site Scripting (XSS) DOM escaping and sanitization on BudgetFoodSection</t>
        </is>
      </c>
      <c r="D166" s="12" t="inlineStr">
        <is>
          <t>Submit safe script tag `&lt;script&gt;alert(1)&lt;/script&gt;` into BudgetFoodSection input fields.
Inspect rendered DOM node.
Verify string rendered as literal text without execution.</t>
        </is>
      </c>
      <c r="E166" s="12" t="inlineStr">
        <is>
          <t>Endpoint for BudgetFoodSection handles load within SLA response time limits with 0.0% errors.</t>
        </is>
      </c>
      <c r="F166" s="12" t="inlineStr">
        <is>
          <t>Not Executed</t>
        </is>
      </c>
      <c r="G166" s="13" t="inlineStr">
        <is>
          <t>Not Executed</t>
        </is>
      </c>
      <c r="H166" s="11" t="inlineStr">
        <is>
          <t>High</t>
        </is>
      </c>
    </row>
    <row r="167" ht="42" customHeight="1">
      <c r="A167" s="11" t="inlineStr">
        <is>
          <t>TC_166</t>
        </is>
      </c>
      <c r="B167" s="12" t="inlineStr">
        <is>
          <t>BudgetFoodSection</t>
        </is>
      </c>
      <c r="C167" s="12" t="inlineStr">
        <is>
          <t>Verify TLS 1.3 transport layer encryption enforcement on BudgetFoodSection</t>
        </is>
      </c>
      <c r="D167" s="12" t="inlineStr">
        <is>
          <t>Inspect network connection parameters for BudgetFoodSection using security audit proxy.
Verify TLS 1.3/1.2 cipher suite.
Confirm insecure HTTP blocked.</t>
        </is>
      </c>
      <c r="E167" s="12" t="inlineStr">
        <is>
          <t>Verify expected behavior for BudgetFoodSection under Safe Vulnerability &amp; Security Checks scenario #6.</t>
        </is>
      </c>
      <c r="F167" s="12" t="inlineStr">
        <is>
          <t>Not Executed</t>
        </is>
      </c>
      <c r="G167" s="13" t="inlineStr">
        <is>
          <t>Not Executed</t>
        </is>
      </c>
      <c r="H167" s="11" t="inlineStr">
        <is>
          <t>Medium</t>
        </is>
      </c>
    </row>
    <row r="168" ht="42" customHeight="1">
      <c r="A168" s="11" t="inlineStr">
        <is>
          <t>TC_167</t>
        </is>
      </c>
      <c r="B168" s="12" t="inlineStr">
        <is>
          <t>BudgetFoodSection</t>
        </is>
      </c>
      <c r="C168" s="12" t="inlineStr">
        <is>
          <t>Verify API rate limiting 429 Too Many Requests response on BudgetFoodSection</t>
        </is>
      </c>
      <c r="D168" s="12" t="inlineStr">
        <is>
          <t>Send 100 rapid requests within 5 seconds to BudgetFoodSection public API endpoint.
Inspect response status.
Verify HTTP 429 rate limit error returned.</t>
        </is>
      </c>
      <c r="E168" s="12" t="inlineStr">
        <is>
          <t>Endpoint for BudgetFoodSection handles load within SLA response time limits with 0.0% errors.</t>
        </is>
      </c>
      <c r="F168" s="12" t="inlineStr">
        <is>
          <t>Not Executed</t>
        </is>
      </c>
      <c r="G168" s="13" t="inlineStr">
        <is>
          <t>Not Executed</t>
        </is>
      </c>
      <c r="H168" s="11" t="inlineStr">
        <is>
          <t>Medium</t>
        </is>
      </c>
    </row>
    <row r="169" ht="42" customHeight="1">
      <c r="A169" s="11" t="inlineStr">
        <is>
          <t>TC_168</t>
        </is>
      </c>
      <c r="B169" s="12" t="inlineStr">
        <is>
          <t>BudgetFoodSection</t>
        </is>
      </c>
      <c r="C169" s="12" t="inlineStr">
        <is>
          <t>Verify Supabase Row Level Security (RLS) policy enforcement on BudgetFoodSection</t>
        </is>
      </c>
      <c r="D169" s="12" t="inlineStr">
        <is>
          <t>Execute direct database query on BudgetFoodSection table without authorization header.
Inspect PostgreSQL response.
Verify RLS policy blocks unauthorized row access.</t>
        </is>
      </c>
      <c r="E169" s="12" t="inlineStr">
        <is>
          <t>Security control for BudgetFoodSection successfully blocks unauthorized access or malicious input.</t>
        </is>
      </c>
      <c r="F169" s="12" t="inlineStr">
        <is>
          <t>Not Executed</t>
        </is>
      </c>
      <c r="G169" s="13" t="inlineStr">
        <is>
          <t>Not Executed</t>
        </is>
      </c>
      <c r="H169" s="11" t="inlineStr">
        <is>
          <t>High</t>
        </is>
      </c>
    </row>
    <row r="170" ht="42" customHeight="1">
      <c r="A170" s="11" t="inlineStr">
        <is>
          <t>TC_169</t>
        </is>
      </c>
      <c r="B170" s="12" t="inlineStr">
        <is>
          <t>BudgetFoodSection</t>
        </is>
      </c>
      <c r="C170" s="12" t="inlineStr">
        <is>
          <t>Verify privileged route guard interception on unauthenticated access to BudgetFoodSection</t>
        </is>
      </c>
      <c r="D170" s="12" t="inlineStr">
        <is>
          <t>Attempt deep linking directly to protected route for BudgetFoodSection without auth token.
Inspect router behavior.
Verify request intercepted and redirected.</t>
        </is>
      </c>
      <c r="E170" s="12" t="inlineStr">
        <is>
          <t>Security control for BudgetFoodSection successfully blocks unauthorized access or malicious input.</t>
        </is>
      </c>
      <c r="F170" s="12" t="inlineStr">
        <is>
          <t>Not Executed</t>
        </is>
      </c>
      <c r="G170" s="13" t="inlineStr">
        <is>
          <t>Not Executed</t>
        </is>
      </c>
      <c r="H170" s="11" t="inlineStr">
        <is>
          <t>Medium</t>
        </is>
      </c>
    </row>
    <row r="171" ht="42" customHeight="1">
      <c r="A171" s="11" t="inlineStr">
        <is>
          <t>TC_170</t>
        </is>
      </c>
      <c r="B171" s="12" t="inlineStr">
        <is>
          <t>BudgetFoodSection</t>
        </is>
      </c>
      <c r="C171" s="12" t="inlineStr">
        <is>
          <t>Verify sensitive data masking and log exposure prevention for BudgetFoodSection</t>
        </is>
      </c>
      <c r="D171" s="12" t="inlineStr">
        <is>
          <t>Inspect application log output during operations on BudgetFoodSection.
Check password, token, and PII fields.
Verify sensitive fields masked or omitted.</t>
        </is>
      </c>
      <c r="E171" s="12" t="inlineStr">
        <is>
          <t>Verify expected behavior for BudgetFoodSection under Safe Vulnerability &amp; Security Checks scenario #10.</t>
        </is>
      </c>
      <c r="F171" s="12" t="inlineStr">
        <is>
          <t>Not Executed</t>
        </is>
      </c>
      <c r="G171" s="13" t="inlineStr">
        <is>
          <t>Not Executed</t>
        </is>
      </c>
      <c r="H171" s="11" t="inlineStr">
        <is>
          <t>Low</t>
        </is>
      </c>
    </row>
    <row r="172" ht="42" customHeight="1">
      <c r="A172" s="11" t="inlineStr">
        <is>
          <t>TC_171</t>
        </is>
      </c>
      <c r="B172" s="12" t="inlineStr">
        <is>
          <t>PlansTab</t>
        </is>
      </c>
      <c r="C172" s="12" t="inlineStr">
        <is>
          <t>Verify brute-force defense and authentication lockout rules on PlansTab</t>
        </is>
      </c>
      <c r="D172" s="12" t="inlineStr">
        <is>
          <t>Submit 10 rapid invalid login/auth attempts on PlansTab.
Inspect response headers.
Verify account locks after 5 attempts with 429 status.</t>
        </is>
      </c>
      <c r="E172" s="12" t="inlineStr">
        <is>
          <t>Security control for PlansTab successfully blocks unauthorized access or malicious input.</t>
        </is>
      </c>
      <c r="F172" s="12" t="inlineStr">
        <is>
          <t>Not Executed</t>
        </is>
      </c>
      <c r="G172" s="13" t="inlineStr">
        <is>
          <t>Not Executed</t>
        </is>
      </c>
      <c r="H172" s="11" t="inlineStr">
        <is>
          <t>High</t>
        </is>
      </c>
    </row>
    <row r="173" ht="42" customHeight="1">
      <c r="A173" s="11" t="inlineStr">
        <is>
          <t>TC_172</t>
        </is>
      </c>
      <c r="B173" s="12" t="inlineStr">
        <is>
          <t>PlansTab</t>
        </is>
      </c>
      <c r="C173" s="12" t="inlineStr">
        <is>
          <t>Verify role-based access control (RBAC) and IDOR vulnerability defense on PlansTab</t>
        </is>
      </c>
      <c r="D173" s="12" t="inlineStr">
        <is>
          <t>Attempt accessing secondary user private resource on PlansTab using non-owner JWT.
Inspect server response.
Verify access denied with 403 Forbidden.</t>
        </is>
      </c>
      <c r="E173" s="12" t="inlineStr">
        <is>
          <t>Security control for PlansTab successfully blocks unauthorized access or malicious input.</t>
        </is>
      </c>
      <c r="F173" s="12" t="inlineStr">
        <is>
          <t>Not Executed</t>
        </is>
      </c>
      <c r="G173" s="13" t="inlineStr">
        <is>
          <t>Not Executed</t>
        </is>
      </c>
      <c r="H173" s="11" t="inlineStr">
        <is>
          <t>Medium</t>
        </is>
      </c>
    </row>
    <row r="174" ht="42" customHeight="1">
      <c r="A174" s="11" t="inlineStr">
        <is>
          <t>TC_173</t>
        </is>
      </c>
      <c r="B174" s="12" t="inlineStr">
        <is>
          <t>PlansTab</t>
        </is>
      </c>
      <c r="C174" s="12" t="inlineStr">
        <is>
          <t>Verify session JWT token expiration and invalidation handling on PlansTab</t>
        </is>
      </c>
      <c r="D174" s="12" t="inlineStr">
        <is>
          <t>Present expired JWT token to PlansTab API endpoint.
Inspect response.
Verify session invalidated and redirected to login.</t>
        </is>
      </c>
      <c r="E174" s="12" t="inlineStr">
        <is>
          <t>Input validation on PlansTab correctly enforces rules and displays error hints.</t>
        </is>
      </c>
      <c r="F174" s="12" t="inlineStr">
        <is>
          <t>Not Executed</t>
        </is>
      </c>
      <c r="G174" s="13" t="inlineStr">
        <is>
          <t>Not Executed</t>
        </is>
      </c>
      <c r="H174" s="11" t="inlineStr">
        <is>
          <t>Medium</t>
        </is>
      </c>
    </row>
    <row r="175" ht="42" customHeight="1">
      <c r="A175" s="11" t="inlineStr">
        <is>
          <t>TC_174</t>
        </is>
      </c>
      <c r="B175" s="12" t="inlineStr">
        <is>
          <t>PlansTab</t>
        </is>
      </c>
      <c r="C175" s="12" t="inlineStr">
        <is>
          <t>Verify input sanitization and SQL injection defense on PlansTab</t>
        </is>
      </c>
      <c r="D175" s="12" t="inlineStr">
        <is>
          <t>Submit safe SQLi test string `' OR '1'='1` into input fields on PlansTab.
Inspect database query log.
Verify query parameterized without syntax error.</t>
        </is>
      </c>
      <c r="E175" s="12" t="inlineStr">
        <is>
          <t>Input validation on PlansTab correctly enforces rules and displays error hints.</t>
        </is>
      </c>
      <c r="F175" s="12" t="inlineStr">
        <is>
          <t>Not Executed</t>
        </is>
      </c>
      <c r="G175" s="13" t="inlineStr">
        <is>
          <t>Not Executed</t>
        </is>
      </c>
      <c r="H175" s="11" t="inlineStr">
        <is>
          <t>High</t>
        </is>
      </c>
    </row>
    <row r="176" ht="42" customHeight="1">
      <c r="A176" s="11" t="inlineStr">
        <is>
          <t>TC_175</t>
        </is>
      </c>
      <c r="B176" s="12" t="inlineStr">
        <is>
          <t>PlansTab</t>
        </is>
      </c>
      <c r="C176" s="12" t="inlineStr">
        <is>
          <t>Verify Cross-Site Scripting (XSS) DOM escaping and sanitization on PlansTab</t>
        </is>
      </c>
      <c r="D176" s="12" t="inlineStr">
        <is>
          <t>Submit safe script tag `&lt;script&gt;alert(1)&lt;/script&gt;` into PlansTab input fields.
Inspect rendered DOM node.
Verify string rendered as literal text without execution.</t>
        </is>
      </c>
      <c r="E176" s="12" t="inlineStr">
        <is>
          <t>Endpoint for PlansTab handles load within SLA response time limits with 0.0% errors.</t>
        </is>
      </c>
      <c r="F176" s="12" t="inlineStr">
        <is>
          <t>Not Executed</t>
        </is>
      </c>
      <c r="G176" s="13" t="inlineStr">
        <is>
          <t>Not Executed</t>
        </is>
      </c>
      <c r="H176" s="11" t="inlineStr">
        <is>
          <t>Low</t>
        </is>
      </c>
    </row>
    <row r="177" ht="42" customHeight="1">
      <c r="A177" s="11" t="inlineStr">
        <is>
          <t>TC_176</t>
        </is>
      </c>
      <c r="B177" s="12" t="inlineStr">
        <is>
          <t>PlansTab</t>
        </is>
      </c>
      <c r="C177" s="12" t="inlineStr">
        <is>
          <t>Verify TLS 1.3 transport layer encryption enforcement on PlansTab</t>
        </is>
      </c>
      <c r="D177" s="12" t="inlineStr">
        <is>
          <t>Inspect network connection parameters for PlansTab using security audit proxy.
Verify TLS 1.3/1.2 cipher suite.
Confirm insecure HTTP blocked.</t>
        </is>
      </c>
      <c r="E177" s="12" t="inlineStr">
        <is>
          <t>Verify expected behavior for PlansTab under Safe Vulnerability &amp; Security Checks scenario #6.</t>
        </is>
      </c>
      <c r="F177" s="12" t="inlineStr">
        <is>
          <t>Not Executed</t>
        </is>
      </c>
      <c r="G177" s="13" t="inlineStr">
        <is>
          <t>Not Executed</t>
        </is>
      </c>
      <c r="H177" s="11" t="inlineStr">
        <is>
          <t>Medium</t>
        </is>
      </c>
    </row>
    <row r="178" ht="42" customHeight="1">
      <c r="A178" s="11" t="inlineStr">
        <is>
          <t>TC_177</t>
        </is>
      </c>
      <c r="B178" s="12" t="inlineStr">
        <is>
          <t>PlansTab</t>
        </is>
      </c>
      <c r="C178" s="12" t="inlineStr">
        <is>
          <t>Verify API rate limiting 429 Too Many Requests response on PlansTab</t>
        </is>
      </c>
      <c r="D178" s="12" t="inlineStr">
        <is>
          <t>Send 100 rapid requests within 5 seconds to PlansTab public API endpoint.
Inspect response status.
Verify HTTP 429 rate limit error returned.</t>
        </is>
      </c>
      <c r="E178" s="12" t="inlineStr">
        <is>
          <t>Endpoint for PlansTab handles load within SLA response time limits with 0.0% errors.</t>
        </is>
      </c>
      <c r="F178" s="12" t="inlineStr">
        <is>
          <t>Not Executed</t>
        </is>
      </c>
      <c r="G178" s="13" t="inlineStr">
        <is>
          <t>Not Executed</t>
        </is>
      </c>
      <c r="H178" s="11" t="inlineStr">
        <is>
          <t>High</t>
        </is>
      </c>
    </row>
    <row r="179" ht="42" customHeight="1">
      <c r="A179" s="11" t="inlineStr">
        <is>
          <t>TC_178</t>
        </is>
      </c>
      <c r="B179" s="12" t="inlineStr">
        <is>
          <t>PlansTab</t>
        </is>
      </c>
      <c r="C179" s="12" t="inlineStr">
        <is>
          <t>Verify Supabase Row Level Security (RLS) policy enforcement on PlansTab</t>
        </is>
      </c>
      <c r="D179" s="12" t="inlineStr">
        <is>
          <t>Execute direct database query on PlansTab table without authorization header.
Inspect PostgreSQL response.
Verify RLS policy blocks unauthorized row access.</t>
        </is>
      </c>
      <c r="E179" s="12" t="inlineStr">
        <is>
          <t>Security control for PlansTab successfully blocks unauthorized access or malicious input.</t>
        </is>
      </c>
      <c r="F179" s="12" t="inlineStr">
        <is>
          <t>Not Executed</t>
        </is>
      </c>
      <c r="G179" s="13" t="inlineStr">
        <is>
          <t>Not Executed</t>
        </is>
      </c>
      <c r="H179" s="11" t="inlineStr">
        <is>
          <t>Medium</t>
        </is>
      </c>
    </row>
    <row r="180" ht="42" customHeight="1">
      <c r="A180" s="11" t="inlineStr">
        <is>
          <t>TC_179</t>
        </is>
      </c>
      <c r="B180" s="12" t="inlineStr">
        <is>
          <t>PlansTab</t>
        </is>
      </c>
      <c r="C180" s="12" t="inlineStr">
        <is>
          <t>Verify privileged route guard interception on unauthenticated access to PlansTab</t>
        </is>
      </c>
      <c r="D180" s="12" t="inlineStr">
        <is>
          <t>Attempt deep linking directly to protected route for PlansTab without auth token.
Inspect router behavior.
Verify request intercepted and redirected.</t>
        </is>
      </c>
      <c r="E180" s="12" t="inlineStr">
        <is>
          <t>Security control for PlansTab successfully blocks unauthorized access or malicious input.</t>
        </is>
      </c>
      <c r="F180" s="12" t="inlineStr">
        <is>
          <t>Not Executed</t>
        </is>
      </c>
      <c r="G180" s="13" t="inlineStr">
        <is>
          <t>Not Executed</t>
        </is>
      </c>
      <c r="H180" s="11" t="inlineStr">
        <is>
          <t>Medium</t>
        </is>
      </c>
    </row>
    <row r="181" ht="42" customHeight="1">
      <c r="A181" s="11" t="inlineStr">
        <is>
          <t>TC_180</t>
        </is>
      </c>
      <c r="B181" s="12" t="inlineStr">
        <is>
          <t>PlansTab</t>
        </is>
      </c>
      <c r="C181" s="12" t="inlineStr">
        <is>
          <t>Verify sensitive data masking and log exposure prevention for PlansTab</t>
        </is>
      </c>
      <c r="D181" s="12" t="inlineStr">
        <is>
          <t>Inspect application log output during operations on PlansTab.
Check password, token, and PII fields.
Verify sensitive fields masked or omitted.</t>
        </is>
      </c>
      <c r="E181" s="12" t="inlineStr">
        <is>
          <t>Verify expected behavior for PlansTab under Safe Vulnerability &amp; Security Checks scenario #10.</t>
        </is>
      </c>
      <c r="F181" s="12" t="inlineStr">
        <is>
          <t>Not Executed</t>
        </is>
      </c>
      <c r="G181" s="13" t="inlineStr">
        <is>
          <t>Not Executed</t>
        </is>
      </c>
      <c r="H181" s="11" t="inlineStr">
        <is>
          <t>High</t>
        </is>
      </c>
    </row>
    <row r="182" ht="42" customHeight="1">
      <c r="A182" s="11" t="inlineStr">
        <is>
          <t>TC_181</t>
        </is>
      </c>
      <c r="B182" s="12" t="inlineStr">
        <is>
          <t>TrackersTab</t>
        </is>
      </c>
      <c r="C182" s="12" t="inlineStr">
        <is>
          <t>Verify brute-force defense and authentication lockout rules on TrackersTab</t>
        </is>
      </c>
      <c r="D182" s="12" t="inlineStr">
        <is>
          <t>Submit 10 rapid invalid login/auth attempts on TrackersTab.
Inspect response headers.
Verify account locks after 5 attempts with 429 status.</t>
        </is>
      </c>
      <c r="E182" s="12" t="inlineStr">
        <is>
          <t>Security control for TrackersTab successfully blocks unauthorized access or malicious input.</t>
        </is>
      </c>
      <c r="F182" s="12" t="inlineStr">
        <is>
          <t>Not Executed</t>
        </is>
      </c>
      <c r="G182" s="13" t="inlineStr">
        <is>
          <t>Not Executed</t>
        </is>
      </c>
      <c r="H182" s="11" t="inlineStr">
        <is>
          <t>Medium</t>
        </is>
      </c>
    </row>
    <row r="183" ht="42" customHeight="1">
      <c r="A183" s="11" t="inlineStr">
        <is>
          <t>TC_182</t>
        </is>
      </c>
      <c r="B183" s="12" t="inlineStr">
        <is>
          <t>TrackersTab</t>
        </is>
      </c>
      <c r="C183" s="12" t="inlineStr">
        <is>
          <t>Verify role-based access control (RBAC) and IDOR vulnerability defense on TrackersTab</t>
        </is>
      </c>
      <c r="D183" s="12" t="inlineStr">
        <is>
          <t>Attempt accessing secondary user private resource on TrackersTab using non-owner JWT.
Inspect server response.
Verify access denied with 403 Forbidden.</t>
        </is>
      </c>
      <c r="E183" s="12" t="inlineStr">
        <is>
          <t>Security control for TrackersTab successfully blocks unauthorized access or malicious input.</t>
        </is>
      </c>
      <c r="F183" s="12" t="inlineStr">
        <is>
          <t>Not Executed</t>
        </is>
      </c>
      <c r="G183" s="13" t="inlineStr">
        <is>
          <t>Not Executed</t>
        </is>
      </c>
      <c r="H183" s="11" t="inlineStr">
        <is>
          <t>Medium</t>
        </is>
      </c>
    </row>
    <row r="184" ht="42" customHeight="1">
      <c r="A184" s="11" t="inlineStr">
        <is>
          <t>TC_183</t>
        </is>
      </c>
      <c r="B184" s="12" t="inlineStr">
        <is>
          <t>TrackersTab</t>
        </is>
      </c>
      <c r="C184" s="12" t="inlineStr">
        <is>
          <t>Verify session JWT token expiration and invalidation handling on TrackersTab</t>
        </is>
      </c>
      <c r="D184" s="12" t="inlineStr">
        <is>
          <t>Present expired JWT token to TrackersTab API endpoint.
Inspect response.
Verify session invalidated and redirected to login.</t>
        </is>
      </c>
      <c r="E184" s="12" t="inlineStr">
        <is>
          <t>Input validation on TrackersTab correctly enforces rules and displays error hints.</t>
        </is>
      </c>
      <c r="F184" s="12" t="inlineStr">
        <is>
          <t>Not Executed</t>
        </is>
      </c>
      <c r="G184" s="13" t="inlineStr">
        <is>
          <t>Not Executed</t>
        </is>
      </c>
      <c r="H184" s="11" t="inlineStr">
        <is>
          <t>High</t>
        </is>
      </c>
    </row>
    <row r="185" ht="42" customHeight="1">
      <c r="A185" s="11" t="inlineStr">
        <is>
          <t>TC_184</t>
        </is>
      </c>
      <c r="B185" s="12" t="inlineStr">
        <is>
          <t>TrackersTab</t>
        </is>
      </c>
      <c r="C185" s="12" t="inlineStr">
        <is>
          <t>Verify input sanitization and SQL injection defense on TrackersTab</t>
        </is>
      </c>
      <c r="D185" s="12" t="inlineStr">
        <is>
          <t>Submit safe SQLi test string `' OR '1'='1` into input fields on TrackersTab.
Inspect database query log.
Verify query parameterized without syntax error.</t>
        </is>
      </c>
      <c r="E185" s="12" t="inlineStr">
        <is>
          <t>Input validation on TrackersTab correctly enforces rules and displays error hints.</t>
        </is>
      </c>
      <c r="F185" s="12" t="inlineStr">
        <is>
          <t>Not Executed</t>
        </is>
      </c>
      <c r="G185" s="13" t="inlineStr">
        <is>
          <t>Not Executed</t>
        </is>
      </c>
      <c r="H185" s="11" t="inlineStr">
        <is>
          <t>Medium</t>
        </is>
      </c>
    </row>
    <row r="186" ht="42" customHeight="1">
      <c r="A186" s="11" t="inlineStr">
        <is>
          <t>TC_185</t>
        </is>
      </c>
      <c r="B186" s="12" t="inlineStr">
        <is>
          <t>TrackersTab</t>
        </is>
      </c>
      <c r="C186" s="12" t="inlineStr">
        <is>
          <t>Verify Cross-Site Scripting (XSS) DOM escaping and sanitization on TrackersTab</t>
        </is>
      </c>
      <c r="D186" s="12" t="inlineStr">
        <is>
          <t>Submit safe script tag `&lt;script&gt;alert(1)&lt;/script&gt;` into TrackersTab input fields.
Inspect rendered DOM node.
Verify string rendered as literal text without execution.</t>
        </is>
      </c>
      <c r="E186" s="12" t="inlineStr">
        <is>
          <t>Endpoint for TrackersTab handles load within SLA response time limits with 0.0% errors.</t>
        </is>
      </c>
      <c r="F186" s="12" t="inlineStr">
        <is>
          <t>Not Executed</t>
        </is>
      </c>
      <c r="G186" s="13" t="inlineStr">
        <is>
          <t>Not Executed</t>
        </is>
      </c>
      <c r="H186" s="11" t="inlineStr">
        <is>
          <t>Low</t>
        </is>
      </c>
    </row>
    <row r="187" ht="42" customHeight="1">
      <c r="A187" s="11" t="inlineStr">
        <is>
          <t>TC_186</t>
        </is>
      </c>
      <c r="B187" s="12" t="inlineStr">
        <is>
          <t>TrackersTab</t>
        </is>
      </c>
      <c r="C187" s="12" t="inlineStr">
        <is>
          <t>Verify TLS 1.3 transport layer encryption enforcement on TrackersTab</t>
        </is>
      </c>
      <c r="D187" s="12" t="inlineStr">
        <is>
          <t>Inspect network connection parameters for TrackersTab using security audit proxy.
Verify TLS 1.3/1.2 cipher suite.
Confirm insecure HTTP blocked.</t>
        </is>
      </c>
      <c r="E187" s="12" t="inlineStr">
        <is>
          <t>Verify expected behavior for TrackersTab under Safe Vulnerability &amp; Security Checks scenario #6.</t>
        </is>
      </c>
      <c r="F187" s="12" t="inlineStr">
        <is>
          <t>Not Executed</t>
        </is>
      </c>
      <c r="G187" s="13" t="inlineStr">
        <is>
          <t>Not Executed</t>
        </is>
      </c>
      <c r="H187" s="11" t="inlineStr">
        <is>
          <t>High</t>
        </is>
      </c>
    </row>
    <row r="188" ht="42" customHeight="1">
      <c r="A188" s="11" t="inlineStr">
        <is>
          <t>TC_187</t>
        </is>
      </c>
      <c r="B188" s="12" t="inlineStr">
        <is>
          <t>TrackersTab</t>
        </is>
      </c>
      <c r="C188" s="12" t="inlineStr">
        <is>
          <t>Verify API rate limiting 429 Too Many Requests response on TrackersTab</t>
        </is>
      </c>
      <c r="D188" s="12" t="inlineStr">
        <is>
          <t>Send 100 rapid requests within 5 seconds to TrackersTab public API endpoint.
Inspect response status.
Verify HTTP 429 rate limit error returned.</t>
        </is>
      </c>
      <c r="E188" s="12" t="inlineStr">
        <is>
          <t>Endpoint for TrackersTab handles load within SLA response time limits with 0.0% errors.</t>
        </is>
      </c>
      <c r="F188" s="12" t="inlineStr">
        <is>
          <t>Not Executed</t>
        </is>
      </c>
      <c r="G188" s="13" t="inlineStr">
        <is>
          <t>Not Executed</t>
        </is>
      </c>
      <c r="H188" s="11" t="inlineStr">
        <is>
          <t>Medium</t>
        </is>
      </c>
    </row>
    <row r="189" ht="42" customHeight="1">
      <c r="A189" s="11" t="inlineStr">
        <is>
          <t>TC_188</t>
        </is>
      </c>
      <c r="B189" s="12" t="inlineStr">
        <is>
          <t>TrackersTab</t>
        </is>
      </c>
      <c r="C189" s="12" t="inlineStr">
        <is>
          <t>Verify Supabase Row Level Security (RLS) policy enforcement on TrackersTab</t>
        </is>
      </c>
      <c r="D189" s="12" t="inlineStr">
        <is>
          <t>Execute direct database query on TrackersTab table without authorization header.
Inspect PostgreSQL response.
Verify RLS policy blocks unauthorized row access.</t>
        </is>
      </c>
      <c r="E189" s="12" t="inlineStr">
        <is>
          <t>Security control for TrackersTab successfully blocks unauthorized access or malicious input.</t>
        </is>
      </c>
      <c r="F189" s="12" t="inlineStr">
        <is>
          <t>Not Executed</t>
        </is>
      </c>
      <c r="G189" s="13" t="inlineStr">
        <is>
          <t>Not Executed</t>
        </is>
      </c>
      <c r="H189" s="11" t="inlineStr">
        <is>
          <t>Medium</t>
        </is>
      </c>
    </row>
    <row r="190" ht="42" customHeight="1">
      <c r="A190" s="11" t="inlineStr">
        <is>
          <t>TC_189</t>
        </is>
      </c>
      <c r="B190" s="12" t="inlineStr">
        <is>
          <t>TrackersTab</t>
        </is>
      </c>
      <c r="C190" s="12" t="inlineStr">
        <is>
          <t>Verify privileged route guard interception on unauthenticated access to TrackersTab</t>
        </is>
      </c>
      <c r="D190" s="12" t="inlineStr">
        <is>
          <t>Attempt deep linking directly to protected route for TrackersTab without auth token.
Inspect router behavior.
Verify request intercepted and redirected.</t>
        </is>
      </c>
      <c r="E190" s="12" t="inlineStr">
        <is>
          <t>Security control for TrackersTab successfully blocks unauthorized access or malicious input.</t>
        </is>
      </c>
      <c r="F190" s="12" t="inlineStr">
        <is>
          <t>Not Executed</t>
        </is>
      </c>
      <c r="G190" s="13" t="inlineStr">
        <is>
          <t>Not Executed</t>
        </is>
      </c>
      <c r="H190" s="11" t="inlineStr">
        <is>
          <t>High</t>
        </is>
      </c>
    </row>
    <row r="191" ht="42" customHeight="1">
      <c r="A191" s="11" t="inlineStr">
        <is>
          <t>TC_190</t>
        </is>
      </c>
      <c r="B191" s="12" t="inlineStr">
        <is>
          <t>TrackersTab</t>
        </is>
      </c>
      <c r="C191" s="12" t="inlineStr">
        <is>
          <t>Verify sensitive data masking and log exposure prevention for TrackersTab</t>
        </is>
      </c>
      <c r="D191" s="12" t="inlineStr">
        <is>
          <t>Inspect application log output during operations on TrackersTab.
Check password, token, and PII fields.
Verify sensitive fields masked or omitted.</t>
        </is>
      </c>
      <c r="E191" s="12" t="inlineStr">
        <is>
          <t>Verify expected behavior for TrackersTab under Safe Vulnerability &amp; Security Checks scenario #10.</t>
        </is>
      </c>
      <c r="F191" s="12" t="inlineStr">
        <is>
          <t>Not Executed</t>
        </is>
      </c>
      <c r="G191" s="13" t="inlineStr">
        <is>
          <t>Not Executed</t>
        </is>
      </c>
      <c r="H191" s="11" t="inlineStr">
        <is>
          <t>Low</t>
        </is>
      </c>
    </row>
    <row r="192" ht="42" customHeight="1">
      <c r="A192" s="11" t="inlineStr">
        <is>
          <t>TC_191</t>
        </is>
      </c>
      <c r="B192" s="12" t="inlineStr">
        <is>
          <t>WaterTrackerSection</t>
        </is>
      </c>
      <c r="C192" s="12" t="inlineStr">
        <is>
          <t>Verify brute-force defense and authentication lockout rules on WaterTrackerSection</t>
        </is>
      </c>
      <c r="D192" s="12" t="inlineStr">
        <is>
          <t>Submit 10 rapid invalid login/auth attempts on WaterTrackerSection.
Inspect response headers.
Verify account locks after 5 attempts with 429 status.</t>
        </is>
      </c>
      <c r="E192" s="12" t="inlineStr">
        <is>
          <t>Security control for WaterTrackerSection successfully blocks unauthorized access or malicious input.</t>
        </is>
      </c>
      <c r="F192" s="12" t="inlineStr">
        <is>
          <t>Not Executed</t>
        </is>
      </c>
      <c r="G192" s="13" t="inlineStr">
        <is>
          <t>Not Executed</t>
        </is>
      </c>
      <c r="H192" s="11" t="inlineStr">
        <is>
          <t>Medium</t>
        </is>
      </c>
    </row>
    <row r="193" ht="42" customHeight="1">
      <c r="A193" s="11" t="inlineStr">
        <is>
          <t>TC_192</t>
        </is>
      </c>
      <c r="B193" s="12" t="inlineStr">
        <is>
          <t>WaterTrackerSection</t>
        </is>
      </c>
      <c r="C193" s="12" t="inlineStr">
        <is>
          <t>Verify role-based access control (RBAC) and IDOR vulnerability defense on WaterTrackerSection</t>
        </is>
      </c>
      <c r="D193" s="12" t="inlineStr">
        <is>
          <t>Attempt accessing secondary user private resource on WaterTrackerSection using non-owner JWT.
Inspect server response.
Verify access denied with 403 Forbidden.</t>
        </is>
      </c>
      <c r="E193" s="12" t="inlineStr">
        <is>
          <t>Security control for WaterTrackerSection successfully blocks unauthorized access or malicious input.</t>
        </is>
      </c>
      <c r="F193" s="12" t="inlineStr">
        <is>
          <t>Not Executed</t>
        </is>
      </c>
      <c r="G193" s="13" t="inlineStr">
        <is>
          <t>Not Executed</t>
        </is>
      </c>
      <c r="H193" s="11" t="inlineStr">
        <is>
          <t>High</t>
        </is>
      </c>
    </row>
    <row r="194" ht="42" customHeight="1">
      <c r="A194" s="11" t="inlineStr">
        <is>
          <t>TC_193</t>
        </is>
      </c>
      <c r="B194" s="12" t="inlineStr">
        <is>
          <t>WaterTrackerSection</t>
        </is>
      </c>
      <c r="C194" s="12" t="inlineStr">
        <is>
          <t>Verify session JWT token expiration and invalidation handling on WaterTrackerSection</t>
        </is>
      </c>
      <c r="D194" s="12" t="inlineStr">
        <is>
          <t>Present expired JWT token to WaterTrackerSection API endpoint.
Inspect response.
Verify session invalidated and redirected to login.</t>
        </is>
      </c>
      <c r="E194" s="12" t="inlineStr">
        <is>
          <t>Input validation on WaterTrackerSection correctly enforces rules and displays error hints.</t>
        </is>
      </c>
      <c r="F194" s="12" t="inlineStr">
        <is>
          <t>Not Executed</t>
        </is>
      </c>
      <c r="G194" s="13" t="inlineStr">
        <is>
          <t>Not Executed</t>
        </is>
      </c>
      <c r="H194" s="11" t="inlineStr">
        <is>
          <t>Medium</t>
        </is>
      </c>
    </row>
    <row r="195" ht="42" customHeight="1">
      <c r="A195" s="11" t="inlineStr">
        <is>
          <t>TC_194</t>
        </is>
      </c>
      <c r="B195" s="12" t="inlineStr">
        <is>
          <t>WaterTrackerSection</t>
        </is>
      </c>
      <c r="C195" s="12" t="inlineStr">
        <is>
          <t>Verify input sanitization and SQL injection defense on WaterTrackerSection</t>
        </is>
      </c>
      <c r="D195" s="12" t="inlineStr">
        <is>
          <t>Submit safe SQLi test string `' OR '1'='1` into input fields on WaterTrackerSection.
Inspect database query log.
Verify query parameterized without syntax error.</t>
        </is>
      </c>
      <c r="E195" s="12" t="inlineStr">
        <is>
          <t>Input validation on WaterTrackerSection correctly enforces rules and displays error hints.</t>
        </is>
      </c>
      <c r="F195" s="12" t="inlineStr">
        <is>
          <t>Not Executed</t>
        </is>
      </c>
      <c r="G195" s="13" t="inlineStr">
        <is>
          <t>Not Executed</t>
        </is>
      </c>
      <c r="H195" s="11" t="inlineStr">
        <is>
          <t>Medium</t>
        </is>
      </c>
    </row>
    <row r="196" ht="42" customHeight="1">
      <c r="A196" s="11" t="inlineStr">
        <is>
          <t>TC_195</t>
        </is>
      </c>
      <c r="B196" s="12" t="inlineStr">
        <is>
          <t>WaterTrackerSection</t>
        </is>
      </c>
      <c r="C196" s="12" t="inlineStr">
        <is>
          <t>Verify Cross-Site Scripting (XSS) DOM escaping and sanitization on WaterTrackerSection</t>
        </is>
      </c>
      <c r="D196" s="12" t="inlineStr">
        <is>
          <t>Submit safe script tag `&lt;script&gt;alert(1)&lt;/script&gt;` into WaterTrackerSection input fields.
Inspect rendered DOM node.
Verify string rendered as literal text without execution.</t>
        </is>
      </c>
      <c r="E196" s="12" t="inlineStr">
        <is>
          <t>Endpoint for WaterTrackerSection handles load within SLA response time limits with 0.0% errors.</t>
        </is>
      </c>
      <c r="F196" s="12" t="inlineStr">
        <is>
          <t>Not Executed</t>
        </is>
      </c>
      <c r="G196" s="13" t="inlineStr">
        <is>
          <t>Not Executed</t>
        </is>
      </c>
      <c r="H196" s="11" t="inlineStr">
        <is>
          <t>High</t>
        </is>
      </c>
    </row>
    <row r="197" ht="42" customHeight="1">
      <c r="A197" s="11" t="inlineStr">
        <is>
          <t>TC_196</t>
        </is>
      </c>
      <c r="B197" s="12" t="inlineStr">
        <is>
          <t>WaterTrackerSection</t>
        </is>
      </c>
      <c r="C197" s="12" t="inlineStr">
        <is>
          <t>Verify TLS 1.3 transport layer encryption enforcement on WaterTrackerSection</t>
        </is>
      </c>
      <c r="D197" s="12" t="inlineStr">
        <is>
          <t>Inspect network connection parameters for WaterTrackerSection using security audit proxy.
Verify TLS 1.3/1.2 cipher suite.
Confirm insecure HTTP blocked.</t>
        </is>
      </c>
      <c r="E197" s="12" t="inlineStr">
        <is>
          <t>Verify expected behavior for WaterTrackerSection under Safe Vulnerability &amp; Security Checks scenario #6.</t>
        </is>
      </c>
      <c r="F197" s="12" t="inlineStr">
        <is>
          <t>Not Executed</t>
        </is>
      </c>
      <c r="G197" s="13" t="inlineStr">
        <is>
          <t>Not Executed</t>
        </is>
      </c>
      <c r="H197" s="11" t="inlineStr">
        <is>
          <t>Medium</t>
        </is>
      </c>
    </row>
    <row r="198" ht="42" customHeight="1">
      <c r="A198" s="11" t="inlineStr">
        <is>
          <t>TC_197</t>
        </is>
      </c>
      <c r="B198" s="12" t="inlineStr">
        <is>
          <t>WaterTrackerSection</t>
        </is>
      </c>
      <c r="C198" s="12" t="inlineStr">
        <is>
          <t>Verify API rate limiting 429 Too Many Requests response on WaterTrackerSection</t>
        </is>
      </c>
      <c r="D198" s="12" t="inlineStr">
        <is>
          <t>Send 100 rapid requests within 5 seconds to WaterTrackerSection public API endpoint.
Inspect response status.
Verify HTTP 429 rate limit error returned.</t>
        </is>
      </c>
      <c r="E198" s="12" t="inlineStr">
        <is>
          <t>Endpoint for WaterTrackerSection handles load within SLA response time limits with 0.0% errors.</t>
        </is>
      </c>
      <c r="F198" s="12" t="inlineStr">
        <is>
          <t>Not Executed</t>
        </is>
      </c>
      <c r="G198" s="13" t="inlineStr">
        <is>
          <t>Not Executed</t>
        </is>
      </c>
      <c r="H198" s="11" t="inlineStr">
        <is>
          <t>Medium</t>
        </is>
      </c>
    </row>
    <row r="199" ht="42" customHeight="1">
      <c r="A199" s="11" t="inlineStr">
        <is>
          <t>TC_198</t>
        </is>
      </c>
      <c r="B199" s="12" t="inlineStr">
        <is>
          <t>WaterTrackerSection</t>
        </is>
      </c>
      <c r="C199" s="12" t="inlineStr">
        <is>
          <t>Verify Supabase Row Level Security (RLS) policy enforcement on WaterTrackerSection</t>
        </is>
      </c>
      <c r="D199" s="12" t="inlineStr">
        <is>
          <t>Execute direct database query on WaterTrackerSection table without authorization header.
Inspect PostgreSQL response.
Verify RLS policy blocks unauthorized row access.</t>
        </is>
      </c>
      <c r="E199" s="12" t="inlineStr">
        <is>
          <t>Security control for WaterTrackerSection successfully blocks unauthorized access or malicious input.</t>
        </is>
      </c>
      <c r="F199" s="12" t="inlineStr">
        <is>
          <t>Not Executed</t>
        </is>
      </c>
      <c r="G199" s="13" t="inlineStr">
        <is>
          <t>Not Executed</t>
        </is>
      </c>
      <c r="H199" s="11" t="inlineStr">
        <is>
          <t>High</t>
        </is>
      </c>
    </row>
    <row r="200" ht="42" customHeight="1">
      <c r="A200" s="11" t="inlineStr">
        <is>
          <t>TC_199</t>
        </is>
      </c>
      <c r="B200" s="12" t="inlineStr">
        <is>
          <t>WaterTrackerSection</t>
        </is>
      </c>
      <c r="C200" s="12" t="inlineStr">
        <is>
          <t>Verify privileged route guard interception on unauthenticated access to WaterTrackerSection</t>
        </is>
      </c>
      <c r="D200" s="12" t="inlineStr">
        <is>
          <t>Attempt deep linking directly to protected route for WaterTrackerSection without auth token.
Inspect router behavior.
Verify request intercepted and redirected.</t>
        </is>
      </c>
      <c r="E200" s="12" t="inlineStr">
        <is>
          <t>Security control for WaterTrackerSection successfully blocks unauthorized access or malicious input.</t>
        </is>
      </c>
      <c r="F200" s="12" t="inlineStr">
        <is>
          <t>Not Executed</t>
        </is>
      </c>
      <c r="G200" s="13" t="inlineStr">
        <is>
          <t>Not Executed</t>
        </is>
      </c>
      <c r="H200" s="11" t="inlineStr">
        <is>
          <t>Medium</t>
        </is>
      </c>
    </row>
    <row r="201" ht="42" customHeight="1">
      <c r="A201" s="11" t="inlineStr">
        <is>
          <t>TC_200</t>
        </is>
      </c>
      <c r="B201" s="12" t="inlineStr">
        <is>
          <t>WaterTrackerSection</t>
        </is>
      </c>
      <c r="C201" s="12" t="inlineStr">
        <is>
          <t>Verify sensitive data masking and log exposure prevention for WaterTrackerSection</t>
        </is>
      </c>
      <c r="D201" s="12" t="inlineStr">
        <is>
          <t>Inspect application log output during operations on WaterTrackerSection.
Check password, token, and PII fields.
Verify sensitive fields masked or omitted.</t>
        </is>
      </c>
      <c r="E201" s="12" t="inlineStr">
        <is>
          <t>Verify expected behavior for WaterTrackerSection under Safe Vulnerability &amp; Security Checks scenario #10.</t>
        </is>
      </c>
      <c r="F201" s="12" t="inlineStr">
        <is>
          <t>Not Executed</t>
        </is>
      </c>
      <c r="G201" s="13" t="inlineStr">
        <is>
          <t>Not Executed</t>
        </is>
      </c>
      <c r="H201" s="11" t="inlineStr">
        <is>
          <t>Low</t>
        </is>
      </c>
    </row>
    <row r="202" ht="42" customHeight="1">
      <c r="A202" s="11" t="inlineStr">
        <is>
          <t>TC_201</t>
        </is>
      </c>
      <c r="B202" s="12" t="inlineStr">
        <is>
          <t>SleepTrackerSection</t>
        </is>
      </c>
      <c r="C202" s="12" t="inlineStr">
        <is>
          <t>Verify brute-force defense and authentication lockout rules on SleepTrackerSection</t>
        </is>
      </c>
      <c r="D202" s="12" t="inlineStr">
        <is>
          <t>Submit 10 rapid invalid login/auth attempts on SleepTrackerSection.
Inspect response headers.
Verify account locks after 5 attempts with 429 status.</t>
        </is>
      </c>
      <c r="E202" s="12" t="inlineStr">
        <is>
          <t>Security control for SleepTrackerSection successfully blocks unauthorized access or malicious input.</t>
        </is>
      </c>
      <c r="F202" s="12" t="inlineStr">
        <is>
          <t>Not Executed</t>
        </is>
      </c>
      <c r="G202" s="13" t="inlineStr">
        <is>
          <t>Not Executed</t>
        </is>
      </c>
      <c r="H202" s="11" t="inlineStr">
        <is>
          <t>High</t>
        </is>
      </c>
    </row>
    <row r="203" ht="42" customHeight="1">
      <c r="A203" s="11" t="inlineStr">
        <is>
          <t>TC_202</t>
        </is>
      </c>
      <c r="B203" s="12" t="inlineStr">
        <is>
          <t>SleepTrackerSection</t>
        </is>
      </c>
      <c r="C203" s="12" t="inlineStr">
        <is>
          <t>Verify role-based access control (RBAC) and IDOR vulnerability defense on SleepTrackerSection</t>
        </is>
      </c>
      <c r="D203" s="12" t="inlineStr">
        <is>
          <t>Attempt accessing secondary user private resource on SleepTrackerSection using non-owner JWT.
Inspect server response.
Verify access denied with 403 Forbidden.</t>
        </is>
      </c>
      <c r="E203" s="12" t="inlineStr">
        <is>
          <t>Security control for SleepTrackerSection successfully blocks unauthorized access or malicious input.</t>
        </is>
      </c>
      <c r="F203" s="12" t="inlineStr">
        <is>
          <t>Not Executed</t>
        </is>
      </c>
      <c r="G203" s="13" t="inlineStr">
        <is>
          <t>Not Executed</t>
        </is>
      </c>
      <c r="H203" s="11" t="inlineStr">
        <is>
          <t>Medium</t>
        </is>
      </c>
    </row>
    <row r="204" ht="42" customHeight="1">
      <c r="A204" s="11" t="inlineStr">
        <is>
          <t>TC_203</t>
        </is>
      </c>
      <c r="B204" s="12" t="inlineStr">
        <is>
          <t>SleepTrackerSection</t>
        </is>
      </c>
      <c r="C204" s="12" t="inlineStr">
        <is>
          <t>Verify session JWT token expiration and invalidation handling on SleepTrackerSection</t>
        </is>
      </c>
      <c r="D204" s="12" t="inlineStr">
        <is>
          <t>Present expired JWT token to SleepTrackerSection API endpoint.
Inspect response.
Verify session invalidated and redirected to login.</t>
        </is>
      </c>
      <c r="E204" s="12" t="inlineStr">
        <is>
          <t>Input validation on SleepTrackerSection correctly enforces rules and displays error hints.</t>
        </is>
      </c>
      <c r="F204" s="12" t="inlineStr">
        <is>
          <t>Not Executed</t>
        </is>
      </c>
      <c r="G204" s="13" t="inlineStr">
        <is>
          <t>Not Executed</t>
        </is>
      </c>
      <c r="H204" s="11" t="inlineStr">
        <is>
          <t>Medium</t>
        </is>
      </c>
    </row>
    <row r="205" ht="42" customHeight="1">
      <c r="A205" s="11" t="inlineStr">
        <is>
          <t>TC_204</t>
        </is>
      </c>
      <c r="B205" s="12" t="inlineStr">
        <is>
          <t>SleepTrackerSection</t>
        </is>
      </c>
      <c r="C205" s="12" t="inlineStr">
        <is>
          <t>Verify input sanitization and SQL injection defense on SleepTrackerSection</t>
        </is>
      </c>
      <c r="D205" s="12" t="inlineStr">
        <is>
          <t>Submit safe SQLi test string `' OR '1'='1` into input fields on SleepTrackerSection.
Inspect database query log.
Verify query parameterized without syntax error.</t>
        </is>
      </c>
      <c r="E205" s="12" t="inlineStr">
        <is>
          <t>Input validation on SleepTrackerSection correctly enforces rules and displays error hints.</t>
        </is>
      </c>
      <c r="F205" s="12" t="inlineStr">
        <is>
          <t>Not Executed</t>
        </is>
      </c>
      <c r="G205" s="13" t="inlineStr">
        <is>
          <t>Not Executed</t>
        </is>
      </c>
      <c r="H205" s="11" t="inlineStr">
        <is>
          <t>High</t>
        </is>
      </c>
    </row>
    <row r="206" ht="42" customHeight="1">
      <c r="A206" s="11" t="inlineStr">
        <is>
          <t>TC_205</t>
        </is>
      </c>
      <c r="B206" s="12" t="inlineStr">
        <is>
          <t>SleepTrackerSection</t>
        </is>
      </c>
      <c r="C206" s="12" t="inlineStr">
        <is>
          <t>Verify Cross-Site Scripting (XSS) DOM escaping and sanitization on SleepTrackerSection</t>
        </is>
      </c>
      <c r="D206" s="12" t="inlineStr">
        <is>
          <t>Submit safe script tag `&lt;script&gt;alert(1)&lt;/script&gt;` into SleepTrackerSection input fields.
Inspect rendered DOM node.
Verify string rendered as literal text without execution.</t>
        </is>
      </c>
      <c r="E206" s="12" t="inlineStr">
        <is>
          <t>Endpoint for SleepTrackerSection handles load within SLA response time limits with 0.0% errors.</t>
        </is>
      </c>
      <c r="F206" s="12" t="inlineStr">
        <is>
          <t>Not Executed</t>
        </is>
      </c>
      <c r="G206" s="13" t="inlineStr">
        <is>
          <t>Not Executed</t>
        </is>
      </c>
      <c r="H206" s="11" t="inlineStr">
        <is>
          <t>Low</t>
        </is>
      </c>
    </row>
    <row r="207" ht="42" customHeight="1">
      <c r="A207" s="11" t="inlineStr">
        <is>
          <t>TC_206</t>
        </is>
      </c>
      <c r="B207" s="12" t="inlineStr">
        <is>
          <t>SleepTrackerSection</t>
        </is>
      </c>
      <c r="C207" s="12" t="inlineStr">
        <is>
          <t>Verify TLS 1.3 transport layer encryption enforcement on SleepTrackerSection</t>
        </is>
      </c>
      <c r="D207" s="12" t="inlineStr">
        <is>
          <t>Inspect network connection parameters for SleepTrackerSection using security audit proxy.
Verify TLS 1.3/1.2 cipher suite.
Confirm insecure HTTP blocked.</t>
        </is>
      </c>
      <c r="E207" s="12" t="inlineStr">
        <is>
          <t>Verify expected behavior for SleepTrackerSection under Safe Vulnerability &amp; Security Checks scenario #6.</t>
        </is>
      </c>
      <c r="F207" s="12" t="inlineStr">
        <is>
          <t>Not Executed</t>
        </is>
      </c>
      <c r="G207" s="13" t="inlineStr">
        <is>
          <t>Not Executed</t>
        </is>
      </c>
      <c r="H207" s="11" t="inlineStr">
        <is>
          <t>Medium</t>
        </is>
      </c>
    </row>
    <row r="208" ht="42" customHeight="1">
      <c r="A208" s="11" t="inlineStr">
        <is>
          <t>TC_207</t>
        </is>
      </c>
      <c r="B208" s="12" t="inlineStr">
        <is>
          <t>SleepTrackerSection</t>
        </is>
      </c>
      <c r="C208" s="12" t="inlineStr">
        <is>
          <t>Verify API rate limiting 429 Too Many Requests response on SleepTrackerSection</t>
        </is>
      </c>
      <c r="D208" s="12" t="inlineStr">
        <is>
          <t>Send 100 rapid requests within 5 seconds to SleepTrackerSection public API endpoint.
Inspect response status.
Verify HTTP 429 rate limit error returned.</t>
        </is>
      </c>
      <c r="E208" s="12" t="inlineStr">
        <is>
          <t>Endpoint for SleepTrackerSection handles load within SLA response time limits with 0.0% errors.</t>
        </is>
      </c>
      <c r="F208" s="12" t="inlineStr">
        <is>
          <t>Not Executed</t>
        </is>
      </c>
      <c r="G208" s="13" t="inlineStr">
        <is>
          <t>Not Executed</t>
        </is>
      </c>
      <c r="H208" s="11" t="inlineStr">
        <is>
          <t>High</t>
        </is>
      </c>
    </row>
    <row r="209" ht="42" customHeight="1">
      <c r="A209" s="11" t="inlineStr">
        <is>
          <t>TC_208</t>
        </is>
      </c>
      <c r="B209" s="12" t="inlineStr">
        <is>
          <t>SleepTrackerSection</t>
        </is>
      </c>
      <c r="C209" s="12" t="inlineStr">
        <is>
          <t>Verify Supabase Row Level Security (RLS) policy enforcement on SleepTrackerSection</t>
        </is>
      </c>
      <c r="D209" s="12" t="inlineStr">
        <is>
          <t>Execute direct database query on SleepTrackerSection table without authorization header.
Inspect PostgreSQL response.
Verify RLS policy blocks unauthorized row access.</t>
        </is>
      </c>
      <c r="E209" s="12" t="inlineStr">
        <is>
          <t>Security control for SleepTrackerSection successfully blocks unauthorized access or malicious input.</t>
        </is>
      </c>
      <c r="F209" s="12" t="inlineStr">
        <is>
          <t>Not Executed</t>
        </is>
      </c>
      <c r="G209" s="13" t="inlineStr">
        <is>
          <t>Not Executed</t>
        </is>
      </c>
      <c r="H209" s="11" t="inlineStr">
        <is>
          <t>Medium</t>
        </is>
      </c>
    </row>
    <row r="210" ht="42" customHeight="1">
      <c r="A210" s="11" t="inlineStr">
        <is>
          <t>TC_209</t>
        </is>
      </c>
      <c r="B210" s="12" t="inlineStr">
        <is>
          <t>SleepTrackerSection</t>
        </is>
      </c>
      <c r="C210" s="12" t="inlineStr">
        <is>
          <t>Verify privileged route guard interception on unauthenticated access to SleepTrackerSection</t>
        </is>
      </c>
      <c r="D210" s="12" t="inlineStr">
        <is>
          <t>Attempt deep linking directly to protected route for SleepTrackerSection without auth token.
Inspect router behavior.
Verify request intercepted and redirected.</t>
        </is>
      </c>
      <c r="E210" s="12" t="inlineStr">
        <is>
          <t>Security control for SleepTrackerSection successfully blocks unauthorized access or malicious input.</t>
        </is>
      </c>
      <c r="F210" s="12" t="inlineStr">
        <is>
          <t>Not Executed</t>
        </is>
      </c>
      <c r="G210" s="13" t="inlineStr">
        <is>
          <t>Not Executed</t>
        </is>
      </c>
      <c r="H210" s="11" t="inlineStr">
        <is>
          <t>Medium</t>
        </is>
      </c>
    </row>
    <row r="211" ht="42" customHeight="1">
      <c r="A211" s="11" t="inlineStr">
        <is>
          <t>TC_210</t>
        </is>
      </c>
      <c r="B211" s="12" t="inlineStr">
        <is>
          <t>SleepTrackerSection</t>
        </is>
      </c>
      <c r="C211" s="12" t="inlineStr">
        <is>
          <t>Verify sensitive data masking and log exposure prevention for SleepTrackerSection</t>
        </is>
      </c>
      <c r="D211" s="12" t="inlineStr">
        <is>
          <t>Inspect application log output during operations on SleepTrackerSection.
Check password, token, and PII fields.
Verify sensitive fields masked or omitted.</t>
        </is>
      </c>
      <c r="E211" s="12" t="inlineStr">
        <is>
          <t>Verify expected behavior for SleepTrackerSection under Safe Vulnerability &amp; Security Checks scenario #10.</t>
        </is>
      </c>
      <c r="F211" s="12" t="inlineStr">
        <is>
          <t>Not Executed</t>
        </is>
      </c>
      <c r="G211" s="13" t="inlineStr">
        <is>
          <t>Not Executed</t>
        </is>
      </c>
      <c r="H211" s="11" t="inlineStr">
        <is>
          <t>High</t>
        </is>
      </c>
    </row>
    <row r="212" ht="42" customHeight="1">
      <c r="A212" s="11" t="inlineStr">
        <is>
          <t>TC_211</t>
        </is>
      </c>
      <c r="B212" s="12" t="inlineStr">
        <is>
          <t>StepTrackerSection</t>
        </is>
      </c>
      <c r="C212" s="12" t="inlineStr">
        <is>
          <t>Verify brute-force defense and authentication lockout rules on StepTrackerSection</t>
        </is>
      </c>
      <c r="D212" s="12" t="inlineStr">
        <is>
          <t>Submit 10 rapid invalid login/auth attempts on StepTrackerSection.
Inspect response headers.
Verify account locks after 5 attempts with 429 status.</t>
        </is>
      </c>
      <c r="E212" s="12" t="inlineStr">
        <is>
          <t>Security control for StepTrackerSection successfully blocks unauthorized access or malicious input.</t>
        </is>
      </c>
      <c r="F212" s="12" t="inlineStr">
        <is>
          <t>Not Executed</t>
        </is>
      </c>
      <c r="G212" s="13" t="inlineStr">
        <is>
          <t>Not Executed</t>
        </is>
      </c>
      <c r="H212" s="11" t="inlineStr">
        <is>
          <t>Medium</t>
        </is>
      </c>
    </row>
    <row r="213" ht="42" customHeight="1">
      <c r="A213" s="11" t="inlineStr">
        <is>
          <t>TC_212</t>
        </is>
      </c>
      <c r="B213" s="12" t="inlineStr">
        <is>
          <t>StepTrackerSection</t>
        </is>
      </c>
      <c r="C213" s="12" t="inlineStr">
        <is>
          <t>Verify role-based access control (RBAC) and IDOR vulnerability defense on StepTrackerSection</t>
        </is>
      </c>
      <c r="D213" s="12" t="inlineStr">
        <is>
          <t>Attempt accessing secondary user private resource on StepTrackerSection using non-owner JWT.
Inspect server response.
Verify access denied with 403 Forbidden.</t>
        </is>
      </c>
      <c r="E213" s="12" t="inlineStr">
        <is>
          <t>Security control for StepTrackerSection successfully blocks unauthorized access or malicious input.</t>
        </is>
      </c>
      <c r="F213" s="12" t="inlineStr">
        <is>
          <t>Not Executed</t>
        </is>
      </c>
      <c r="G213" s="13" t="inlineStr">
        <is>
          <t>Not Executed</t>
        </is>
      </c>
      <c r="H213" s="11" t="inlineStr">
        <is>
          <t>Medium</t>
        </is>
      </c>
    </row>
    <row r="214" ht="42" customHeight="1">
      <c r="A214" s="11" t="inlineStr">
        <is>
          <t>TC_213</t>
        </is>
      </c>
      <c r="B214" s="12" t="inlineStr">
        <is>
          <t>StepTrackerSection</t>
        </is>
      </c>
      <c r="C214" s="12" t="inlineStr">
        <is>
          <t>Verify session JWT token expiration and invalidation handling on StepTrackerSection</t>
        </is>
      </c>
      <c r="D214" s="12" t="inlineStr">
        <is>
          <t>Present expired JWT token to StepTrackerSection API endpoint.
Inspect response.
Verify session invalidated and redirected to login.</t>
        </is>
      </c>
      <c r="E214" s="12" t="inlineStr">
        <is>
          <t>Input validation on StepTrackerSection correctly enforces rules and displays error hints.</t>
        </is>
      </c>
      <c r="F214" s="12" t="inlineStr">
        <is>
          <t>Not Executed</t>
        </is>
      </c>
      <c r="G214" s="13" t="inlineStr">
        <is>
          <t>Not Executed</t>
        </is>
      </c>
      <c r="H214" s="11" t="inlineStr">
        <is>
          <t>High</t>
        </is>
      </c>
    </row>
    <row r="215" ht="42" customHeight="1">
      <c r="A215" s="11" t="inlineStr">
        <is>
          <t>TC_214</t>
        </is>
      </c>
      <c r="B215" s="12" t="inlineStr">
        <is>
          <t>StepTrackerSection</t>
        </is>
      </c>
      <c r="C215" s="12" t="inlineStr">
        <is>
          <t>Verify input sanitization and SQL injection defense on StepTrackerSection</t>
        </is>
      </c>
      <c r="D215" s="12" t="inlineStr">
        <is>
          <t>Submit safe SQLi test string `' OR '1'='1` into input fields on StepTrackerSection.
Inspect database query log.
Verify query parameterized without syntax error.</t>
        </is>
      </c>
      <c r="E215" s="12" t="inlineStr">
        <is>
          <t>Input validation on StepTrackerSection correctly enforces rules and displays error hints.</t>
        </is>
      </c>
      <c r="F215" s="12" t="inlineStr">
        <is>
          <t>Not Executed</t>
        </is>
      </c>
      <c r="G215" s="13" t="inlineStr">
        <is>
          <t>Not Executed</t>
        </is>
      </c>
      <c r="H215" s="11" t="inlineStr">
        <is>
          <t>Medium</t>
        </is>
      </c>
    </row>
    <row r="216" ht="42" customHeight="1">
      <c r="A216" s="11" t="inlineStr">
        <is>
          <t>TC_215</t>
        </is>
      </c>
      <c r="B216" s="12" t="inlineStr">
        <is>
          <t>StepTrackerSection</t>
        </is>
      </c>
      <c r="C216" s="12" t="inlineStr">
        <is>
          <t>Verify Cross-Site Scripting (XSS) DOM escaping and sanitization on StepTrackerSection</t>
        </is>
      </c>
      <c r="D216" s="12" t="inlineStr">
        <is>
          <t>Submit safe script tag `&lt;script&gt;alert(1)&lt;/script&gt;` into StepTrackerSection input fields.
Inspect rendered DOM node.
Verify string rendered as literal text without execution.</t>
        </is>
      </c>
      <c r="E216" s="12" t="inlineStr">
        <is>
          <t>Endpoint for StepTrackerSection handles load within SLA response time limits with 0.0% errors.</t>
        </is>
      </c>
      <c r="F216" s="12" t="inlineStr">
        <is>
          <t>Not Executed</t>
        </is>
      </c>
      <c r="G216" s="13" t="inlineStr">
        <is>
          <t>Not Executed</t>
        </is>
      </c>
      <c r="H216" s="11" t="inlineStr">
        <is>
          <t>Low</t>
        </is>
      </c>
    </row>
    <row r="217" ht="42" customHeight="1">
      <c r="A217" s="11" t="inlineStr">
        <is>
          <t>TC_216</t>
        </is>
      </c>
      <c r="B217" s="12" t="inlineStr">
        <is>
          <t>StepTrackerSection</t>
        </is>
      </c>
      <c r="C217" s="12" t="inlineStr">
        <is>
          <t>Verify TLS 1.3 transport layer encryption enforcement on StepTrackerSection</t>
        </is>
      </c>
      <c r="D217" s="12" t="inlineStr">
        <is>
          <t>Inspect network connection parameters for StepTrackerSection using security audit proxy.
Verify TLS 1.3/1.2 cipher suite.
Confirm insecure HTTP blocked.</t>
        </is>
      </c>
      <c r="E217" s="12" t="inlineStr">
        <is>
          <t>Verify expected behavior for StepTrackerSection under Safe Vulnerability &amp; Security Checks scenario #6.</t>
        </is>
      </c>
      <c r="F217" s="12" t="inlineStr">
        <is>
          <t>Not Executed</t>
        </is>
      </c>
      <c r="G217" s="13" t="inlineStr">
        <is>
          <t>Not Executed</t>
        </is>
      </c>
      <c r="H217" s="11" t="inlineStr">
        <is>
          <t>High</t>
        </is>
      </c>
    </row>
    <row r="218" ht="42" customHeight="1">
      <c r="A218" s="11" t="inlineStr">
        <is>
          <t>TC_217</t>
        </is>
      </c>
      <c r="B218" s="12" t="inlineStr">
        <is>
          <t>StepTrackerSection</t>
        </is>
      </c>
      <c r="C218" s="12" t="inlineStr">
        <is>
          <t>Verify API rate limiting 429 Too Many Requests response on StepTrackerSection</t>
        </is>
      </c>
      <c r="D218" s="12" t="inlineStr">
        <is>
          <t>Send 100 rapid requests within 5 seconds to StepTrackerSection public API endpoint.
Inspect response status.
Verify HTTP 429 rate limit error returned.</t>
        </is>
      </c>
      <c r="E218" s="12" t="inlineStr">
        <is>
          <t>Endpoint for StepTrackerSection handles load within SLA response time limits with 0.0% errors.</t>
        </is>
      </c>
      <c r="F218" s="12" t="inlineStr">
        <is>
          <t>Not Executed</t>
        </is>
      </c>
      <c r="G218" s="13" t="inlineStr">
        <is>
          <t>Not Executed</t>
        </is>
      </c>
      <c r="H218" s="11" t="inlineStr">
        <is>
          <t>Medium</t>
        </is>
      </c>
    </row>
    <row r="219" ht="42" customHeight="1">
      <c r="A219" s="11" t="inlineStr">
        <is>
          <t>TC_218</t>
        </is>
      </c>
      <c r="B219" s="12" t="inlineStr">
        <is>
          <t>StepTrackerSection</t>
        </is>
      </c>
      <c r="C219" s="12" t="inlineStr">
        <is>
          <t>Verify Supabase Row Level Security (RLS) policy enforcement on StepTrackerSection</t>
        </is>
      </c>
      <c r="D219" s="12" t="inlineStr">
        <is>
          <t>Execute direct database query on StepTrackerSection table without authorization header.
Inspect PostgreSQL response.
Verify RLS policy blocks unauthorized row access.</t>
        </is>
      </c>
      <c r="E219" s="12" t="inlineStr">
        <is>
          <t>Security control for StepTrackerSection successfully blocks unauthorized access or malicious input.</t>
        </is>
      </c>
      <c r="F219" s="12" t="inlineStr">
        <is>
          <t>Not Executed</t>
        </is>
      </c>
      <c r="G219" s="13" t="inlineStr">
        <is>
          <t>Not Executed</t>
        </is>
      </c>
      <c r="H219" s="11" t="inlineStr">
        <is>
          <t>Medium</t>
        </is>
      </c>
    </row>
    <row r="220" ht="42" customHeight="1">
      <c r="A220" s="11" t="inlineStr">
        <is>
          <t>TC_219</t>
        </is>
      </c>
      <c r="B220" s="12" t="inlineStr">
        <is>
          <t>StepTrackerSection</t>
        </is>
      </c>
      <c r="C220" s="12" t="inlineStr">
        <is>
          <t>Verify privileged route guard interception on unauthenticated access to StepTrackerSection</t>
        </is>
      </c>
      <c r="D220" s="12" t="inlineStr">
        <is>
          <t>Attempt deep linking directly to protected route for StepTrackerSection without auth token.
Inspect router behavior.
Verify request intercepted and redirected.</t>
        </is>
      </c>
      <c r="E220" s="12" t="inlineStr">
        <is>
          <t>Security control for StepTrackerSection successfully blocks unauthorized access or malicious input.</t>
        </is>
      </c>
      <c r="F220" s="12" t="inlineStr">
        <is>
          <t>Not Executed</t>
        </is>
      </c>
      <c r="G220" s="13" t="inlineStr">
        <is>
          <t>Not Executed</t>
        </is>
      </c>
      <c r="H220" s="11" t="inlineStr">
        <is>
          <t>High</t>
        </is>
      </c>
    </row>
    <row r="221" ht="42" customHeight="1">
      <c r="A221" s="11" t="inlineStr">
        <is>
          <t>TC_220</t>
        </is>
      </c>
      <c r="B221" s="12" t="inlineStr">
        <is>
          <t>StepTrackerSection</t>
        </is>
      </c>
      <c r="C221" s="12" t="inlineStr">
        <is>
          <t>Verify sensitive data masking and log exposure prevention for StepTrackerSection</t>
        </is>
      </c>
      <c r="D221" s="12" t="inlineStr">
        <is>
          <t>Inspect application log output during operations on StepTrackerSection.
Check password, token, and PII fields.
Verify sensitive fields masked or omitted.</t>
        </is>
      </c>
      <c r="E221" s="12" t="inlineStr">
        <is>
          <t>Verify expected behavior for StepTrackerSection under Safe Vulnerability &amp; Security Checks scenario #10.</t>
        </is>
      </c>
      <c r="F221" s="12" t="inlineStr">
        <is>
          <t>Not Executed</t>
        </is>
      </c>
      <c r="G221" s="13" t="inlineStr">
        <is>
          <t>Not Executed</t>
        </is>
      </c>
      <c r="H221" s="11" t="inlineStr">
        <is>
          <t>Low</t>
        </is>
      </c>
    </row>
    <row r="222" ht="42" customHeight="1">
      <c r="A222" s="11" t="inlineStr">
        <is>
          <t>TC_221</t>
        </is>
      </c>
      <c r="B222" s="12" t="inlineStr">
        <is>
          <t>AITrainerScreen</t>
        </is>
      </c>
      <c r="C222" s="12" t="inlineStr">
        <is>
          <t>Verify brute-force defense and authentication lockout rules on AITrainerScreen</t>
        </is>
      </c>
      <c r="D222" s="12" t="inlineStr">
        <is>
          <t>Submit 10 rapid invalid login/auth attempts on AITrainerScreen.
Inspect response headers.
Verify account locks after 5 attempts with 429 status.</t>
        </is>
      </c>
      <c r="E222" s="12" t="inlineStr">
        <is>
          <t>Security control for AITrainerScreen successfully blocks unauthorized access or malicious input.</t>
        </is>
      </c>
      <c r="F222" s="12" t="inlineStr">
        <is>
          <t>Not Executed</t>
        </is>
      </c>
      <c r="G222" s="13" t="inlineStr">
        <is>
          <t>Not Executed</t>
        </is>
      </c>
      <c r="H222" s="11" t="inlineStr">
        <is>
          <t>Medium</t>
        </is>
      </c>
    </row>
    <row r="223" ht="42" customHeight="1">
      <c r="A223" s="11" t="inlineStr">
        <is>
          <t>TC_222</t>
        </is>
      </c>
      <c r="B223" s="12" t="inlineStr">
        <is>
          <t>AITrainerScreen</t>
        </is>
      </c>
      <c r="C223" s="12" t="inlineStr">
        <is>
          <t>Verify role-based access control (RBAC) and IDOR vulnerability defense on AITrainerScreen</t>
        </is>
      </c>
      <c r="D223" s="12" t="inlineStr">
        <is>
          <t>Attempt accessing secondary user private resource on AITrainerScreen using non-owner JWT.
Inspect server response.
Verify access denied with 403 Forbidden.</t>
        </is>
      </c>
      <c r="E223" s="12" t="inlineStr">
        <is>
          <t>Security control for AITrainerScreen successfully blocks unauthorized access or malicious input.</t>
        </is>
      </c>
      <c r="F223" s="12" t="inlineStr">
        <is>
          <t>Not Executed</t>
        </is>
      </c>
      <c r="G223" s="13" t="inlineStr">
        <is>
          <t>Not Executed</t>
        </is>
      </c>
      <c r="H223" s="11" t="inlineStr">
        <is>
          <t>High</t>
        </is>
      </c>
    </row>
    <row r="224" ht="42" customHeight="1">
      <c r="A224" s="11" t="inlineStr">
        <is>
          <t>TC_223</t>
        </is>
      </c>
      <c r="B224" s="12" t="inlineStr">
        <is>
          <t>AITrainerScreen</t>
        </is>
      </c>
      <c r="C224" s="12" t="inlineStr">
        <is>
          <t>Verify session JWT token expiration and invalidation handling on AITrainerScreen</t>
        </is>
      </c>
      <c r="D224" s="12" t="inlineStr">
        <is>
          <t>Present expired JWT token to AITrainerScreen API endpoint.
Inspect response.
Verify session invalidated and redirected to login.</t>
        </is>
      </c>
      <c r="E224" s="12" t="inlineStr">
        <is>
          <t>Input validation on AITrainerScreen correctly enforces rules and displays error hints.</t>
        </is>
      </c>
      <c r="F224" s="12" t="inlineStr">
        <is>
          <t>Not Executed</t>
        </is>
      </c>
      <c r="G224" s="13" t="inlineStr">
        <is>
          <t>Not Executed</t>
        </is>
      </c>
      <c r="H224" s="11" t="inlineStr">
        <is>
          <t>Medium</t>
        </is>
      </c>
    </row>
    <row r="225" ht="42" customHeight="1">
      <c r="A225" s="11" t="inlineStr">
        <is>
          <t>TC_224</t>
        </is>
      </c>
      <c r="B225" s="12" t="inlineStr">
        <is>
          <t>AITrainerScreen</t>
        </is>
      </c>
      <c r="C225" s="12" t="inlineStr">
        <is>
          <t>Verify input sanitization and SQL injection defense on AITrainerScreen</t>
        </is>
      </c>
      <c r="D225" s="12" t="inlineStr">
        <is>
          <t>Submit safe SQLi test string `' OR '1'='1` into input fields on AITrainerScreen.
Inspect database query log.
Verify query parameterized without syntax error.</t>
        </is>
      </c>
      <c r="E225" s="12" t="inlineStr">
        <is>
          <t>Input validation on AITrainerScreen correctly enforces rules and displays error hints.</t>
        </is>
      </c>
      <c r="F225" s="12" t="inlineStr">
        <is>
          <t>Not Executed</t>
        </is>
      </c>
      <c r="G225" s="13" t="inlineStr">
        <is>
          <t>Not Executed</t>
        </is>
      </c>
      <c r="H225" s="11" t="inlineStr">
        <is>
          <t>Medium</t>
        </is>
      </c>
    </row>
    <row r="226" ht="42" customHeight="1">
      <c r="A226" s="11" t="inlineStr">
        <is>
          <t>TC_225</t>
        </is>
      </c>
      <c r="B226" s="12" t="inlineStr">
        <is>
          <t>AITrainerScreen</t>
        </is>
      </c>
      <c r="C226" s="12" t="inlineStr">
        <is>
          <t>Verify Cross-Site Scripting (XSS) DOM escaping and sanitization on AITrainerScreen</t>
        </is>
      </c>
      <c r="D226" s="12" t="inlineStr">
        <is>
          <t>Submit safe script tag `&lt;script&gt;alert(1)&lt;/script&gt;` into AITrainerScreen input fields.
Inspect rendered DOM node.
Verify string rendered as literal text without execution.</t>
        </is>
      </c>
      <c r="E226" s="12" t="inlineStr">
        <is>
          <t>Endpoint for AITrainerScreen handles load within SLA response time limits with 0.0% errors.</t>
        </is>
      </c>
      <c r="F226" s="12" t="inlineStr">
        <is>
          <t>Not Executed</t>
        </is>
      </c>
      <c r="G226" s="13" t="inlineStr">
        <is>
          <t>Not Executed</t>
        </is>
      </c>
      <c r="H226" s="11" t="inlineStr">
        <is>
          <t>High</t>
        </is>
      </c>
    </row>
    <row r="227" ht="42" customHeight="1">
      <c r="A227" s="11" t="inlineStr">
        <is>
          <t>TC_226</t>
        </is>
      </c>
      <c r="B227" s="12" t="inlineStr">
        <is>
          <t>AITrainerScreen</t>
        </is>
      </c>
      <c r="C227" s="12" t="inlineStr">
        <is>
          <t>Verify TLS 1.3 transport layer encryption enforcement on AITrainerScreen</t>
        </is>
      </c>
      <c r="D227" s="12" t="inlineStr">
        <is>
          <t>Inspect network connection parameters for AITrainerScreen using security audit proxy.
Verify TLS 1.3/1.2 cipher suite.
Confirm insecure HTTP blocked.</t>
        </is>
      </c>
      <c r="E227" s="12" t="inlineStr">
        <is>
          <t>Verify expected behavior for AITrainerScreen under Safe Vulnerability &amp; Security Checks scenario #6.</t>
        </is>
      </c>
      <c r="F227" s="12" t="inlineStr">
        <is>
          <t>Not Executed</t>
        </is>
      </c>
      <c r="G227" s="13" t="inlineStr">
        <is>
          <t>Not Executed</t>
        </is>
      </c>
      <c r="H227" s="11" t="inlineStr">
        <is>
          <t>Medium</t>
        </is>
      </c>
    </row>
    <row r="228" ht="42" customHeight="1">
      <c r="A228" s="11" t="inlineStr">
        <is>
          <t>TC_227</t>
        </is>
      </c>
      <c r="B228" s="12" t="inlineStr">
        <is>
          <t>AITrainerScreen</t>
        </is>
      </c>
      <c r="C228" s="12" t="inlineStr">
        <is>
          <t>Verify API rate limiting 429 Too Many Requests response on AITrainerScreen</t>
        </is>
      </c>
      <c r="D228" s="12" t="inlineStr">
        <is>
          <t>Send 100 rapid requests within 5 seconds to AITrainerScreen public API endpoint.
Inspect response status.
Verify HTTP 429 rate limit error returned.</t>
        </is>
      </c>
      <c r="E228" s="12" t="inlineStr">
        <is>
          <t>Endpoint for AITrainerScreen handles load within SLA response time limits with 0.0% errors.</t>
        </is>
      </c>
      <c r="F228" s="12" t="inlineStr">
        <is>
          <t>Not Executed</t>
        </is>
      </c>
      <c r="G228" s="13" t="inlineStr">
        <is>
          <t>Not Executed</t>
        </is>
      </c>
      <c r="H228" s="11" t="inlineStr">
        <is>
          <t>Medium</t>
        </is>
      </c>
    </row>
    <row r="229" ht="42" customHeight="1">
      <c r="A229" s="11" t="inlineStr">
        <is>
          <t>TC_228</t>
        </is>
      </c>
      <c r="B229" s="12" t="inlineStr">
        <is>
          <t>AITrainerScreen</t>
        </is>
      </c>
      <c r="C229" s="12" t="inlineStr">
        <is>
          <t>Verify Supabase Row Level Security (RLS) policy enforcement on AITrainerScreen</t>
        </is>
      </c>
      <c r="D229" s="12" t="inlineStr">
        <is>
          <t>Execute direct database query on AITrainerScreen table without authorization header.
Inspect PostgreSQL response.
Verify RLS policy blocks unauthorized row access.</t>
        </is>
      </c>
      <c r="E229" s="12" t="inlineStr">
        <is>
          <t>Security control for AITrainerScreen successfully blocks unauthorized access or malicious input.</t>
        </is>
      </c>
      <c r="F229" s="12" t="inlineStr">
        <is>
          <t>Not Executed</t>
        </is>
      </c>
      <c r="G229" s="13" t="inlineStr">
        <is>
          <t>Not Executed</t>
        </is>
      </c>
      <c r="H229" s="11" t="inlineStr">
        <is>
          <t>High</t>
        </is>
      </c>
    </row>
    <row r="230" ht="42" customHeight="1">
      <c r="A230" s="11" t="inlineStr">
        <is>
          <t>TC_229</t>
        </is>
      </c>
      <c r="B230" s="12" t="inlineStr">
        <is>
          <t>AITrainerScreen</t>
        </is>
      </c>
      <c r="C230" s="12" t="inlineStr">
        <is>
          <t>Verify privileged route guard interception on unauthenticated access to AITrainerScreen</t>
        </is>
      </c>
      <c r="D230" s="12" t="inlineStr">
        <is>
          <t>Attempt deep linking directly to protected route for AITrainerScreen without auth token.
Inspect router behavior.
Verify request intercepted and redirected.</t>
        </is>
      </c>
      <c r="E230" s="12" t="inlineStr">
        <is>
          <t>Security control for AITrainerScreen successfully blocks unauthorized access or malicious input.</t>
        </is>
      </c>
      <c r="F230" s="12" t="inlineStr">
        <is>
          <t>Not Executed</t>
        </is>
      </c>
      <c r="G230" s="13" t="inlineStr">
        <is>
          <t>Not Executed</t>
        </is>
      </c>
      <c r="H230" s="11" t="inlineStr">
        <is>
          <t>Medium</t>
        </is>
      </c>
    </row>
    <row r="231" ht="42" customHeight="1">
      <c r="A231" s="11" t="inlineStr">
        <is>
          <t>TC_230</t>
        </is>
      </c>
      <c r="B231" s="12" t="inlineStr">
        <is>
          <t>AITrainerScreen</t>
        </is>
      </c>
      <c r="C231" s="12" t="inlineStr">
        <is>
          <t>Verify sensitive data masking and log exposure prevention for AITrainerScreen</t>
        </is>
      </c>
      <c r="D231" s="12" t="inlineStr">
        <is>
          <t>Inspect application log output during operations on AITrainerScreen.
Check password, token, and PII fields.
Verify sensitive fields masked or omitted.</t>
        </is>
      </c>
      <c r="E231" s="12" t="inlineStr">
        <is>
          <t>Verify expected behavior for AITrainerScreen under Safe Vulnerability &amp; Security Checks scenario #10.</t>
        </is>
      </c>
      <c r="F231" s="12" t="inlineStr">
        <is>
          <t>Not Executed</t>
        </is>
      </c>
      <c r="G231" s="13" t="inlineStr">
        <is>
          <t>Not Executed</t>
        </is>
      </c>
      <c r="H231" s="11" t="inlineStr">
        <is>
          <t>Low</t>
        </is>
      </c>
    </row>
    <row r="232" ht="42" customHeight="1">
      <c r="A232" s="11" t="inlineStr">
        <is>
          <t>TC_231</t>
        </is>
      </c>
      <c r="B232" s="12" t="inlineStr">
        <is>
          <t>ShopTab</t>
        </is>
      </c>
      <c r="C232" s="12" t="inlineStr">
        <is>
          <t>Verify brute-force defense and authentication lockout rules on ShopTab</t>
        </is>
      </c>
      <c r="D232" s="12" t="inlineStr">
        <is>
          <t>Submit 10 rapid invalid login/auth attempts on ShopTab.
Inspect response headers.
Verify account locks after 5 attempts with 429 status.</t>
        </is>
      </c>
      <c r="E232" s="12" t="inlineStr">
        <is>
          <t>Security control for ShopTab successfully blocks unauthorized access or malicious input.</t>
        </is>
      </c>
      <c r="F232" s="12" t="inlineStr">
        <is>
          <t>Not Executed</t>
        </is>
      </c>
      <c r="G232" s="13" t="inlineStr">
        <is>
          <t>Not Executed</t>
        </is>
      </c>
      <c r="H232" s="11" t="inlineStr">
        <is>
          <t>High</t>
        </is>
      </c>
    </row>
    <row r="233" ht="42" customHeight="1">
      <c r="A233" s="11" t="inlineStr">
        <is>
          <t>TC_232</t>
        </is>
      </c>
      <c r="B233" s="12" t="inlineStr">
        <is>
          <t>ShopTab</t>
        </is>
      </c>
      <c r="C233" s="12" t="inlineStr">
        <is>
          <t>Verify role-based access control (RBAC) and IDOR vulnerability defense on ShopTab</t>
        </is>
      </c>
      <c r="D233" s="12" t="inlineStr">
        <is>
          <t>Attempt accessing secondary user private resource on ShopTab using non-owner JWT.
Inspect server response.
Verify access denied with 403 Forbidden.</t>
        </is>
      </c>
      <c r="E233" s="12" t="inlineStr">
        <is>
          <t>Security control for ShopTab successfully blocks unauthorized access or malicious input.</t>
        </is>
      </c>
      <c r="F233" s="12" t="inlineStr">
        <is>
          <t>Not Executed</t>
        </is>
      </c>
      <c r="G233" s="13" t="inlineStr">
        <is>
          <t>Not Executed</t>
        </is>
      </c>
      <c r="H233" s="11" t="inlineStr">
        <is>
          <t>Medium</t>
        </is>
      </c>
    </row>
    <row r="234" ht="42" customHeight="1">
      <c r="A234" s="11" t="inlineStr">
        <is>
          <t>TC_233</t>
        </is>
      </c>
      <c r="B234" s="12" t="inlineStr">
        <is>
          <t>ShopTab</t>
        </is>
      </c>
      <c r="C234" s="12" t="inlineStr">
        <is>
          <t>Verify session JWT token expiration and invalidation handling on ShopTab</t>
        </is>
      </c>
      <c r="D234" s="12" t="inlineStr">
        <is>
          <t>Present expired JWT token to ShopTab API endpoint.
Inspect response.
Verify session invalidated and redirected to login.</t>
        </is>
      </c>
      <c r="E234" s="12" t="inlineStr">
        <is>
          <t>Input validation on ShopTab correctly enforces rules and displays error hints.</t>
        </is>
      </c>
      <c r="F234" s="12" t="inlineStr">
        <is>
          <t>Not Executed</t>
        </is>
      </c>
      <c r="G234" s="13" t="inlineStr">
        <is>
          <t>Not Executed</t>
        </is>
      </c>
      <c r="H234" s="11" t="inlineStr">
        <is>
          <t>Medium</t>
        </is>
      </c>
    </row>
    <row r="235" ht="42" customHeight="1">
      <c r="A235" s="11" t="inlineStr">
        <is>
          <t>TC_234</t>
        </is>
      </c>
      <c r="B235" s="12" t="inlineStr">
        <is>
          <t>ShopTab</t>
        </is>
      </c>
      <c r="C235" s="12" t="inlineStr">
        <is>
          <t>Verify input sanitization and SQL injection defense on ShopTab</t>
        </is>
      </c>
      <c r="D235" s="12" t="inlineStr">
        <is>
          <t>Submit safe SQLi test string `' OR '1'='1` into input fields on ShopTab.
Inspect database query log.
Verify query parameterized without syntax error.</t>
        </is>
      </c>
      <c r="E235" s="12" t="inlineStr">
        <is>
          <t>Input validation on ShopTab correctly enforces rules and displays error hints.</t>
        </is>
      </c>
      <c r="F235" s="12" t="inlineStr">
        <is>
          <t>Not Executed</t>
        </is>
      </c>
      <c r="G235" s="13" t="inlineStr">
        <is>
          <t>Not Executed</t>
        </is>
      </c>
      <c r="H235" s="11" t="inlineStr">
        <is>
          <t>High</t>
        </is>
      </c>
    </row>
    <row r="236" ht="42" customHeight="1">
      <c r="A236" s="11" t="inlineStr">
        <is>
          <t>TC_235</t>
        </is>
      </c>
      <c r="B236" s="12" t="inlineStr">
        <is>
          <t>ShopTab</t>
        </is>
      </c>
      <c r="C236" s="12" t="inlineStr">
        <is>
          <t>Verify Cross-Site Scripting (XSS) DOM escaping and sanitization on ShopTab</t>
        </is>
      </c>
      <c r="D236" s="12" t="inlineStr">
        <is>
          <t>Submit safe script tag `&lt;script&gt;alert(1)&lt;/script&gt;` into ShopTab input fields.
Inspect rendered DOM node.
Verify string rendered as literal text without execution.</t>
        </is>
      </c>
      <c r="E236" s="12" t="inlineStr">
        <is>
          <t>Endpoint for ShopTab handles load within SLA response time limits with 0.0% errors.</t>
        </is>
      </c>
      <c r="F236" s="12" t="inlineStr">
        <is>
          <t>Not Executed</t>
        </is>
      </c>
      <c r="G236" s="13" t="inlineStr">
        <is>
          <t>Not Executed</t>
        </is>
      </c>
      <c r="H236" s="11" t="inlineStr">
        <is>
          <t>Low</t>
        </is>
      </c>
    </row>
    <row r="237" ht="42" customHeight="1">
      <c r="A237" s="11" t="inlineStr">
        <is>
          <t>TC_236</t>
        </is>
      </c>
      <c r="B237" s="12" t="inlineStr">
        <is>
          <t>ShopTab</t>
        </is>
      </c>
      <c r="C237" s="12" t="inlineStr">
        <is>
          <t>Verify TLS 1.3 transport layer encryption enforcement on ShopTab</t>
        </is>
      </c>
      <c r="D237" s="12" t="inlineStr">
        <is>
          <t>Inspect network connection parameters for ShopTab using security audit proxy.
Verify TLS 1.3/1.2 cipher suite.
Confirm insecure HTTP blocked.</t>
        </is>
      </c>
      <c r="E237" s="12" t="inlineStr">
        <is>
          <t>Verify expected behavior for ShopTab under Safe Vulnerability &amp; Security Checks scenario #6.</t>
        </is>
      </c>
      <c r="F237" s="12" t="inlineStr">
        <is>
          <t>Not Executed</t>
        </is>
      </c>
      <c r="G237" s="13" t="inlineStr">
        <is>
          <t>Not Executed</t>
        </is>
      </c>
      <c r="H237" s="11" t="inlineStr">
        <is>
          <t>Medium</t>
        </is>
      </c>
    </row>
    <row r="238" ht="42" customHeight="1">
      <c r="A238" s="11" t="inlineStr">
        <is>
          <t>TC_237</t>
        </is>
      </c>
      <c r="B238" s="12" t="inlineStr">
        <is>
          <t>ShopTab</t>
        </is>
      </c>
      <c r="C238" s="12" t="inlineStr">
        <is>
          <t>Verify API rate limiting 429 Too Many Requests response on ShopTab</t>
        </is>
      </c>
      <c r="D238" s="12" t="inlineStr">
        <is>
          <t>Send 100 rapid requests within 5 seconds to ShopTab public API endpoint.
Inspect response status.
Verify HTTP 429 rate limit error returned.</t>
        </is>
      </c>
      <c r="E238" s="12" t="inlineStr">
        <is>
          <t>Endpoint for ShopTab handles load within SLA response time limits with 0.0% errors.</t>
        </is>
      </c>
      <c r="F238" s="12" t="inlineStr">
        <is>
          <t>Not Executed</t>
        </is>
      </c>
      <c r="G238" s="13" t="inlineStr">
        <is>
          <t>Not Executed</t>
        </is>
      </c>
      <c r="H238" s="11" t="inlineStr">
        <is>
          <t>High</t>
        </is>
      </c>
    </row>
    <row r="239" ht="42" customHeight="1">
      <c r="A239" s="11" t="inlineStr">
        <is>
          <t>TC_238</t>
        </is>
      </c>
      <c r="B239" s="12" t="inlineStr">
        <is>
          <t>ShopTab</t>
        </is>
      </c>
      <c r="C239" s="12" t="inlineStr">
        <is>
          <t>Verify Supabase Row Level Security (RLS) policy enforcement on ShopTab</t>
        </is>
      </c>
      <c r="D239" s="12" t="inlineStr">
        <is>
          <t>Execute direct database query on ShopTab table without authorization header.
Inspect PostgreSQL response.
Verify RLS policy blocks unauthorized row access.</t>
        </is>
      </c>
      <c r="E239" s="12" t="inlineStr">
        <is>
          <t>Security control for ShopTab successfully blocks unauthorized access or malicious input.</t>
        </is>
      </c>
      <c r="F239" s="12" t="inlineStr">
        <is>
          <t>Not Executed</t>
        </is>
      </c>
      <c r="G239" s="13" t="inlineStr">
        <is>
          <t>Not Executed</t>
        </is>
      </c>
      <c r="H239" s="11" t="inlineStr">
        <is>
          <t>Medium</t>
        </is>
      </c>
    </row>
    <row r="240" ht="42" customHeight="1">
      <c r="A240" s="11" t="inlineStr">
        <is>
          <t>TC_239</t>
        </is>
      </c>
      <c r="B240" s="12" t="inlineStr">
        <is>
          <t>ShopTab</t>
        </is>
      </c>
      <c r="C240" s="12" t="inlineStr">
        <is>
          <t>Verify privileged route guard interception on unauthenticated access to ShopTab</t>
        </is>
      </c>
      <c r="D240" s="12" t="inlineStr">
        <is>
          <t>Attempt deep linking directly to protected route for ShopTab without auth token.
Inspect router behavior.
Verify request intercepted and redirected.</t>
        </is>
      </c>
      <c r="E240" s="12" t="inlineStr">
        <is>
          <t>Security control for ShopTab successfully blocks unauthorized access or malicious input.</t>
        </is>
      </c>
      <c r="F240" s="12" t="inlineStr">
        <is>
          <t>Not Executed</t>
        </is>
      </c>
      <c r="G240" s="13" t="inlineStr">
        <is>
          <t>Not Executed</t>
        </is>
      </c>
      <c r="H240" s="11" t="inlineStr">
        <is>
          <t>Medium</t>
        </is>
      </c>
    </row>
    <row r="241" ht="42" customHeight="1">
      <c r="A241" s="11" t="inlineStr">
        <is>
          <t>TC_240</t>
        </is>
      </c>
      <c r="B241" s="12" t="inlineStr">
        <is>
          <t>ShopTab</t>
        </is>
      </c>
      <c r="C241" s="12" t="inlineStr">
        <is>
          <t>Verify sensitive data masking and log exposure prevention for ShopTab</t>
        </is>
      </c>
      <c r="D241" s="12" t="inlineStr">
        <is>
          <t>Inspect application log output during operations on ShopTab.
Check password, token, and PII fields.
Verify sensitive fields masked or omitted.</t>
        </is>
      </c>
      <c r="E241" s="12" t="inlineStr">
        <is>
          <t>Verify expected behavior for ShopTab under Safe Vulnerability &amp; Security Checks scenario #10.</t>
        </is>
      </c>
      <c r="F241" s="12" t="inlineStr">
        <is>
          <t>Not Executed</t>
        </is>
      </c>
      <c r="G241" s="13" t="inlineStr">
        <is>
          <t>Not Executed</t>
        </is>
      </c>
      <c r="H241" s="11" t="inlineStr">
        <is>
          <t>High</t>
        </is>
      </c>
    </row>
    <row r="242" ht="42" customHeight="1">
      <c r="A242" s="11" t="inlineStr">
        <is>
          <t>TC_241</t>
        </is>
      </c>
      <c r="B242" s="12" t="inlineStr">
        <is>
          <t>BudgetProductCard</t>
        </is>
      </c>
      <c r="C242" s="12" t="inlineStr">
        <is>
          <t>Verify brute-force defense and authentication lockout rules on BudgetProductCard</t>
        </is>
      </c>
      <c r="D242" s="12" t="inlineStr">
        <is>
          <t>Submit 10 rapid invalid login/auth attempts on BudgetProductCard.
Inspect response headers.
Verify account locks after 5 attempts with 429 status.</t>
        </is>
      </c>
      <c r="E242" s="12" t="inlineStr">
        <is>
          <t>Security control for BudgetProductCard successfully blocks unauthorized access or malicious input.</t>
        </is>
      </c>
      <c r="F242" s="12" t="inlineStr">
        <is>
          <t>Not Executed</t>
        </is>
      </c>
      <c r="G242" s="13" t="inlineStr">
        <is>
          <t>Not Executed</t>
        </is>
      </c>
      <c r="H242" s="11" t="inlineStr">
        <is>
          <t>Medium</t>
        </is>
      </c>
    </row>
    <row r="243" ht="42" customHeight="1">
      <c r="A243" s="11" t="inlineStr">
        <is>
          <t>TC_242</t>
        </is>
      </c>
      <c r="B243" s="12" t="inlineStr">
        <is>
          <t>BudgetProductCard</t>
        </is>
      </c>
      <c r="C243" s="12" t="inlineStr">
        <is>
          <t>Verify role-based access control (RBAC) and IDOR vulnerability defense on BudgetProductCard</t>
        </is>
      </c>
      <c r="D243" s="12" t="inlineStr">
        <is>
          <t>Attempt accessing secondary user private resource on BudgetProductCard using non-owner JWT.
Inspect server response.
Verify access denied with 403 Forbidden.</t>
        </is>
      </c>
      <c r="E243" s="12" t="inlineStr">
        <is>
          <t>Security control for BudgetProductCard successfully blocks unauthorized access or malicious input.</t>
        </is>
      </c>
      <c r="F243" s="12" t="inlineStr">
        <is>
          <t>Not Executed</t>
        </is>
      </c>
      <c r="G243" s="13" t="inlineStr">
        <is>
          <t>Not Executed</t>
        </is>
      </c>
      <c r="H243" s="11" t="inlineStr">
        <is>
          <t>Medium</t>
        </is>
      </c>
    </row>
    <row r="244" ht="42" customHeight="1">
      <c r="A244" s="11" t="inlineStr">
        <is>
          <t>TC_243</t>
        </is>
      </c>
      <c r="B244" s="12" t="inlineStr">
        <is>
          <t>BudgetProductCard</t>
        </is>
      </c>
      <c r="C244" s="12" t="inlineStr">
        <is>
          <t>Verify session JWT token expiration and invalidation handling on BudgetProductCard</t>
        </is>
      </c>
      <c r="D244" s="12" t="inlineStr">
        <is>
          <t>Present expired JWT token to BudgetProductCard API endpoint.
Inspect response.
Verify session invalidated and redirected to login.</t>
        </is>
      </c>
      <c r="E244" s="12" t="inlineStr">
        <is>
          <t>Input validation on BudgetProductCard correctly enforces rules and displays error hints.</t>
        </is>
      </c>
      <c r="F244" s="12" t="inlineStr">
        <is>
          <t>Not Executed</t>
        </is>
      </c>
      <c r="G244" s="13" t="inlineStr">
        <is>
          <t>Not Executed</t>
        </is>
      </c>
      <c r="H244" s="11" t="inlineStr">
        <is>
          <t>High</t>
        </is>
      </c>
    </row>
    <row r="245" ht="42" customHeight="1">
      <c r="A245" s="11" t="inlineStr">
        <is>
          <t>TC_244</t>
        </is>
      </c>
      <c r="B245" s="12" t="inlineStr">
        <is>
          <t>BudgetProductCard</t>
        </is>
      </c>
      <c r="C245" s="12" t="inlineStr">
        <is>
          <t>Verify input sanitization and SQL injection defense on BudgetProductCard</t>
        </is>
      </c>
      <c r="D245" s="12" t="inlineStr">
        <is>
          <t>Submit safe SQLi test string `' OR '1'='1` into input fields on BudgetProductCard.
Inspect database query log.
Verify query parameterized without syntax error.</t>
        </is>
      </c>
      <c r="E245" s="12" t="inlineStr">
        <is>
          <t>Input validation on BudgetProductCard correctly enforces rules and displays error hints.</t>
        </is>
      </c>
      <c r="F245" s="12" t="inlineStr">
        <is>
          <t>Not Executed</t>
        </is>
      </c>
      <c r="G245" s="13" t="inlineStr">
        <is>
          <t>Not Executed</t>
        </is>
      </c>
      <c r="H245" s="11" t="inlineStr">
        <is>
          <t>Medium</t>
        </is>
      </c>
    </row>
    <row r="246" ht="42" customHeight="1">
      <c r="A246" s="11" t="inlineStr">
        <is>
          <t>TC_245</t>
        </is>
      </c>
      <c r="B246" s="12" t="inlineStr">
        <is>
          <t>BudgetProductCard</t>
        </is>
      </c>
      <c r="C246" s="12" t="inlineStr">
        <is>
          <t>Verify Cross-Site Scripting (XSS) DOM escaping and sanitization on BudgetProductCard</t>
        </is>
      </c>
      <c r="D246" s="12" t="inlineStr">
        <is>
          <t>Submit safe script tag `&lt;script&gt;alert(1)&lt;/script&gt;` into BudgetProductCard input fields.
Inspect rendered DOM node.
Verify string rendered as literal text without execution.</t>
        </is>
      </c>
      <c r="E246" s="12" t="inlineStr">
        <is>
          <t>Endpoint for BudgetProductCard handles load within SLA response time limits with 0.0% errors.</t>
        </is>
      </c>
      <c r="F246" s="12" t="inlineStr">
        <is>
          <t>Not Executed</t>
        </is>
      </c>
      <c r="G246" s="13" t="inlineStr">
        <is>
          <t>Not Executed</t>
        </is>
      </c>
      <c r="H246" s="11" t="inlineStr">
        <is>
          <t>Low</t>
        </is>
      </c>
    </row>
    <row r="247" ht="42" customHeight="1">
      <c r="A247" s="11" t="inlineStr">
        <is>
          <t>TC_246</t>
        </is>
      </c>
      <c r="B247" s="12" t="inlineStr">
        <is>
          <t>BudgetProductCard</t>
        </is>
      </c>
      <c r="C247" s="12" t="inlineStr">
        <is>
          <t>Verify TLS 1.3 transport layer encryption enforcement on BudgetProductCard</t>
        </is>
      </c>
      <c r="D247" s="12" t="inlineStr">
        <is>
          <t>Inspect network connection parameters for BudgetProductCard using security audit proxy.
Verify TLS 1.3/1.2 cipher suite.
Confirm insecure HTTP blocked.</t>
        </is>
      </c>
      <c r="E247" s="12" t="inlineStr">
        <is>
          <t>Verify expected behavior for BudgetProductCard under Safe Vulnerability &amp; Security Checks scenario #6.</t>
        </is>
      </c>
      <c r="F247" s="12" t="inlineStr">
        <is>
          <t>Not Executed</t>
        </is>
      </c>
      <c r="G247" s="13" t="inlineStr">
        <is>
          <t>Not Executed</t>
        </is>
      </c>
      <c r="H247" s="11" t="inlineStr">
        <is>
          <t>High</t>
        </is>
      </c>
    </row>
    <row r="248" ht="42" customHeight="1">
      <c r="A248" s="11" t="inlineStr">
        <is>
          <t>TC_247</t>
        </is>
      </c>
      <c r="B248" s="12" t="inlineStr">
        <is>
          <t>BudgetProductCard</t>
        </is>
      </c>
      <c r="C248" s="12" t="inlineStr">
        <is>
          <t>Verify API rate limiting 429 Too Many Requests response on BudgetProductCard</t>
        </is>
      </c>
      <c r="D248" s="12" t="inlineStr">
        <is>
          <t>Send 100 rapid requests within 5 seconds to BudgetProductCard public API endpoint.
Inspect response status.
Verify HTTP 429 rate limit error returned.</t>
        </is>
      </c>
      <c r="E248" s="12" t="inlineStr">
        <is>
          <t>Endpoint for BudgetProductCard handles load within SLA response time limits with 0.0% errors.</t>
        </is>
      </c>
      <c r="F248" s="12" t="inlineStr">
        <is>
          <t>Not Executed</t>
        </is>
      </c>
      <c r="G248" s="13" t="inlineStr">
        <is>
          <t>Not Executed</t>
        </is>
      </c>
      <c r="H248" s="11" t="inlineStr">
        <is>
          <t>Medium</t>
        </is>
      </c>
    </row>
    <row r="249" ht="42" customHeight="1">
      <c r="A249" s="11" t="inlineStr">
        <is>
          <t>TC_248</t>
        </is>
      </c>
      <c r="B249" s="12" t="inlineStr">
        <is>
          <t>BudgetProductCard</t>
        </is>
      </c>
      <c r="C249" s="12" t="inlineStr">
        <is>
          <t>Verify Supabase Row Level Security (RLS) policy enforcement on BudgetProductCard</t>
        </is>
      </c>
      <c r="D249" s="12" t="inlineStr">
        <is>
          <t>Execute direct database query on BudgetProductCard table without authorization header.
Inspect PostgreSQL response.
Verify RLS policy blocks unauthorized row access.</t>
        </is>
      </c>
      <c r="E249" s="12" t="inlineStr">
        <is>
          <t>Security control for BudgetProductCard successfully blocks unauthorized access or malicious input.</t>
        </is>
      </c>
      <c r="F249" s="12" t="inlineStr">
        <is>
          <t>Not Executed</t>
        </is>
      </c>
      <c r="G249" s="13" t="inlineStr">
        <is>
          <t>Not Executed</t>
        </is>
      </c>
      <c r="H249" s="11" t="inlineStr">
        <is>
          <t>Medium</t>
        </is>
      </c>
    </row>
    <row r="250" ht="42" customHeight="1">
      <c r="A250" s="11" t="inlineStr">
        <is>
          <t>TC_249</t>
        </is>
      </c>
      <c r="B250" s="12" t="inlineStr">
        <is>
          <t>BudgetProductCard</t>
        </is>
      </c>
      <c r="C250" s="12" t="inlineStr">
        <is>
          <t>Verify privileged route guard interception on unauthenticated access to BudgetProductCard</t>
        </is>
      </c>
      <c r="D250" s="12" t="inlineStr">
        <is>
          <t>Attempt deep linking directly to protected route for BudgetProductCard without auth token.
Inspect router behavior.
Verify request intercepted and redirected.</t>
        </is>
      </c>
      <c r="E250" s="12" t="inlineStr">
        <is>
          <t>Security control for BudgetProductCard successfully blocks unauthorized access or malicious input.</t>
        </is>
      </c>
      <c r="F250" s="12" t="inlineStr">
        <is>
          <t>Not Executed</t>
        </is>
      </c>
      <c r="G250" s="13" t="inlineStr">
        <is>
          <t>Not Executed</t>
        </is>
      </c>
      <c r="H250" s="11" t="inlineStr">
        <is>
          <t>High</t>
        </is>
      </c>
    </row>
    <row r="251" ht="42" customHeight="1">
      <c r="A251" s="11" t="inlineStr">
        <is>
          <t>TC_250</t>
        </is>
      </c>
      <c r="B251" s="12" t="inlineStr">
        <is>
          <t>BudgetProductCard</t>
        </is>
      </c>
      <c r="C251" s="12" t="inlineStr">
        <is>
          <t>Verify sensitive data masking and log exposure prevention for BudgetProductCard</t>
        </is>
      </c>
      <c r="D251" s="12" t="inlineStr">
        <is>
          <t>Inspect application log output during operations on BudgetProductCard.
Check password, token, and PII fields.
Verify sensitive fields masked or omitted.</t>
        </is>
      </c>
      <c r="E251" s="12" t="inlineStr">
        <is>
          <t>Verify expected behavior for BudgetProductCard under Safe Vulnerability &amp; Security Checks scenario #10.</t>
        </is>
      </c>
      <c r="F251" s="12" t="inlineStr">
        <is>
          <t>Not Executed</t>
        </is>
      </c>
      <c r="G251" s="13" t="inlineStr">
        <is>
          <t>Not Executed</t>
        </is>
      </c>
      <c r="H251" s="11" t="inlineStr">
        <is>
          <t>Low</t>
        </is>
      </c>
    </row>
    <row r="252" ht="42" customHeight="1">
      <c r="A252" s="11" t="inlineStr">
        <is>
          <t>TC_251</t>
        </is>
      </c>
      <c r="B252" s="12" t="inlineStr">
        <is>
          <t>CartScreen</t>
        </is>
      </c>
      <c r="C252" s="12" t="inlineStr">
        <is>
          <t>Verify brute-force defense and authentication lockout rules on CartScreen</t>
        </is>
      </c>
      <c r="D252" s="12" t="inlineStr">
        <is>
          <t>Submit 10 rapid invalid login/auth attempts on CartScreen.
Inspect response headers.
Verify account locks after 5 attempts with 429 status.</t>
        </is>
      </c>
      <c r="E252" s="12" t="inlineStr">
        <is>
          <t>Security control for CartScreen successfully blocks unauthorized access or malicious input.</t>
        </is>
      </c>
      <c r="F252" s="12" t="inlineStr">
        <is>
          <t>Not Executed</t>
        </is>
      </c>
      <c r="G252" s="13" t="inlineStr">
        <is>
          <t>Not Executed</t>
        </is>
      </c>
      <c r="H252" s="11" t="inlineStr">
        <is>
          <t>Medium</t>
        </is>
      </c>
    </row>
    <row r="253" ht="42" customHeight="1">
      <c r="A253" s="11" t="inlineStr">
        <is>
          <t>TC_252</t>
        </is>
      </c>
      <c r="B253" s="12" t="inlineStr">
        <is>
          <t>CartScreen</t>
        </is>
      </c>
      <c r="C253" s="12" t="inlineStr">
        <is>
          <t>Verify role-based access control (RBAC) and IDOR vulnerability defense on CartScreen</t>
        </is>
      </c>
      <c r="D253" s="12" t="inlineStr">
        <is>
          <t>Attempt accessing secondary user private resource on CartScreen using non-owner JWT.
Inspect server response.
Verify access denied with 403 Forbidden.</t>
        </is>
      </c>
      <c r="E253" s="12" t="inlineStr">
        <is>
          <t>Security control for CartScreen successfully blocks unauthorized access or malicious input.</t>
        </is>
      </c>
      <c r="F253" s="12" t="inlineStr">
        <is>
          <t>Not Executed</t>
        </is>
      </c>
      <c r="G253" s="13" t="inlineStr">
        <is>
          <t>Not Executed</t>
        </is>
      </c>
      <c r="H253" s="11" t="inlineStr">
        <is>
          <t>High</t>
        </is>
      </c>
    </row>
    <row r="254" ht="42" customHeight="1">
      <c r="A254" s="11" t="inlineStr">
        <is>
          <t>TC_253</t>
        </is>
      </c>
      <c r="B254" s="12" t="inlineStr">
        <is>
          <t>CartScreen</t>
        </is>
      </c>
      <c r="C254" s="12" t="inlineStr">
        <is>
          <t>Verify session JWT token expiration and invalidation handling on CartScreen</t>
        </is>
      </c>
      <c r="D254" s="12" t="inlineStr">
        <is>
          <t>Present expired JWT token to CartScreen API endpoint.
Inspect response.
Verify session invalidated and redirected to login.</t>
        </is>
      </c>
      <c r="E254" s="12" t="inlineStr">
        <is>
          <t>Input validation on CartScreen correctly enforces rules and displays error hints.</t>
        </is>
      </c>
      <c r="F254" s="12" t="inlineStr">
        <is>
          <t>Not Executed</t>
        </is>
      </c>
      <c r="G254" s="13" t="inlineStr">
        <is>
          <t>Not Executed</t>
        </is>
      </c>
      <c r="H254" s="11" t="inlineStr">
        <is>
          <t>Medium</t>
        </is>
      </c>
    </row>
    <row r="255" ht="42" customHeight="1">
      <c r="A255" s="11" t="inlineStr">
        <is>
          <t>TC_254</t>
        </is>
      </c>
      <c r="B255" s="12" t="inlineStr">
        <is>
          <t>CartScreen</t>
        </is>
      </c>
      <c r="C255" s="12" t="inlineStr">
        <is>
          <t>Verify input sanitization and SQL injection defense on CartScreen</t>
        </is>
      </c>
      <c r="D255" s="12" t="inlineStr">
        <is>
          <t>Submit safe SQLi test string `' OR '1'='1` into input fields on CartScreen.
Inspect database query log.
Verify query parameterized without syntax error.</t>
        </is>
      </c>
      <c r="E255" s="12" t="inlineStr">
        <is>
          <t>Input validation on CartScreen correctly enforces rules and displays error hints.</t>
        </is>
      </c>
      <c r="F255" s="12" t="inlineStr">
        <is>
          <t>Not Executed</t>
        </is>
      </c>
      <c r="G255" s="13" t="inlineStr">
        <is>
          <t>Not Executed</t>
        </is>
      </c>
      <c r="H255" s="11" t="inlineStr">
        <is>
          <t>Medium</t>
        </is>
      </c>
    </row>
    <row r="256" ht="42" customHeight="1">
      <c r="A256" s="11" t="inlineStr">
        <is>
          <t>TC_255</t>
        </is>
      </c>
      <c r="B256" s="12" t="inlineStr">
        <is>
          <t>CartScreen</t>
        </is>
      </c>
      <c r="C256" s="12" t="inlineStr">
        <is>
          <t>Verify Cross-Site Scripting (XSS) DOM escaping and sanitization on CartScreen</t>
        </is>
      </c>
      <c r="D256" s="12" t="inlineStr">
        <is>
          <t>Submit safe script tag `&lt;script&gt;alert(1)&lt;/script&gt;` into CartScreen input fields.
Inspect rendered DOM node.
Verify string rendered as literal text without execution.</t>
        </is>
      </c>
      <c r="E256" s="12" t="inlineStr">
        <is>
          <t>Endpoint for CartScreen handles load within SLA response time limits with 0.0% errors.</t>
        </is>
      </c>
      <c r="F256" s="12" t="inlineStr">
        <is>
          <t>Not Executed</t>
        </is>
      </c>
      <c r="G256" s="13" t="inlineStr">
        <is>
          <t>Not Executed</t>
        </is>
      </c>
      <c r="H256" s="11" t="inlineStr">
        <is>
          <t>High</t>
        </is>
      </c>
    </row>
    <row r="257" ht="42" customHeight="1">
      <c r="A257" s="11" t="inlineStr">
        <is>
          <t>TC_256</t>
        </is>
      </c>
      <c r="B257" s="12" t="inlineStr">
        <is>
          <t>CartScreen</t>
        </is>
      </c>
      <c r="C257" s="12" t="inlineStr">
        <is>
          <t>Verify TLS 1.3 transport layer encryption enforcement on CartScreen</t>
        </is>
      </c>
      <c r="D257" s="12" t="inlineStr">
        <is>
          <t>Inspect network connection parameters for CartScreen using security audit proxy.
Verify TLS 1.3/1.2 cipher suite.
Confirm insecure HTTP blocked.</t>
        </is>
      </c>
      <c r="E257" s="12" t="inlineStr">
        <is>
          <t>Verify expected behavior for CartScreen under Safe Vulnerability &amp; Security Checks scenario #6.</t>
        </is>
      </c>
      <c r="F257" s="12" t="inlineStr">
        <is>
          <t>Not Executed</t>
        </is>
      </c>
      <c r="G257" s="13" t="inlineStr">
        <is>
          <t>Not Executed</t>
        </is>
      </c>
      <c r="H257" s="11" t="inlineStr">
        <is>
          <t>Medium</t>
        </is>
      </c>
    </row>
    <row r="258" ht="42" customHeight="1">
      <c r="A258" s="11" t="inlineStr">
        <is>
          <t>TC_257</t>
        </is>
      </c>
      <c r="B258" s="12" t="inlineStr">
        <is>
          <t>CartScreen</t>
        </is>
      </c>
      <c r="C258" s="12" t="inlineStr">
        <is>
          <t>Verify API rate limiting 429 Too Many Requests response on CartScreen</t>
        </is>
      </c>
      <c r="D258" s="12" t="inlineStr">
        <is>
          <t>Send 100 rapid requests within 5 seconds to CartScreen public API endpoint.
Inspect response status.
Verify HTTP 429 rate limit error returned.</t>
        </is>
      </c>
      <c r="E258" s="12" t="inlineStr">
        <is>
          <t>Endpoint for CartScreen handles load within SLA response time limits with 0.0% errors.</t>
        </is>
      </c>
      <c r="F258" s="12" t="inlineStr">
        <is>
          <t>Not Executed</t>
        </is>
      </c>
      <c r="G258" s="13" t="inlineStr">
        <is>
          <t>Not Executed</t>
        </is>
      </c>
      <c r="H258" s="11" t="inlineStr">
        <is>
          <t>Medium</t>
        </is>
      </c>
    </row>
    <row r="259" ht="42" customHeight="1">
      <c r="A259" s="11" t="inlineStr">
        <is>
          <t>TC_258</t>
        </is>
      </c>
      <c r="B259" s="12" t="inlineStr">
        <is>
          <t>CartScreen</t>
        </is>
      </c>
      <c r="C259" s="12" t="inlineStr">
        <is>
          <t>Verify Supabase Row Level Security (RLS) policy enforcement on CartScreen</t>
        </is>
      </c>
      <c r="D259" s="12" t="inlineStr">
        <is>
          <t>Execute direct database query on CartScreen table without authorization header.
Inspect PostgreSQL response.
Verify RLS policy blocks unauthorized row access.</t>
        </is>
      </c>
      <c r="E259" s="12" t="inlineStr">
        <is>
          <t>Security control for CartScreen successfully blocks unauthorized access or malicious input.</t>
        </is>
      </c>
      <c r="F259" s="12" t="inlineStr">
        <is>
          <t>Not Executed</t>
        </is>
      </c>
      <c r="G259" s="13" t="inlineStr">
        <is>
          <t>Not Executed</t>
        </is>
      </c>
      <c r="H259" s="11" t="inlineStr">
        <is>
          <t>High</t>
        </is>
      </c>
    </row>
    <row r="260" ht="42" customHeight="1">
      <c r="A260" s="11" t="inlineStr">
        <is>
          <t>TC_259</t>
        </is>
      </c>
      <c r="B260" s="12" t="inlineStr">
        <is>
          <t>CartScreen</t>
        </is>
      </c>
      <c r="C260" s="12" t="inlineStr">
        <is>
          <t>Verify privileged route guard interception on unauthenticated access to CartScreen</t>
        </is>
      </c>
      <c r="D260" s="12" t="inlineStr">
        <is>
          <t>Attempt deep linking directly to protected route for CartScreen without auth token.
Inspect router behavior.
Verify request intercepted and redirected.</t>
        </is>
      </c>
      <c r="E260" s="12" t="inlineStr">
        <is>
          <t>Security control for CartScreen successfully blocks unauthorized access or malicious input.</t>
        </is>
      </c>
      <c r="F260" s="12" t="inlineStr">
        <is>
          <t>Not Executed</t>
        </is>
      </c>
      <c r="G260" s="13" t="inlineStr">
        <is>
          <t>Not Executed</t>
        </is>
      </c>
      <c r="H260" s="11" t="inlineStr">
        <is>
          <t>Medium</t>
        </is>
      </c>
    </row>
    <row r="261" ht="42" customHeight="1">
      <c r="A261" s="11" t="inlineStr">
        <is>
          <t>TC_260</t>
        </is>
      </c>
      <c r="B261" s="12" t="inlineStr">
        <is>
          <t>CartScreen</t>
        </is>
      </c>
      <c r="C261" s="12" t="inlineStr">
        <is>
          <t>Verify sensitive data masking and log exposure prevention for CartScreen</t>
        </is>
      </c>
      <c r="D261" s="12" t="inlineStr">
        <is>
          <t>Inspect application log output during operations on CartScreen.
Check password, token, and PII fields.
Verify sensitive fields masked or omitted.</t>
        </is>
      </c>
      <c r="E261" s="12" t="inlineStr">
        <is>
          <t>Verify expected behavior for CartScreen under Safe Vulnerability &amp; Security Checks scenario #10.</t>
        </is>
      </c>
      <c r="F261" s="12" t="inlineStr">
        <is>
          <t>Not Executed</t>
        </is>
      </c>
      <c r="G261" s="13" t="inlineStr">
        <is>
          <t>Not Executed</t>
        </is>
      </c>
      <c r="H261" s="11" t="inlineStr">
        <is>
          <t>Low</t>
        </is>
      </c>
    </row>
    <row r="262" ht="42" customHeight="1">
      <c r="A262" s="11" t="inlineStr">
        <is>
          <t>TC_261</t>
        </is>
      </c>
      <c r="B262" s="12" t="inlineStr">
        <is>
          <t>CheckoutScreen</t>
        </is>
      </c>
      <c r="C262" s="12" t="inlineStr">
        <is>
          <t>Verify brute-force defense and authentication lockout rules on CheckoutScreen</t>
        </is>
      </c>
      <c r="D262" s="12" t="inlineStr">
        <is>
          <t>Submit 10 rapid invalid login/auth attempts on CheckoutScreen.
Inspect response headers.
Verify account locks after 5 attempts with 429 status.</t>
        </is>
      </c>
      <c r="E262" s="12" t="inlineStr">
        <is>
          <t>Security control for CheckoutScreen successfully blocks unauthorized access or malicious input.</t>
        </is>
      </c>
      <c r="F262" s="12" t="inlineStr">
        <is>
          <t>Not Executed</t>
        </is>
      </c>
      <c r="G262" s="13" t="inlineStr">
        <is>
          <t>Not Executed</t>
        </is>
      </c>
      <c r="H262" s="11" t="inlineStr">
        <is>
          <t>High</t>
        </is>
      </c>
    </row>
    <row r="263" ht="42" customHeight="1">
      <c r="A263" s="11" t="inlineStr">
        <is>
          <t>TC_262</t>
        </is>
      </c>
      <c r="B263" s="12" t="inlineStr">
        <is>
          <t>CheckoutScreen</t>
        </is>
      </c>
      <c r="C263" s="12" t="inlineStr">
        <is>
          <t>Verify role-based access control (RBAC) and IDOR vulnerability defense on CheckoutScreen</t>
        </is>
      </c>
      <c r="D263" s="12" t="inlineStr">
        <is>
          <t>Attempt accessing secondary user private resource on CheckoutScreen using non-owner JWT.
Inspect server response.
Verify access denied with 403 Forbidden.</t>
        </is>
      </c>
      <c r="E263" s="12" t="inlineStr">
        <is>
          <t>Security control for CheckoutScreen successfully blocks unauthorized access or malicious input.</t>
        </is>
      </c>
      <c r="F263" s="12" t="inlineStr">
        <is>
          <t>Not Executed</t>
        </is>
      </c>
      <c r="G263" s="13" t="inlineStr">
        <is>
          <t>Not Executed</t>
        </is>
      </c>
      <c r="H263" s="11" t="inlineStr">
        <is>
          <t>Medium</t>
        </is>
      </c>
    </row>
    <row r="264" ht="42" customHeight="1">
      <c r="A264" s="11" t="inlineStr">
        <is>
          <t>TC_263</t>
        </is>
      </c>
      <c r="B264" s="12" t="inlineStr">
        <is>
          <t>CheckoutScreen</t>
        </is>
      </c>
      <c r="C264" s="12" t="inlineStr">
        <is>
          <t>Verify session JWT token expiration and invalidation handling on CheckoutScreen</t>
        </is>
      </c>
      <c r="D264" s="12" t="inlineStr">
        <is>
          <t>Present expired JWT token to CheckoutScreen API endpoint.
Inspect response.
Verify session invalidated and redirected to login.</t>
        </is>
      </c>
      <c r="E264" s="12" t="inlineStr">
        <is>
          <t>Input validation on CheckoutScreen correctly enforces rules and displays error hints.</t>
        </is>
      </c>
      <c r="F264" s="12" t="inlineStr">
        <is>
          <t>Not Executed</t>
        </is>
      </c>
      <c r="G264" s="13" t="inlineStr">
        <is>
          <t>Not Executed</t>
        </is>
      </c>
      <c r="H264" s="11" t="inlineStr">
        <is>
          <t>Medium</t>
        </is>
      </c>
    </row>
    <row r="265" ht="42" customHeight="1">
      <c r="A265" s="11" t="inlineStr">
        <is>
          <t>TC_264</t>
        </is>
      </c>
      <c r="B265" s="12" t="inlineStr">
        <is>
          <t>CheckoutScreen</t>
        </is>
      </c>
      <c r="C265" s="12" t="inlineStr">
        <is>
          <t>Verify input sanitization and SQL injection defense on CheckoutScreen</t>
        </is>
      </c>
      <c r="D265" s="12" t="inlineStr">
        <is>
          <t>Submit safe SQLi test string `' OR '1'='1` into input fields on CheckoutScreen.
Inspect database query log.
Verify query parameterized without syntax error.</t>
        </is>
      </c>
      <c r="E265" s="12" t="inlineStr">
        <is>
          <t>Input validation on CheckoutScreen correctly enforces rules and displays error hints.</t>
        </is>
      </c>
      <c r="F265" s="12" t="inlineStr">
        <is>
          <t>Not Executed</t>
        </is>
      </c>
      <c r="G265" s="13" t="inlineStr">
        <is>
          <t>Not Executed</t>
        </is>
      </c>
      <c r="H265" s="11" t="inlineStr">
        <is>
          <t>High</t>
        </is>
      </c>
    </row>
    <row r="266" ht="42" customHeight="1">
      <c r="A266" s="11" t="inlineStr">
        <is>
          <t>TC_265</t>
        </is>
      </c>
      <c r="B266" s="12" t="inlineStr">
        <is>
          <t>CheckoutScreen</t>
        </is>
      </c>
      <c r="C266" s="12" t="inlineStr">
        <is>
          <t>Verify Cross-Site Scripting (XSS) DOM escaping and sanitization on CheckoutScreen</t>
        </is>
      </c>
      <c r="D266" s="12" t="inlineStr">
        <is>
          <t>Submit safe script tag `&lt;script&gt;alert(1)&lt;/script&gt;` into CheckoutScreen input fields.
Inspect rendered DOM node.
Verify string rendered as literal text without execution.</t>
        </is>
      </c>
      <c r="E266" s="12" t="inlineStr">
        <is>
          <t>Endpoint for CheckoutScreen handles load within SLA response time limits with 0.0% errors.</t>
        </is>
      </c>
      <c r="F266" s="12" t="inlineStr">
        <is>
          <t>Not Executed</t>
        </is>
      </c>
      <c r="G266" s="13" t="inlineStr">
        <is>
          <t>Not Executed</t>
        </is>
      </c>
      <c r="H266" s="11" t="inlineStr">
        <is>
          <t>Low</t>
        </is>
      </c>
    </row>
    <row r="267" ht="42" customHeight="1">
      <c r="A267" s="11" t="inlineStr">
        <is>
          <t>TC_266</t>
        </is>
      </c>
      <c r="B267" s="12" t="inlineStr">
        <is>
          <t>CheckoutScreen</t>
        </is>
      </c>
      <c r="C267" s="12" t="inlineStr">
        <is>
          <t>Verify TLS 1.3 transport layer encryption enforcement on CheckoutScreen</t>
        </is>
      </c>
      <c r="D267" s="12" t="inlineStr">
        <is>
          <t>Inspect network connection parameters for CheckoutScreen using security audit proxy.
Verify TLS 1.3/1.2 cipher suite.
Confirm insecure HTTP blocked.</t>
        </is>
      </c>
      <c r="E267" s="12" t="inlineStr">
        <is>
          <t>Verify expected behavior for CheckoutScreen under Safe Vulnerability &amp; Security Checks scenario #6.</t>
        </is>
      </c>
      <c r="F267" s="12" t="inlineStr">
        <is>
          <t>Not Executed</t>
        </is>
      </c>
      <c r="G267" s="13" t="inlineStr">
        <is>
          <t>Not Executed</t>
        </is>
      </c>
      <c r="H267" s="11" t="inlineStr">
        <is>
          <t>Medium</t>
        </is>
      </c>
    </row>
    <row r="268" ht="42" customHeight="1">
      <c r="A268" s="11" t="inlineStr">
        <is>
          <t>TC_267</t>
        </is>
      </c>
      <c r="B268" s="12" t="inlineStr">
        <is>
          <t>CheckoutScreen</t>
        </is>
      </c>
      <c r="C268" s="12" t="inlineStr">
        <is>
          <t>Verify API rate limiting 429 Too Many Requests response on CheckoutScreen</t>
        </is>
      </c>
      <c r="D268" s="12" t="inlineStr">
        <is>
          <t>Send 100 rapid requests within 5 seconds to CheckoutScreen public API endpoint.
Inspect response status.
Verify HTTP 429 rate limit error returned.</t>
        </is>
      </c>
      <c r="E268" s="12" t="inlineStr">
        <is>
          <t>Endpoint for CheckoutScreen handles load within SLA response time limits with 0.0% errors.</t>
        </is>
      </c>
      <c r="F268" s="12" t="inlineStr">
        <is>
          <t>Not Executed</t>
        </is>
      </c>
      <c r="G268" s="13" t="inlineStr">
        <is>
          <t>Not Executed</t>
        </is>
      </c>
      <c r="H268" s="11" t="inlineStr">
        <is>
          <t>High</t>
        </is>
      </c>
    </row>
    <row r="269" ht="42" customHeight="1">
      <c r="A269" s="11" t="inlineStr">
        <is>
          <t>TC_268</t>
        </is>
      </c>
      <c r="B269" s="12" t="inlineStr">
        <is>
          <t>CheckoutScreen</t>
        </is>
      </c>
      <c r="C269" s="12" t="inlineStr">
        <is>
          <t>Verify Supabase Row Level Security (RLS) policy enforcement on CheckoutScreen</t>
        </is>
      </c>
      <c r="D269" s="12" t="inlineStr">
        <is>
          <t>Execute direct database query on CheckoutScreen table without authorization header.
Inspect PostgreSQL response.
Verify RLS policy blocks unauthorized row access.</t>
        </is>
      </c>
      <c r="E269" s="12" t="inlineStr">
        <is>
          <t>Security control for CheckoutScreen successfully blocks unauthorized access or malicious input.</t>
        </is>
      </c>
      <c r="F269" s="12" t="inlineStr">
        <is>
          <t>Not Executed</t>
        </is>
      </c>
      <c r="G269" s="13" t="inlineStr">
        <is>
          <t>Not Executed</t>
        </is>
      </c>
      <c r="H269" s="11" t="inlineStr">
        <is>
          <t>Medium</t>
        </is>
      </c>
    </row>
    <row r="270" ht="42" customHeight="1">
      <c r="A270" s="11" t="inlineStr">
        <is>
          <t>TC_269</t>
        </is>
      </c>
      <c r="B270" s="12" t="inlineStr">
        <is>
          <t>CheckoutScreen</t>
        </is>
      </c>
      <c r="C270" s="12" t="inlineStr">
        <is>
          <t>Verify privileged route guard interception on unauthenticated access to CheckoutScreen</t>
        </is>
      </c>
      <c r="D270" s="12" t="inlineStr">
        <is>
          <t>Attempt deep linking directly to protected route for CheckoutScreen without auth token.
Inspect router behavior.
Verify request intercepted and redirected.</t>
        </is>
      </c>
      <c r="E270" s="12" t="inlineStr">
        <is>
          <t>Security control for CheckoutScreen successfully blocks unauthorized access or malicious input.</t>
        </is>
      </c>
      <c r="F270" s="12" t="inlineStr">
        <is>
          <t>Not Executed</t>
        </is>
      </c>
      <c r="G270" s="13" t="inlineStr">
        <is>
          <t>Not Executed</t>
        </is>
      </c>
      <c r="H270" s="11" t="inlineStr">
        <is>
          <t>Medium</t>
        </is>
      </c>
    </row>
    <row r="271" ht="42" customHeight="1">
      <c r="A271" s="11" t="inlineStr">
        <is>
          <t>TC_270</t>
        </is>
      </c>
      <c r="B271" s="12" t="inlineStr">
        <is>
          <t>CheckoutScreen</t>
        </is>
      </c>
      <c r="C271" s="12" t="inlineStr">
        <is>
          <t>Verify sensitive data masking and log exposure prevention for CheckoutScreen</t>
        </is>
      </c>
      <c r="D271" s="12" t="inlineStr">
        <is>
          <t>Inspect application log output during operations on CheckoutScreen.
Check password, token, and PII fields.
Verify sensitive fields masked or omitted.</t>
        </is>
      </c>
      <c r="E271" s="12" t="inlineStr">
        <is>
          <t>Verify expected behavior for CheckoutScreen under Safe Vulnerability &amp; Security Checks scenario #10.</t>
        </is>
      </c>
      <c r="F271" s="12" t="inlineStr">
        <is>
          <t>Not Executed</t>
        </is>
      </c>
      <c r="G271" s="13" t="inlineStr">
        <is>
          <t>Not Executed</t>
        </is>
      </c>
      <c r="H271" s="11" t="inlineStr">
        <is>
          <t>High</t>
        </is>
      </c>
    </row>
    <row r="272" ht="42" customHeight="1">
      <c r="A272" s="11" t="inlineStr">
        <is>
          <t>TC_271</t>
        </is>
      </c>
      <c r="B272" s="12" t="inlineStr">
        <is>
          <t>AddressManagementSection</t>
        </is>
      </c>
      <c r="C272" s="12" t="inlineStr">
        <is>
          <t>Verify brute-force defense and authentication lockout rules on AddressManagementSection</t>
        </is>
      </c>
      <c r="D272" s="12" t="inlineStr">
        <is>
          <t>Submit 10 rapid invalid login/auth attempts on AddressManagementSection.
Inspect response headers.
Verify account locks after 5 attempts with 429 status.</t>
        </is>
      </c>
      <c r="E272" s="12" t="inlineStr">
        <is>
          <t>Security control for AddressManagementSection successfully blocks unauthorized access or malicious input.</t>
        </is>
      </c>
      <c r="F272" s="12" t="inlineStr">
        <is>
          <t>Not Executed</t>
        </is>
      </c>
      <c r="G272" s="13" t="inlineStr">
        <is>
          <t>Not Executed</t>
        </is>
      </c>
      <c r="H272" s="11" t="inlineStr">
        <is>
          <t>Medium</t>
        </is>
      </c>
    </row>
    <row r="273" ht="42" customHeight="1">
      <c r="A273" s="11" t="inlineStr">
        <is>
          <t>TC_272</t>
        </is>
      </c>
      <c r="B273" s="12" t="inlineStr">
        <is>
          <t>AddressManagementSection</t>
        </is>
      </c>
      <c r="C273" s="12" t="inlineStr">
        <is>
          <t>Verify role-based access control (RBAC) and IDOR vulnerability defense on AddressManagementSection</t>
        </is>
      </c>
      <c r="D273" s="12" t="inlineStr">
        <is>
          <t>Attempt accessing secondary user private resource on AddressManagementSection using non-owner JWT.
Inspect server response.
Verify access denied with 403 Forbidden.</t>
        </is>
      </c>
      <c r="E273" s="12" t="inlineStr">
        <is>
          <t>Security control for AddressManagementSection successfully blocks unauthorized access or malicious input.</t>
        </is>
      </c>
      <c r="F273" s="12" t="inlineStr">
        <is>
          <t>Not Executed</t>
        </is>
      </c>
      <c r="G273" s="13" t="inlineStr">
        <is>
          <t>Not Executed</t>
        </is>
      </c>
      <c r="H273" s="11" t="inlineStr">
        <is>
          <t>Medium</t>
        </is>
      </c>
    </row>
    <row r="274" ht="42" customHeight="1">
      <c r="A274" s="11" t="inlineStr">
        <is>
          <t>TC_273</t>
        </is>
      </c>
      <c r="B274" s="12" t="inlineStr">
        <is>
          <t>AddressManagementSection</t>
        </is>
      </c>
      <c r="C274" s="12" t="inlineStr">
        <is>
          <t>Verify session JWT token expiration and invalidation handling on AddressManagementSection</t>
        </is>
      </c>
      <c r="D274" s="12" t="inlineStr">
        <is>
          <t>Present expired JWT token to AddressManagementSection API endpoint.
Inspect response.
Verify session invalidated and redirected to login.</t>
        </is>
      </c>
      <c r="E274" s="12" t="inlineStr">
        <is>
          <t>Input validation on AddressManagementSection correctly enforces rules and displays error hints.</t>
        </is>
      </c>
      <c r="F274" s="12" t="inlineStr">
        <is>
          <t>Not Executed</t>
        </is>
      </c>
      <c r="G274" s="13" t="inlineStr">
        <is>
          <t>Not Executed</t>
        </is>
      </c>
      <c r="H274" s="11" t="inlineStr">
        <is>
          <t>High</t>
        </is>
      </c>
    </row>
    <row r="275" ht="42" customHeight="1">
      <c r="A275" s="11" t="inlineStr">
        <is>
          <t>TC_274</t>
        </is>
      </c>
      <c r="B275" s="12" t="inlineStr">
        <is>
          <t>AddressManagementSection</t>
        </is>
      </c>
      <c r="C275" s="12" t="inlineStr">
        <is>
          <t>Verify input sanitization and SQL injection defense on AddressManagementSection</t>
        </is>
      </c>
      <c r="D275" s="12" t="inlineStr">
        <is>
          <t>Submit safe SQLi test string `' OR '1'='1` into input fields on AddressManagementSection.
Inspect database query log.
Verify query parameterized without syntax error.</t>
        </is>
      </c>
      <c r="E275" s="12" t="inlineStr">
        <is>
          <t>Input validation on AddressManagementSection correctly enforces rules and displays error hints.</t>
        </is>
      </c>
      <c r="F275" s="12" t="inlineStr">
        <is>
          <t>Not Executed</t>
        </is>
      </c>
      <c r="G275" s="13" t="inlineStr">
        <is>
          <t>Not Executed</t>
        </is>
      </c>
      <c r="H275" s="11" t="inlineStr">
        <is>
          <t>Medium</t>
        </is>
      </c>
    </row>
    <row r="276" ht="42" customHeight="1">
      <c r="A276" s="11" t="inlineStr">
        <is>
          <t>TC_275</t>
        </is>
      </c>
      <c r="B276" s="12" t="inlineStr">
        <is>
          <t>AddressManagementSection</t>
        </is>
      </c>
      <c r="C276" s="12" t="inlineStr">
        <is>
          <t>Verify Cross-Site Scripting (XSS) DOM escaping and sanitization on AddressManagementSection</t>
        </is>
      </c>
      <c r="D276" s="12" t="inlineStr">
        <is>
          <t>Submit safe script tag `&lt;script&gt;alert(1)&lt;/script&gt;` into AddressManagementSection input fields.
Inspect rendered DOM node.
Verify string rendered as literal text without execution.</t>
        </is>
      </c>
      <c r="E276" s="12" t="inlineStr">
        <is>
          <t>Endpoint for AddressManagementSection handles load within SLA response time limits with 0.0% errors.</t>
        </is>
      </c>
      <c r="F276" s="12" t="inlineStr">
        <is>
          <t>Not Executed</t>
        </is>
      </c>
      <c r="G276" s="13" t="inlineStr">
        <is>
          <t>Not Executed</t>
        </is>
      </c>
      <c r="H276" s="11" t="inlineStr">
        <is>
          <t>Low</t>
        </is>
      </c>
    </row>
    <row r="277" ht="42" customHeight="1">
      <c r="A277" s="11" t="inlineStr">
        <is>
          <t>TC_276</t>
        </is>
      </c>
      <c r="B277" s="12" t="inlineStr">
        <is>
          <t>AddressManagementSection</t>
        </is>
      </c>
      <c r="C277" s="12" t="inlineStr">
        <is>
          <t>Verify TLS 1.3 transport layer encryption enforcement on AddressManagementSection</t>
        </is>
      </c>
      <c r="D277" s="12" t="inlineStr">
        <is>
          <t>Inspect network connection parameters for AddressManagementSection using security audit proxy.
Verify TLS 1.3/1.2 cipher suite.
Confirm insecure HTTP blocked.</t>
        </is>
      </c>
      <c r="E277" s="12" t="inlineStr">
        <is>
          <t>Verify expected behavior for AddressManagementSection under Safe Vulnerability &amp; Security Checks scenario #6.</t>
        </is>
      </c>
      <c r="F277" s="12" t="inlineStr">
        <is>
          <t>Not Executed</t>
        </is>
      </c>
      <c r="G277" s="13" t="inlineStr">
        <is>
          <t>Not Executed</t>
        </is>
      </c>
      <c r="H277" s="11" t="inlineStr">
        <is>
          <t>High</t>
        </is>
      </c>
    </row>
    <row r="278" ht="42" customHeight="1">
      <c r="A278" s="11" t="inlineStr">
        <is>
          <t>TC_277</t>
        </is>
      </c>
      <c r="B278" s="12" t="inlineStr">
        <is>
          <t>AddressManagementSection</t>
        </is>
      </c>
      <c r="C278" s="12" t="inlineStr">
        <is>
          <t>Verify API rate limiting 429 Too Many Requests response on AddressManagementSection</t>
        </is>
      </c>
      <c r="D278" s="12" t="inlineStr">
        <is>
          <t>Send 100 rapid requests within 5 seconds to AddressManagementSection public API endpoint.
Inspect response status.
Verify HTTP 429 rate limit error returned.</t>
        </is>
      </c>
      <c r="E278" s="12" t="inlineStr">
        <is>
          <t>Endpoint for AddressManagementSection handles load within SLA response time limits with 0.0% errors.</t>
        </is>
      </c>
      <c r="F278" s="12" t="inlineStr">
        <is>
          <t>Not Executed</t>
        </is>
      </c>
      <c r="G278" s="13" t="inlineStr">
        <is>
          <t>Not Executed</t>
        </is>
      </c>
      <c r="H278" s="11" t="inlineStr">
        <is>
          <t>Medium</t>
        </is>
      </c>
    </row>
    <row r="279" ht="42" customHeight="1">
      <c r="A279" s="11" t="inlineStr">
        <is>
          <t>TC_278</t>
        </is>
      </c>
      <c r="B279" s="12" t="inlineStr">
        <is>
          <t>AddressManagementSection</t>
        </is>
      </c>
      <c r="C279" s="12" t="inlineStr">
        <is>
          <t>Verify Supabase Row Level Security (RLS) policy enforcement on AddressManagementSection</t>
        </is>
      </c>
      <c r="D279" s="12" t="inlineStr">
        <is>
          <t>Execute direct database query on AddressManagementSection table without authorization header.
Inspect PostgreSQL response.
Verify RLS policy blocks unauthorized row access.</t>
        </is>
      </c>
      <c r="E279" s="12" t="inlineStr">
        <is>
          <t>Security control for AddressManagementSection successfully blocks unauthorized access or malicious input.</t>
        </is>
      </c>
      <c r="F279" s="12" t="inlineStr">
        <is>
          <t>Not Executed</t>
        </is>
      </c>
      <c r="G279" s="13" t="inlineStr">
        <is>
          <t>Not Executed</t>
        </is>
      </c>
      <c r="H279" s="11" t="inlineStr">
        <is>
          <t>Medium</t>
        </is>
      </c>
    </row>
    <row r="280" ht="42" customHeight="1">
      <c r="A280" s="11" t="inlineStr">
        <is>
          <t>TC_279</t>
        </is>
      </c>
      <c r="B280" s="12" t="inlineStr">
        <is>
          <t>AddressManagementSection</t>
        </is>
      </c>
      <c r="C280" s="12" t="inlineStr">
        <is>
          <t>Verify privileged route guard interception on unauthenticated access to AddressManagementSection</t>
        </is>
      </c>
      <c r="D280" s="12" t="inlineStr">
        <is>
          <t>Attempt deep linking directly to protected route for AddressManagementSection without auth token.
Inspect router behavior.
Verify request intercepted and redirected.</t>
        </is>
      </c>
      <c r="E280" s="12" t="inlineStr">
        <is>
          <t>Security control for AddressManagementSection successfully blocks unauthorized access or malicious input.</t>
        </is>
      </c>
      <c r="F280" s="12" t="inlineStr">
        <is>
          <t>Not Executed</t>
        </is>
      </c>
      <c r="G280" s="13" t="inlineStr">
        <is>
          <t>Not Executed</t>
        </is>
      </c>
      <c r="H280" s="11" t="inlineStr">
        <is>
          <t>High</t>
        </is>
      </c>
    </row>
    <row r="281" ht="42" customHeight="1">
      <c r="A281" s="11" t="inlineStr">
        <is>
          <t>TC_280</t>
        </is>
      </c>
      <c r="B281" s="12" t="inlineStr">
        <is>
          <t>AddressManagementSection</t>
        </is>
      </c>
      <c r="C281" s="12" t="inlineStr">
        <is>
          <t>Verify sensitive data masking and log exposure prevention for AddressManagementSection</t>
        </is>
      </c>
      <c r="D281" s="12" t="inlineStr">
        <is>
          <t>Inspect application log output during operations on AddressManagementSection.
Check password, token, and PII fields.
Verify sensitive fields masked or omitted.</t>
        </is>
      </c>
      <c r="E281" s="12" t="inlineStr">
        <is>
          <t>Verify expected behavior for AddressManagementSection under Safe Vulnerability &amp; Security Checks scenario #10.</t>
        </is>
      </c>
      <c r="F281" s="12" t="inlineStr">
        <is>
          <t>Not Executed</t>
        </is>
      </c>
      <c r="G281" s="13" t="inlineStr">
        <is>
          <t>Not Executed</t>
        </is>
      </c>
      <c r="H281" s="11" t="inlineStr">
        <is>
          <t>Low</t>
        </is>
      </c>
    </row>
    <row r="282" ht="42" customHeight="1">
      <c r="A282" s="11" t="inlineStr">
        <is>
          <t>TC_281</t>
        </is>
      </c>
      <c r="B282" s="12" t="inlineStr">
        <is>
          <t>OrderConfirmationScreen</t>
        </is>
      </c>
      <c r="C282" s="12" t="inlineStr">
        <is>
          <t>Verify brute-force defense and authentication lockout rules on OrderConfirmationScreen</t>
        </is>
      </c>
      <c r="D282" s="12" t="inlineStr">
        <is>
          <t>Submit 10 rapid invalid login/auth attempts on OrderConfirmationScreen.
Inspect response headers.
Verify account locks after 5 attempts with 429 status.</t>
        </is>
      </c>
      <c r="E282" s="12" t="inlineStr">
        <is>
          <t>Security control for OrderConfirmationScreen successfully blocks unauthorized access or malicious input.</t>
        </is>
      </c>
      <c r="F282" s="12" t="inlineStr">
        <is>
          <t>Not Executed</t>
        </is>
      </c>
      <c r="G282" s="13" t="inlineStr">
        <is>
          <t>Not Executed</t>
        </is>
      </c>
      <c r="H282" s="11" t="inlineStr">
        <is>
          <t>Medium</t>
        </is>
      </c>
    </row>
    <row r="283" ht="42" customHeight="1">
      <c r="A283" s="11" t="inlineStr">
        <is>
          <t>TC_282</t>
        </is>
      </c>
      <c r="B283" s="12" t="inlineStr">
        <is>
          <t>OrderConfirmationScreen</t>
        </is>
      </c>
      <c r="C283" s="12" t="inlineStr">
        <is>
          <t>Verify role-based access control (RBAC) and IDOR vulnerability defense on OrderConfirmationScreen</t>
        </is>
      </c>
      <c r="D283" s="12" t="inlineStr">
        <is>
          <t>Attempt accessing secondary user private resource on OrderConfirmationScreen using non-owner JWT.
Inspect server response.
Verify access denied with 403 Forbidden.</t>
        </is>
      </c>
      <c r="E283" s="12" t="inlineStr">
        <is>
          <t>Security control for OrderConfirmationScreen successfully blocks unauthorized access or malicious input.</t>
        </is>
      </c>
      <c r="F283" s="12" t="inlineStr">
        <is>
          <t>Not Executed</t>
        </is>
      </c>
      <c r="G283" s="13" t="inlineStr">
        <is>
          <t>Not Executed</t>
        </is>
      </c>
      <c r="H283" s="11" t="inlineStr">
        <is>
          <t>High</t>
        </is>
      </c>
    </row>
    <row r="284" ht="42" customHeight="1">
      <c r="A284" s="11" t="inlineStr">
        <is>
          <t>TC_283</t>
        </is>
      </c>
      <c r="B284" s="12" t="inlineStr">
        <is>
          <t>OrderConfirmationScreen</t>
        </is>
      </c>
      <c r="C284" s="12" t="inlineStr">
        <is>
          <t>Verify session JWT token expiration and invalidation handling on OrderConfirmationScreen</t>
        </is>
      </c>
      <c r="D284" s="12" t="inlineStr">
        <is>
          <t>Present expired JWT token to OrderConfirmationScreen API endpoint.
Inspect response.
Verify session invalidated and redirected to login.</t>
        </is>
      </c>
      <c r="E284" s="12" t="inlineStr">
        <is>
          <t>Input validation on OrderConfirmationScreen correctly enforces rules and displays error hints.</t>
        </is>
      </c>
      <c r="F284" s="12" t="inlineStr">
        <is>
          <t>Not Executed</t>
        </is>
      </c>
      <c r="G284" s="13" t="inlineStr">
        <is>
          <t>Not Executed</t>
        </is>
      </c>
      <c r="H284" s="11" t="inlineStr">
        <is>
          <t>Medium</t>
        </is>
      </c>
    </row>
    <row r="285" ht="42" customHeight="1">
      <c r="A285" s="11" t="inlineStr">
        <is>
          <t>TC_284</t>
        </is>
      </c>
      <c r="B285" s="12" t="inlineStr">
        <is>
          <t>OrderConfirmationScreen</t>
        </is>
      </c>
      <c r="C285" s="12" t="inlineStr">
        <is>
          <t>Verify input sanitization and SQL injection defense on OrderConfirmationScreen</t>
        </is>
      </c>
      <c r="D285" s="12" t="inlineStr">
        <is>
          <t>Submit safe SQLi test string `' OR '1'='1` into input fields on OrderConfirmationScreen.
Inspect database query log.
Verify query parameterized without syntax error.</t>
        </is>
      </c>
      <c r="E285" s="12" t="inlineStr">
        <is>
          <t>Input validation on OrderConfirmationScreen correctly enforces rules and displays error hints.</t>
        </is>
      </c>
      <c r="F285" s="12" t="inlineStr">
        <is>
          <t>Not Executed</t>
        </is>
      </c>
      <c r="G285" s="13" t="inlineStr">
        <is>
          <t>Not Executed</t>
        </is>
      </c>
      <c r="H285" s="11" t="inlineStr">
        <is>
          <t>Medium</t>
        </is>
      </c>
    </row>
    <row r="286" ht="42" customHeight="1">
      <c r="A286" s="11" t="inlineStr">
        <is>
          <t>TC_285</t>
        </is>
      </c>
      <c r="B286" s="12" t="inlineStr">
        <is>
          <t>OrderConfirmationScreen</t>
        </is>
      </c>
      <c r="C286" s="12" t="inlineStr">
        <is>
          <t>Verify Cross-Site Scripting (XSS) DOM escaping and sanitization on OrderConfirmationScreen</t>
        </is>
      </c>
      <c r="D286" s="12" t="inlineStr">
        <is>
          <t>Submit safe script tag `&lt;script&gt;alert(1)&lt;/script&gt;` into OrderConfirmationScreen input fields.
Inspect rendered DOM node.
Verify string rendered as literal text without execution.</t>
        </is>
      </c>
      <c r="E286" s="12" t="inlineStr">
        <is>
          <t>Endpoint for OrderConfirmationScreen handles load within SLA response time limits with 0.0% errors.</t>
        </is>
      </c>
      <c r="F286" s="12" t="inlineStr">
        <is>
          <t>Not Executed</t>
        </is>
      </c>
      <c r="G286" s="13" t="inlineStr">
        <is>
          <t>Not Executed</t>
        </is>
      </c>
      <c r="H286" s="11" t="inlineStr">
        <is>
          <t>High</t>
        </is>
      </c>
    </row>
    <row r="287" ht="42" customHeight="1">
      <c r="A287" s="11" t="inlineStr">
        <is>
          <t>TC_286</t>
        </is>
      </c>
      <c r="B287" s="12" t="inlineStr">
        <is>
          <t>OrderConfirmationScreen</t>
        </is>
      </c>
      <c r="C287" s="12" t="inlineStr">
        <is>
          <t>Verify TLS 1.3 transport layer encryption enforcement on OrderConfirmationScreen</t>
        </is>
      </c>
      <c r="D287" s="12" t="inlineStr">
        <is>
          <t>Inspect network connection parameters for OrderConfirmationScreen using security audit proxy.
Verify TLS 1.3/1.2 cipher suite.
Confirm insecure HTTP blocked.</t>
        </is>
      </c>
      <c r="E287" s="12" t="inlineStr">
        <is>
          <t>Verify expected behavior for OrderConfirmationScreen under Safe Vulnerability &amp; Security Checks scenario #6.</t>
        </is>
      </c>
      <c r="F287" s="12" t="inlineStr">
        <is>
          <t>Not Executed</t>
        </is>
      </c>
      <c r="G287" s="13" t="inlineStr">
        <is>
          <t>Not Executed</t>
        </is>
      </c>
      <c r="H287" s="11" t="inlineStr">
        <is>
          <t>Medium</t>
        </is>
      </c>
    </row>
    <row r="288" ht="42" customHeight="1">
      <c r="A288" s="11" t="inlineStr">
        <is>
          <t>TC_287</t>
        </is>
      </c>
      <c r="B288" s="12" t="inlineStr">
        <is>
          <t>OrderConfirmationScreen</t>
        </is>
      </c>
      <c r="C288" s="12" t="inlineStr">
        <is>
          <t>Verify API rate limiting 429 Too Many Requests response on OrderConfirmationScreen</t>
        </is>
      </c>
      <c r="D288" s="12" t="inlineStr">
        <is>
          <t>Send 100 rapid requests within 5 seconds to OrderConfirmationScreen public API endpoint.
Inspect response status.
Verify HTTP 429 rate limit error returned.</t>
        </is>
      </c>
      <c r="E288" s="12" t="inlineStr">
        <is>
          <t>Endpoint for OrderConfirmationScreen handles load within SLA response time limits with 0.0% errors.</t>
        </is>
      </c>
      <c r="F288" s="12" t="inlineStr">
        <is>
          <t>Not Executed</t>
        </is>
      </c>
      <c r="G288" s="13" t="inlineStr">
        <is>
          <t>Not Executed</t>
        </is>
      </c>
      <c r="H288" s="11" t="inlineStr">
        <is>
          <t>Medium</t>
        </is>
      </c>
    </row>
    <row r="289" ht="42" customHeight="1">
      <c r="A289" s="11" t="inlineStr">
        <is>
          <t>TC_288</t>
        </is>
      </c>
      <c r="B289" s="12" t="inlineStr">
        <is>
          <t>OrderConfirmationScreen</t>
        </is>
      </c>
      <c r="C289" s="12" t="inlineStr">
        <is>
          <t>Verify Supabase Row Level Security (RLS) policy enforcement on OrderConfirmationScreen</t>
        </is>
      </c>
      <c r="D289" s="12" t="inlineStr">
        <is>
          <t>Execute direct database query on OrderConfirmationScreen table without authorization header.
Inspect PostgreSQL response.
Verify RLS policy blocks unauthorized row access.</t>
        </is>
      </c>
      <c r="E289" s="12" t="inlineStr">
        <is>
          <t>Security control for OrderConfirmationScreen successfully blocks unauthorized access or malicious input.</t>
        </is>
      </c>
      <c r="F289" s="12" t="inlineStr">
        <is>
          <t>Not Executed</t>
        </is>
      </c>
      <c r="G289" s="13" t="inlineStr">
        <is>
          <t>Not Executed</t>
        </is>
      </c>
      <c r="H289" s="11" t="inlineStr">
        <is>
          <t>High</t>
        </is>
      </c>
    </row>
    <row r="290" ht="42" customHeight="1">
      <c r="A290" s="11" t="inlineStr">
        <is>
          <t>TC_289</t>
        </is>
      </c>
      <c r="B290" s="12" t="inlineStr">
        <is>
          <t>OrderConfirmationScreen</t>
        </is>
      </c>
      <c r="C290" s="12" t="inlineStr">
        <is>
          <t>Verify privileged route guard interception on unauthenticated access to OrderConfirmationScreen</t>
        </is>
      </c>
      <c r="D290" s="12" t="inlineStr">
        <is>
          <t>Attempt deep linking directly to protected route for OrderConfirmationScreen without auth token.
Inspect router behavior.
Verify request intercepted and redirected.</t>
        </is>
      </c>
      <c r="E290" s="12" t="inlineStr">
        <is>
          <t>Security control for OrderConfirmationScreen successfully blocks unauthorized access or malicious input.</t>
        </is>
      </c>
      <c r="F290" s="12" t="inlineStr">
        <is>
          <t>Not Executed</t>
        </is>
      </c>
      <c r="G290" s="13" t="inlineStr">
        <is>
          <t>Not Executed</t>
        </is>
      </c>
      <c r="H290" s="11" t="inlineStr">
        <is>
          <t>Medium</t>
        </is>
      </c>
    </row>
    <row r="291" ht="42" customHeight="1">
      <c r="A291" s="11" t="inlineStr">
        <is>
          <t>TC_290</t>
        </is>
      </c>
      <c r="B291" s="12" t="inlineStr">
        <is>
          <t>OrderConfirmationScreen</t>
        </is>
      </c>
      <c r="C291" s="12" t="inlineStr">
        <is>
          <t>Verify sensitive data masking and log exposure prevention for OrderConfirmationScreen</t>
        </is>
      </c>
      <c r="D291" s="12" t="inlineStr">
        <is>
          <t>Inspect application log output during operations on OrderConfirmationScreen.
Check password, token, and PII fields.
Verify sensitive fields masked or omitted.</t>
        </is>
      </c>
      <c r="E291" s="12" t="inlineStr">
        <is>
          <t>Verify expected behavior for OrderConfirmationScreen under Safe Vulnerability &amp; Security Checks scenario #10.</t>
        </is>
      </c>
      <c r="F291" s="12" t="inlineStr">
        <is>
          <t>Not Executed</t>
        </is>
      </c>
      <c r="G291" s="13" t="inlineStr">
        <is>
          <t>Not Executed</t>
        </is>
      </c>
      <c r="H291" s="11" t="inlineStr">
        <is>
          <t>Low</t>
        </is>
      </c>
    </row>
    <row r="292" ht="42" customHeight="1">
      <c r="A292" s="11" t="inlineStr">
        <is>
          <t>TC_291</t>
        </is>
      </c>
      <c r="B292" s="12" t="inlineStr">
        <is>
          <t>MyOrdersScreen</t>
        </is>
      </c>
      <c r="C292" s="12" t="inlineStr">
        <is>
          <t>Verify brute-force defense and authentication lockout rules on MyOrdersScreen</t>
        </is>
      </c>
      <c r="D292" s="12" t="inlineStr">
        <is>
          <t>Submit 10 rapid invalid login/auth attempts on MyOrdersScreen.
Inspect response headers.
Verify account locks after 5 attempts with 429 status.</t>
        </is>
      </c>
      <c r="E292" s="12" t="inlineStr">
        <is>
          <t>Security control for MyOrdersScreen successfully blocks unauthorized access or malicious input.</t>
        </is>
      </c>
      <c r="F292" s="12" t="inlineStr">
        <is>
          <t>Not Executed</t>
        </is>
      </c>
      <c r="G292" s="13" t="inlineStr">
        <is>
          <t>Not Executed</t>
        </is>
      </c>
      <c r="H292" s="11" t="inlineStr">
        <is>
          <t>High</t>
        </is>
      </c>
    </row>
    <row r="293" ht="42" customHeight="1">
      <c r="A293" s="11" t="inlineStr">
        <is>
          <t>TC_292</t>
        </is>
      </c>
      <c r="B293" s="12" t="inlineStr">
        <is>
          <t>MyOrdersScreen</t>
        </is>
      </c>
      <c r="C293" s="12" t="inlineStr">
        <is>
          <t>Verify role-based access control (RBAC) and IDOR vulnerability defense on MyOrdersScreen</t>
        </is>
      </c>
      <c r="D293" s="12" t="inlineStr">
        <is>
          <t>Attempt accessing secondary user private resource on MyOrdersScreen using non-owner JWT.
Inspect server response.
Verify access denied with 403 Forbidden.</t>
        </is>
      </c>
      <c r="E293" s="12" t="inlineStr">
        <is>
          <t>Security control for MyOrdersScreen successfully blocks unauthorized access or malicious input.</t>
        </is>
      </c>
      <c r="F293" s="12" t="inlineStr">
        <is>
          <t>Not Executed</t>
        </is>
      </c>
      <c r="G293" s="13" t="inlineStr">
        <is>
          <t>Not Executed</t>
        </is>
      </c>
      <c r="H293" s="11" t="inlineStr">
        <is>
          <t>Medium</t>
        </is>
      </c>
    </row>
    <row r="294" ht="42" customHeight="1">
      <c r="A294" s="11" t="inlineStr">
        <is>
          <t>TC_293</t>
        </is>
      </c>
      <c r="B294" s="12" t="inlineStr">
        <is>
          <t>MyOrdersScreen</t>
        </is>
      </c>
      <c r="C294" s="12" t="inlineStr">
        <is>
          <t>Verify session JWT token expiration and invalidation handling on MyOrdersScreen</t>
        </is>
      </c>
      <c r="D294" s="12" t="inlineStr">
        <is>
          <t>Present expired JWT token to MyOrdersScreen API endpoint.
Inspect response.
Verify session invalidated and redirected to login.</t>
        </is>
      </c>
      <c r="E294" s="12" t="inlineStr">
        <is>
          <t>Input validation on MyOrdersScreen correctly enforces rules and displays error hints.</t>
        </is>
      </c>
      <c r="F294" s="12" t="inlineStr">
        <is>
          <t>Not Executed</t>
        </is>
      </c>
      <c r="G294" s="13" t="inlineStr">
        <is>
          <t>Not Executed</t>
        </is>
      </c>
      <c r="H294" s="11" t="inlineStr">
        <is>
          <t>Medium</t>
        </is>
      </c>
    </row>
    <row r="295" ht="42" customHeight="1">
      <c r="A295" s="11" t="inlineStr">
        <is>
          <t>TC_294</t>
        </is>
      </c>
      <c r="B295" s="12" t="inlineStr">
        <is>
          <t>MyOrdersScreen</t>
        </is>
      </c>
      <c r="C295" s="12" t="inlineStr">
        <is>
          <t>Verify input sanitization and SQL injection defense on MyOrdersScreen</t>
        </is>
      </c>
      <c r="D295" s="12" t="inlineStr">
        <is>
          <t>Submit safe SQLi test string `' OR '1'='1` into input fields on MyOrdersScreen.
Inspect database query log.
Verify query parameterized without syntax error.</t>
        </is>
      </c>
      <c r="E295" s="12" t="inlineStr">
        <is>
          <t>Input validation on MyOrdersScreen correctly enforces rules and displays error hints.</t>
        </is>
      </c>
      <c r="F295" s="12" t="inlineStr">
        <is>
          <t>Not Executed</t>
        </is>
      </c>
      <c r="G295" s="13" t="inlineStr">
        <is>
          <t>Not Executed</t>
        </is>
      </c>
      <c r="H295" s="11" t="inlineStr">
        <is>
          <t>High</t>
        </is>
      </c>
    </row>
    <row r="296" ht="42" customHeight="1">
      <c r="A296" s="11" t="inlineStr">
        <is>
          <t>TC_295</t>
        </is>
      </c>
      <c r="B296" s="12" t="inlineStr">
        <is>
          <t>MyOrdersScreen</t>
        </is>
      </c>
      <c r="C296" s="12" t="inlineStr">
        <is>
          <t>Verify Cross-Site Scripting (XSS) DOM escaping and sanitization on MyOrdersScreen</t>
        </is>
      </c>
      <c r="D296" s="12" t="inlineStr">
        <is>
          <t>Submit safe script tag `&lt;script&gt;alert(1)&lt;/script&gt;` into MyOrdersScreen input fields.
Inspect rendered DOM node.
Verify string rendered as literal text without execution.</t>
        </is>
      </c>
      <c r="E296" s="12" t="inlineStr">
        <is>
          <t>Endpoint for MyOrdersScreen handles load within SLA response time limits with 0.0% errors.</t>
        </is>
      </c>
      <c r="F296" s="12" t="inlineStr">
        <is>
          <t>Not Executed</t>
        </is>
      </c>
      <c r="G296" s="13" t="inlineStr">
        <is>
          <t>Not Executed</t>
        </is>
      </c>
      <c r="H296" s="11" t="inlineStr">
        <is>
          <t>Low</t>
        </is>
      </c>
    </row>
    <row r="297" ht="42" customHeight="1">
      <c r="A297" s="11" t="inlineStr">
        <is>
          <t>TC_296</t>
        </is>
      </c>
      <c r="B297" s="12" t="inlineStr">
        <is>
          <t>MyOrdersScreen</t>
        </is>
      </c>
      <c r="C297" s="12" t="inlineStr">
        <is>
          <t>Verify TLS 1.3 transport layer encryption enforcement on MyOrdersScreen</t>
        </is>
      </c>
      <c r="D297" s="12" t="inlineStr">
        <is>
          <t>Inspect network connection parameters for MyOrdersScreen using security audit proxy.
Verify TLS 1.3/1.2 cipher suite.
Confirm insecure HTTP blocked.</t>
        </is>
      </c>
      <c r="E297" s="12" t="inlineStr">
        <is>
          <t>Verify expected behavior for MyOrdersScreen under Safe Vulnerability &amp; Security Checks scenario #6.</t>
        </is>
      </c>
      <c r="F297" s="12" t="inlineStr">
        <is>
          <t>Not Executed</t>
        </is>
      </c>
      <c r="G297" s="13" t="inlineStr">
        <is>
          <t>Not Executed</t>
        </is>
      </c>
      <c r="H297" s="11" t="inlineStr">
        <is>
          <t>Medium</t>
        </is>
      </c>
    </row>
    <row r="298" ht="42" customHeight="1">
      <c r="A298" s="11" t="inlineStr">
        <is>
          <t>TC_297</t>
        </is>
      </c>
      <c r="B298" s="12" t="inlineStr">
        <is>
          <t>MyOrdersScreen</t>
        </is>
      </c>
      <c r="C298" s="12" t="inlineStr">
        <is>
          <t>Verify API rate limiting 429 Too Many Requests response on MyOrdersScreen</t>
        </is>
      </c>
      <c r="D298" s="12" t="inlineStr">
        <is>
          <t>Send 100 rapid requests within 5 seconds to MyOrdersScreen public API endpoint.
Inspect response status.
Verify HTTP 429 rate limit error returned.</t>
        </is>
      </c>
      <c r="E298" s="12" t="inlineStr">
        <is>
          <t>Endpoint for MyOrdersScreen handles load within SLA response time limits with 0.0% errors.</t>
        </is>
      </c>
      <c r="F298" s="12" t="inlineStr">
        <is>
          <t>Not Executed</t>
        </is>
      </c>
      <c r="G298" s="13" t="inlineStr">
        <is>
          <t>Not Executed</t>
        </is>
      </c>
      <c r="H298" s="11" t="inlineStr">
        <is>
          <t>High</t>
        </is>
      </c>
    </row>
    <row r="299" ht="42" customHeight="1">
      <c r="A299" s="11" t="inlineStr">
        <is>
          <t>TC_298</t>
        </is>
      </c>
      <c r="B299" s="12" t="inlineStr">
        <is>
          <t>MyOrdersScreen</t>
        </is>
      </c>
      <c r="C299" s="12" t="inlineStr">
        <is>
          <t>Verify Supabase Row Level Security (RLS) policy enforcement on MyOrdersScreen</t>
        </is>
      </c>
      <c r="D299" s="12" t="inlineStr">
        <is>
          <t>Execute direct database query on MyOrdersScreen table without authorization header.
Inspect PostgreSQL response.
Verify RLS policy blocks unauthorized row access.</t>
        </is>
      </c>
      <c r="E299" s="12" t="inlineStr">
        <is>
          <t>Security control for MyOrdersScreen successfully blocks unauthorized access or malicious input.</t>
        </is>
      </c>
      <c r="F299" s="12" t="inlineStr">
        <is>
          <t>Not Executed</t>
        </is>
      </c>
      <c r="G299" s="13" t="inlineStr">
        <is>
          <t>Not Executed</t>
        </is>
      </c>
      <c r="H299" s="11" t="inlineStr">
        <is>
          <t>Medium</t>
        </is>
      </c>
    </row>
    <row r="300" ht="42" customHeight="1">
      <c r="A300" s="11" t="inlineStr">
        <is>
          <t>TC_299</t>
        </is>
      </c>
      <c r="B300" s="12" t="inlineStr">
        <is>
          <t>MyOrdersScreen</t>
        </is>
      </c>
      <c r="C300" s="12" t="inlineStr">
        <is>
          <t>Verify privileged route guard interception on unauthenticated access to MyOrdersScreen</t>
        </is>
      </c>
      <c r="D300" s="12" t="inlineStr">
        <is>
          <t>Attempt deep linking directly to protected route for MyOrdersScreen without auth token.
Inspect router behavior.
Verify request intercepted and redirected.</t>
        </is>
      </c>
      <c r="E300" s="12" t="inlineStr">
        <is>
          <t>Security control for MyOrdersScreen successfully blocks unauthorized access or malicious input.</t>
        </is>
      </c>
      <c r="F300" s="12" t="inlineStr">
        <is>
          <t>Not Executed</t>
        </is>
      </c>
      <c r="G300" s="13" t="inlineStr">
        <is>
          <t>Not Executed</t>
        </is>
      </c>
      <c r="H300" s="11" t="inlineStr">
        <is>
          <t>Medium</t>
        </is>
      </c>
    </row>
    <row r="301" ht="42" customHeight="1">
      <c r="A301" s="11" t="inlineStr">
        <is>
          <t>TC_300</t>
        </is>
      </c>
      <c r="B301" s="12" t="inlineStr">
        <is>
          <t>MyOrdersScreen</t>
        </is>
      </c>
      <c r="C301" s="12" t="inlineStr">
        <is>
          <t>Verify sensitive data masking and log exposure prevention for MyOrdersScreen</t>
        </is>
      </c>
      <c r="D301" s="12" t="inlineStr">
        <is>
          <t>Inspect application log output during operations on MyOrdersScreen.
Check password, token, and PII fields.
Verify sensitive fields masked or omitted.</t>
        </is>
      </c>
      <c r="E301" s="12" t="inlineStr">
        <is>
          <t>Verify expected behavior for MyOrdersScreen under Safe Vulnerability &amp; Security Checks scenario #10.</t>
        </is>
      </c>
      <c r="F301" s="12" t="inlineStr">
        <is>
          <t>Not Executed</t>
        </is>
      </c>
      <c r="G301" s="13" t="inlineStr">
        <is>
          <t>Not Executed</t>
        </is>
      </c>
      <c r="H301" s="11" t="inlineStr">
        <is>
          <t>High</t>
        </is>
      </c>
    </row>
    <row r="302" ht="42" customHeight="1">
      <c r="A302" s="11" t="inlineStr">
        <is>
          <t>TC_301</t>
        </is>
      </c>
      <c r="B302" s="12" t="inlineStr">
        <is>
          <t>OrderTrackingTimeline</t>
        </is>
      </c>
      <c r="C302" s="12" t="inlineStr">
        <is>
          <t>Verify brute-force defense and authentication lockout rules on OrderTrackingTimeline</t>
        </is>
      </c>
      <c r="D302" s="12" t="inlineStr">
        <is>
          <t>Submit 10 rapid invalid login/auth attempts on OrderTrackingTimeline.
Inspect response headers.
Verify account locks after 5 attempts with 429 status.</t>
        </is>
      </c>
      <c r="E302" s="12" t="inlineStr">
        <is>
          <t>Security control for OrderTrackingTimeline successfully blocks unauthorized access or malicious input.</t>
        </is>
      </c>
      <c r="F302" s="12" t="inlineStr">
        <is>
          <t>Not Executed</t>
        </is>
      </c>
      <c r="G302" s="13" t="inlineStr">
        <is>
          <t>Not Executed</t>
        </is>
      </c>
      <c r="H302" s="11" t="inlineStr">
        <is>
          <t>Medium</t>
        </is>
      </c>
    </row>
    <row r="303" ht="42" customHeight="1">
      <c r="A303" s="11" t="inlineStr">
        <is>
          <t>TC_302</t>
        </is>
      </c>
      <c r="B303" s="12" t="inlineStr">
        <is>
          <t>OrderTrackingTimeline</t>
        </is>
      </c>
      <c r="C303" s="12" t="inlineStr">
        <is>
          <t>Verify role-based access control (RBAC) and IDOR vulnerability defense on OrderTrackingTimeline</t>
        </is>
      </c>
      <c r="D303" s="12" t="inlineStr">
        <is>
          <t>Attempt accessing secondary user private resource on OrderTrackingTimeline using non-owner JWT.
Inspect server response.
Verify access denied with 403 Forbidden.</t>
        </is>
      </c>
      <c r="E303" s="12" t="inlineStr">
        <is>
          <t>Security control for OrderTrackingTimeline successfully blocks unauthorized access or malicious input.</t>
        </is>
      </c>
      <c r="F303" s="12" t="inlineStr">
        <is>
          <t>Not Executed</t>
        </is>
      </c>
      <c r="G303" s="13" t="inlineStr">
        <is>
          <t>Not Executed</t>
        </is>
      </c>
      <c r="H303" s="11" t="inlineStr">
        <is>
          <t>Medium</t>
        </is>
      </c>
    </row>
    <row r="304" ht="42" customHeight="1">
      <c r="A304" s="11" t="inlineStr">
        <is>
          <t>TC_303</t>
        </is>
      </c>
      <c r="B304" s="12" t="inlineStr">
        <is>
          <t>OrderTrackingTimeline</t>
        </is>
      </c>
      <c r="C304" s="12" t="inlineStr">
        <is>
          <t>Verify session JWT token expiration and invalidation handling on OrderTrackingTimeline</t>
        </is>
      </c>
      <c r="D304" s="12" t="inlineStr">
        <is>
          <t>Present expired JWT token to OrderTrackingTimeline API endpoint.
Inspect response.
Verify session invalidated and redirected to login.</t>
        </is>
      </c>
      <c r="E304" s="12" t="inlineStr">
        <is>
          <t>Input validation on OrderTrackingTimeline correctly enforces rules and displays error hints.</t>
        </is>
      </c>
      <c r="F304" s="12" t="inlineStr">
        <is>
          <t>Not Executed</t>
        </is>
      </c>
      <c r="G304" s="13" t="inlineStr">
        <is>
          <t>Not Executed</t>
        </is>
      </c>
      <c r="H304" s="11" t="inlineStr">
        <is>
          <t>High</t>
        </is>
      </c>
    </row>
    <row r="305" ht="42" customHeight="1">
      <c r="A305" s="11" t="inlineStr">
        <is>
          <t>TC_304</t>
        </is>
      </c>
      <c r="B305" s="12" t="inlineStr">
        <is>
          <t>OrderTrackingTimeline</t>
        </is>
      </c>
      <c r="C305" s="12" t="inlineStr">
        <is>
          <t>Verify input sanitization and SQL injection defense on OrderTrackingTimeline</t>
        </is>
      </c>
      <c r="D305" s="12" t="inlineStr">
        <is>
          <t>Submit safe SQLi test string `' OR '1'='1` into input fields on OrderTrackingTimeline.
Inspect database query log.
Verify query parameterized without syntax error.</t>
        </is>
      </c>
      <c r="E305" s="12" t="inlineStr">
        <is>
          <t>Input validation on OrderTrackingTimeline correctly enforces rules and displays error hints.</t>
        </is>
      </c>
      <c r="F305" s="12" t="inlineStr">
        <is>
          <t>Not Executed</t>
        </is>
      </c>
      <c r="G305" s="13" t="inlineStr">
        <is>
          <t>Not Executed</t>
        </is>
      </c>
      <c r="H305" s="11" t="inlineStr">
        <is>
          <t>Medium</t>
        </is>
      </c>
    </row>
    <row r="306" ht="42" customHeight="1">
      <c r="A306" s="11" t="inlineStr">
        <is>
          <t>TC_305</t>
        </is>
      </c>
      <c r="B306" s="12" t="inlineStr">
        <is>
          <t>OrderTrackingTimeline</t>
        </is>
      </c>
      <c r="C306" s="12" t="inlineStr">
        <is>
          <t>Verify Cross-Site Scripting (XSS) DOM escaping and sanitization on OrderTrackingTimeline</t>
        </is>
      </c>
      <c r="D306" s="12" t="inlineStr">
        <is>
          <t>Submit safe script tag `&lt;script&gt;alert(1)&lt;/script&gt;` into OrderTrackingTimeline input fields.
Inspect rendered DOM node.
Verify string rendered as literal text without execution.</t>
        </is>
      </c>
      <c r="E306" s="12" t="inlineStr">
        <is>
          <t>Endpoint for OrderTrackingTimeline handles load within SLA response time limits with 0.0% errors.</t>
        </is>
      </c>
      <c r="F306" s="12" t="inlineStr">
        <is>
          <t>Not Executed</t>
        </is>
      </c>
      <c r="G306" s="13" t="inlineStr">
        <is>
          <t>Not Executed</t>
        </is>
      </c>
      <c r="H306" s="11" t="inlineStr">
        <is>
          <t>Low</t>
        </is>
      </c>
    </row>
    <row r="307" ht="42" customHeight="1">
      <c r="A307" s="11" t="inlineStr">
        <is>
          <t>TC_306</t>
        </is>
      </c>
      <c r="B307" s="12" t="inlineStr">
        <is>
          <t>OrderTrackingTimeline</t>
        </is>
      </c>
      <c r="C307" s="12" t="inlineStr">
        <is>
          <t>Verify TLS 1.3 transport layer encryption enforcement on OrderTrackingTimeline</t>
        </is>
      </c>
      <c r="D307" s="12" t="inlineStr">
        <is>
          <t>Inspect network connection parameters for OrderTrackingTimeline using security audit proxy.
Verify TLS 1.3/1.2 cipher suite.
Confirm insecure HTTP blocked.</t>
        </is>
      </c>
      <c r="E307" s="12" t="inlineStr">
        <is>
          <t>Verify expected behavior for OrderTrackingTimeline under Safe Vulnerability &amp; Security Checks scenario #6.</t>
        </is>
      </c>
      <c r="F307" s="12" t="inlineStr">
        <is>
          <t>Not Executed</t>
        </is>
      </c>
      <c r="G307" s="13" t="inlineStr">
        <is>
          <t>Not Executed</t>
        </is>
      </c>
      <c r="H307" s="11" t="inlineStr">
        <is>
          <t>High</t>
        </is>
      </c>
    </row>
    <row r="308" ht="42" customHeight="1">
      <c r="A308" s="11" t="inlineStr">
        <is>
          <t>TC_307</t>
        </is>
      </c>
      <c r="B308" s="12" t="inlineStr">
        <is>
          <t>OrderTrackingTimeline</t>
        </is>
      </c>
      <c r="C308" s="12" t="inlineStr">
        <is>
          <t>Verify API rate limiting 429 Too Many Requests response on OrderTrackingTimeline</t>
        </is>
      </c>
      <c r="D308" s="12" t="inlineStr">
        <is>
          <t>Send 100 rapid requests within 5 seconds to OrderTrackingTimeline public API endpoint.
Inspect response status.
Verify HTTP 429 rate limit error returned.</t>
        </is>
      </c>
      <c r="E308" s="12" t="inlineStr">
        <is>
          <t>Endpoint for OrderTrackingTimeline handles load within SLA response time limits with 0.0% errors.</t>
        </is>
      </c>
      <c r="F308" s="12" t="inlineStr">
        <is>
          <t>Not Executed</t>
        </is>
      </c>
      <c r="G308" s="13" t="inlineStr">
        <is>
          <t>Not Executed</t>
        </is>
      </c>
      <c r="H308" s="11" t="inlineStr">
        <is>
          <t>Medium</t>
        </is>
      </c>
    </row>
    <row r="309" ht="42" customHeight="1">
      <c r="A309" s="11" t="inlineStr">
        <is>
          <t>TC_308</t>
        </is>
      </c>
      <c r="B309" s="12" t="inlineStr">
        <is>
          <t>OrderTrackingTimeline</t>
        </is>
      </c>
      <c r="C309" s="12" t="inlineStr">
        <is>
          <t>Verify Supabase Row Level Security (RLS) policy enforcement on OrderTrackingTimeline</t>
        </is>
      </c>
      <c r="D309" s="12" t="inlineStr">
        <is>
          <t>Execute direct database query on OrderTrackingTimeline table without authorization header.
Inspect PostgreSQL response.
Verify RLS policy blocks unauthorized row access.</t>
        </is>
      </c>
      <c r="E309" s="12" t="inlineStr">
        <is>
          <t>Security control for OrderTrackingTimeline successfully blocks unauthorized access or malicious input.</t>
        </is>
      </c>
      <c r="F309" s="12" t="inlineStr">
        <is>
          <t>Not Executed</t>
        </is>
      </c>
      <c r="G309" s="13" t="inlineStr">
        <is>
          <t>Not Executed</t>
        </is>
      </c>
      <c r="H309" s="11" t="inlineStr">
        <is>
          <t>Medium</t>
        </is>
      </c>
    </row>
    <row r="310" ht="42" customHeight="1">
      <c r="A310" s="11" t="inlineStr">
        <is>
          <t>TC_309</t>
        </is>
      </c>
      <c r="B310" s="12" t="inlineStr">
        <is>
          <t>OrderTrackingTimeline</t>
        </is>
      </c>
      <c r="C310" s="12" t="inlineStr">
        <is>
          <t>Verify privileged route guard interception on unauthenticated access to OrderTrackingTimeline</t>
        </is>
      </c>
      <c r="D310" s="12" t="inlineStr">
        <is>
          <t>Attempt deep linking directly to protected route for OrderTrackingTimeline without auth token.
Inspect router behavior.
Verify request intercepted and redirected.</t>
        </is>
      </c>
      <c r="E310" s="12" t="inlineStr">
        <is>
          <t>Security control for OrderTrackingTimeline successfully blocks unauthorized access or malicious input.</t>
        </is>
      </c>
      <c r="F310" s="12" t="inlineStr">
        <is>
          <t>Not Executed</t>
        </is>
      </c>
      <c r="G310" s="13" t="inlineStr">
        <is>
          <t>Not Executed</t>
        </is>
      </c>
      <c r="H310" s="11" t="inlineStr">
        <is>
          <t>High</t>
        </is>
      </c>
    </row>
    <row r="311" ht="42" customHeight="1">
      <c r="A311" s="11" t="inlineStr">
        <is>
          <t>TC_310</t>
        </is>
      </c>
      <c r="B311" s="12" t="inlineStr">
        <is>
          <t>OrderTrackingTimeline</t>
        </is>
      </c>
      <c r="C311" s="12" t="inlineStr">
        <is>
          <t>Verify sensitive data masking and log exposure prevention for OrderTrackingTimeline</t>
        </is>
      </c>
      <c r="D311" s="12" t="inlineStr">
        <is>
          <t>Inspect application log output during operations on OrderTrackingTimeline.
Check password, token, and PII fields.
Verify sensitive fields masked or omitted.</t>
        </is>
      </c>
      <c r="E311" s="12" t="inlineStr">
        <is>
          <t>Verify expected behavior for OrderTrackingTimeline under Safe Vulnerability &amp; Security Checks scenario #10.</t>
        </is>
      </c>
      <c r="F311" s="12" t="inlineStr">
        <is>
          <t>Not Executed</t>
        </is>
      </c>
      <c r="G311" s="13" t="inlineStr">
        <is>
          <t>Not Executed</t>
        </is>
      </c>
      <c r="H311" s="11" t="inlineStr">
        <is>
          <t>Low</t>
        </is>
      </c>
    </row>
    <row r="312" ht="42" customHeight="1">
      <c r="A312" s="11" t="inlineStr">
        <is>
          <t>TC_311</t>
        </is>
      </c>
      <c r="B312" s="12" t="inlineStr">
        <is>
          <t>ProfileTab</t>
        </is>
      </c>
      <c r="C312" s="12" t="inlineStr">
        <is>
          <t>Verify brute-force defense and authentication lockout rules on ProfileTab</t>
        </is>
      </c>
      <c r="D312" s="12" t="inlineStr">
        <is>
          <t>Submit 10 rapid invalid login/auth attempts on ProfileTab.
Inspect response headers.
Verify account locks after 5 attempts with 429 status.</t>
        </is>
      </c>
      <c r="E312" s="12" t="inlineStr">
        <is>
          <t>Security control for ProfileTab successfully blocks unauthorized access or malicious input.</t>
        </is>
      </c>
      <c r="F312" s="12" t="inlineStr">
        <is>
          <t>Not Executed</t>
        </is>
      </c>
      <c r="G312" s="13" t="inlineStr">
        <is>
          <t>Not Executed</t>
        </is>
      </c>
      <c r="H312" s="11" t="inlineStr">
        <is>
          <t>Medium</t>
        </is>
      </c>
    </row>
    <row r="313" ht="42" customHeight="1">
      <c r="A313" s="11" t="inlineStr">
        <is>
          <t>TC_312</t>
        </is>
      </c>
      <c r="B313" s="12" t="inlineStr">
        <is>
          <t>ProfileTab</t>
        </is>
      </c>
      <c r="C313" s="12" t="inlineStr">
        <is>
          <t>Verify role-based access control (RBAC) and IDOR vulnerability defense on ProfileTab</t>
        </is>
      </c>
      <c r="D313" s="12" t="inlineStr">
        <is>
          <t>Attempt accessing secondary user private resource on ProfileTab using non-owner JWT.
Inspect server response.
Verify access denied with 403 Forbidden.</t>
        </is>
      </c>
      <c r="E313" s="12" t="inlineStr">
        <is>
          <t>Security control for ProfileTab successfully blocks unauthorized access or malicious input.</t>
        </is>
      </c>
      <c r="F313" s="12" t="inlineStr">
        <is>
          <t>Not Executed</t>
        </is>
      </c>
      <c r="G313" s="13" t="inlineStr">
        <is>
          <t>Not Executed</t>
        </is>
      </c>
      <c r="H313" s="11" t="inlineStr">
        <is>
          <t>High</t>
        </is>
      </c>
    </row>
    <row r="314" ht="42" customHeight="1">
      <c r="A314" s="11" t="inlineStr">
        <is>
          <t>TC_313</t>
        </is>
      </c>
      <c r="B314" s="12" t="inlineStr">
        <is>
          <t>ProfileTab</t>
        </is>
      </c>
      <c r="C314" s="12" t="inlineStr">
        <is>
          <t>Verify session JWT token expiration and invalidation handling on ProfileTab</t>
        </is>
      </c>
      <c r="D314" s="12" t="inlineStr">
        <is>
          <t>Present expired JWT token to ProfileTab API endpoint.
Inspect response.
Verify session invalidated and redirected to login.</t>
        </is>
      </c>
      <c r="E314" s="12" t="inlineStr">
        <is>
          <t>Input validation on ProfileTab correctly enforces rules and displays error hints.</t>
        </is>
      </c>
      <c r="F314" s="12" t="inlineStr">
        <is>
          <t>Not Executed</t>
        </is>
      </c>
      <c r="G314" s="13" t="inlineStr">
        <is>
          <t>Not Executed</t>
        </is>
      </c>
      <c r="H314" s="11" t="inlineStr">
        <is>
          <t>Medium</t>
        </is>
      </c>
    </row>
    <row r="315" ht="42" customHeight="1">
      <c r="A315" s="11" t="inlineStr">
        <is>
          <t>TC_314</t>
        </is>
      </c>
      <c r="B315" s="12" t="inlineStr">
        <is>
          <t>ProfileTab</t>
        </is>
      </c>
      <c r="C315" s="12" t="inlineStr">
        <is>
          <t>Verify input sanitization and SQL injection defense on ProfileTab</t>
        </is>
      </c>
      <c r="D315" s="12" t="inlineStr">
        <is>
          <t>Submit safe SQLi test string `' OR '1'='1` into input fields on ProfileTab.
Inspect database query log.
Verify query parameterized without syntax error.</t>
        </is>
      </c>
      <c r="E315" s="12" t="inlineStr">
        <is>
          <t>Input validation on ProfileTab correctly enforces rules and displays error hints.</t>
        </is>
      </c>
      <c r="F315" s="12" t="inlineStr">
        <is>
          <t>Not Executed</t>
        </is>
      </c>
      <c r="G315" s="13" t="inlineStr">
        <is>
          <t>Not Executed</t>
        </is>
      </c>
      <c r="H315" s="11" t="inlineStr">
        <is>
          <t>Medium</t>
        </is>
      </c>
    </row>
    <row r="316" ht="42" customHeight="1">
      <c r="A316" s="11" t="inlineStr">
        <is>
          <t>TC_315</t>
        </is>
      </c>
      <c r="B316" s="12" t="inlineStr">
        <is>
          <t>ProfileTab</t>
        </is>
      </c>
      <c r="C316" s="12" t="inlineStr">
        <is>
          <t>Verify Cross-Site Scripting (XSS) DOM escaping and sanitization on ProfileTab</t>
        </is>
      </c>
      <c r="D316" s="12" t="inlineStr">
        <is>
          <t>Submit safe script tag `&lt;script&gt;alert(1)&lt;/script&gt;` into ProfileTab input fields.
Inspect rendered DOM node.
Verify string rendered as literal text without execution.</t>
        </is>
      </c>
      <c r="E316" s="12" t="inlineStr">
        <is>
          <t>Endpoint for ProfileTab handles load within SLA response time limits with 0.0% errors.</t>
        </is>
      </c>
      <c r="F316" s="12" t="inlineStr">
        <is>
          <t>Not Executed</t>
        </is>
      </c>
      <c r="G316" s="13" t="inlineStr">
        <is>
          <t>Not Executed</t>
        </is>
      </c>
      <c r="H316" s="11" t="inlineStr">
        <is>
          <t>High</t>
        </is>
      </c>
    </row>
    <row r="317" ht="42" customHeight="1">
      <c r="A317" s="11" t="inlineStr">
        <is>
          <t>TC_316</t>
        </is>
      </c>
      <c r="B317" s="12" t="inlineStr">
        <is>
          <t>ProfileTab</t>
        </is>
      </c>
      <c r="C317" s="12" t="inlineStr">
        <is>
          <t>Verify TLS 1.3 transport layer encryption enforcement on ProfileTab</t>
        </is>
      </c>
      <c r="D317" s="12" t="inlineStr">
        <is>
          <t>Inspect network connection parameters for ProfileTab using security audit proxy.
Verify TLS 1.3/1.2 cipher suite.
Confirm insecure HTTP blocked.</t>
        </is>
      </c>
      <c r="E317" s="12" t="inlineStr">
        <is>
          <t>Verify expected behavior for ProfileTab under Safe Vulnerability &amp; Security Checks scenario #6.</t>
        </is>
      </c>
      <c r="F317" s="12" t="inlineStr">
        <is>
          <t>Not Executed</t>
        </is>
      </c>
      <c r="G317" s="13" t="inlineStr">
        <is>
          <t>Not Executed</t>
        </is>
      </c>
      <c r="H317" s="11" t="inlineStr">
        <is>
          <t>Medium</t>
        </is>
      </c>
    </row>
    <row r="318" ht="42" customHeight="1">
      <c r="A318" s="11" t="inlineStr">
        <is>
          <t>TC_317</t>
        </is>
      </c>
      <c r="B318" s="12" t="inlineStr">
        <is>
          <t>ProfileTab</t>
        </is>
      </c>
      <c r="C318" s="12" t="inlineStr">
        <is>
          <t>Verify API rate limiting 429 Too Many Requests response on ProfileTab</t>
        </is>
      </c>
      <c r="D318" s="12" t="inlineStr">
        <is>
          <t>Send 100 rapid requests within 5 seconds to ProfileTab public API endpoint.
Inspect response status.
Verify HTTP 429 rate limit error returned.</t>
        </is>
      </c>
      <c r="E318" s="12" t="inlineStr">
        <is>
          <t>Endpoint for ProfileTab handles load within SLA response time limits with 0.0% errors.</t>
        </is>
      </c>
      <c r="F318" s="12" t="inlineStr">
        <is>
          <t>Not Executed</t>
        </is>
      </c>
      <c r="G318" s="13" t="inlineStr">
        <is>
          <t>Not Executed</t>
        </is>
      </c>
      <c r="H318" s="11" t="inlineStr">
        <is>
          <t>Medium</t>
        </is>
      </c>
    </row>
    <row r="319" ht="42" customHeight="1">
      <c r="A319" s="11" t="inlineStr">
        <is>
          <t>TC_318</t>
        </is>
      </c>
      <c r="B319" s="12" t="inlineStr">
        <is>
          <t>ProfileTab</t>
        </is>
      </c>
      <c r="C319" s="12" t="inlineStr">
        <is>
          <t>Verify Supabase Row Level Security (RLS) policy enforcement on ProfileTab</t>
        </is>
      </c>
      <c r="D319" s="12" t="inlineStr">
        <is>
          <t>Execute direct database query on ProfileTab table without authorization header.
Inspect PostgreSQL response.
Verify RLS policy blocks unauthorized row access.</t>
        </is>
      </c>
      <c r="E319" s="12" t="inlineStr">
        <is>
          <t>Security control for ProfileTab successfully blocks unauthorized access or malicious input.</t>
        </is>
      </c>
      <c r="F319" s="12" t="inlineStr">
        <is>
          <t>Not Executed</t>
        </is>
      </c>
      <c r="G319" s="13" t="inlineStr">
        <is>
          <t>Not Executed</t>
        </is>
      </c>
      <c r="H319" s="11" t="inlineStr">
        <is>
          <t>High</t>
        </is>
      </c>
    </row>
    <row r="320" ht="42" customHeight="1">
      <c r="A320" s="11" t="inlineStr">
        <is>
          <t>TC_319</t>
        </is>
      </c>
      <c r="B320" s="12" t="inlineStr">
        <is>
          <t>ProfileTab</t>
        </is>
      </c>
      <c r="C320" s="12" t="inlineStr">
        <is>
          <t>Verify privileged route guard interception on unauthenticated access to ProfileTab</t>
        </is>
      </c>
      <c r="D320" s="12" t="inlineStr">
        <is>
          <t>Attempt deep linking directly to protected route for ProfileTab without auth token.
Inspect router behavior.
Verify request intercepted and redirected.</t>
        </is>
      </c>
      <c r="E320" s="12" t="inlineStr">
        <is>
          <t>Security control for ProfileTab successfully blocks unauthorized access or malicious input.</t>
        </is>
      </c>
      <c r="F320" s="12" t="inlineStr">
        <is>
          <t>Not Executed</t>
        </is>
      </c>
      <c r="G320" s="13" t="inlineStr">
        <is>
          <t>Not Executed</t>
        </is>
      </c>
      <c r="H320" s="11" t="inlineStr">
        <is>
          <t>Medium</t>
        </is>
      </c>
    </row>
    <row r="321" ht="42" customHeight="1">
      <c r="A321" s="11" t="inlineStr">
        <is>
          <t>TC_320</t>
        </is>
      </c>
      <c r="B321" s="12" t="inlineStr">
        <is>
          <t>ProfileTab</t>
        </is>
      </c>
      <c r="C321" s="12" t="inlineStr">
        <is>
          <t>Verify sensitive data masking and log exposure prevention for ProfileTab</t>
        </is>
      </c>
      <c r="D321" s="12" t="inlineStr">
        <is>
          <t>Inspect application log output during operations on ProfileTab.
Check password, token, and PII fields.
Verify sensitive fields masked or omitted.</t>
        </is>
      </c>
      <c r="E321" s="12" t="inlineStr">
        <is>
          <t>Verify expected behavior for ProfileTab under Safe Vulnerability &amp; Security Checks scenario #10.</t>
        </is>
      </c>
      <c r="F321" s="12" t="inlineStr">
        <is>
          <t>Not Executed</t>
        </is>
      </c>
      <c r="G321" s="13" t="inlineStr">
        <is>
          <t>Not Executed</t>
        </is>
      </c>
      <c r="H321" s="11" t="inlineStr">
        <is>
          <t>Low</t>
        </is>
      </c>
    </row>
    <row r="322" ht="42" customHeight="1">
      <c r="A322" s="11" t="inlineStr">
        <is>
          <t>TC_321</t>
        </is>
      </c>
      <c r="B322" s="12" t="inlineStr">
        <is>
          <t>RemindersNotificationModule</t>
        </is>
      </c>
      <c r="C322" s="12" t="inlineStr">
        <is>
          <t>Verify brute-force defense and authentication lockout rules on RemindersNotificationModule</t>
        </is>
      </c>
      <c r="D322" s="12" t="inlineStr">
        <is>
          <t>Submit 10 rapid invalid login/auth attempts on RemindersNotificationModule.
Inspect response headers.
Verify account locks after 5 attempts with 429 status.</t>
        </is>
      </c>
      <c r="E322" s="12" t="inlineStr">
        <is>
          <t>Security control for RemindersNotificationModule successfully blocks unauthorized access or malicious input.</t>
        </is>
      </c>
      <c r="F322" s="12" t="inlineStr">
        <is>
          <t>Not Executed</t>
        </is>
      </c>
      <c r="G322" s="13" t="inlineStr">
        <is>
          <t>Not Executed</t>
        </is>
      </c>
      <c r="H322" s="11" t="inlineStr">
        <is>
          <t>High</t>
        </is>
      </c>
    </row>
    <row r="323" ht="42" customHeight="1">
      <c r="A323" s="11" t="inlineStr">
        <is>
          <t>TC_322</t>
        </is>
      </c>
      <c r="B323" s="12" t="inlineStr">
        <is>
          <t>RemindersNotificationModule</t>
        </is>
      </c>
      <c r="C323" s="12" t="inlineStr">
        <is>
          <t>Verify role-based access control (RBAC) and IDOR vulnerability defense on RemindersNotificationModule</t>
        </is>
      </c>
      <c r="D323" s="12" t="inlineStr">
        <is>
          <t>Attempt accessing secondary user private resource on RemindersNotificationModule using non-owner JWT.
Inspect server response.
Verify access denied with 403 Forbidden.</t>
        </is>
      </c>
      <c r="E323" s="12" t="inlineStr">
        <is>
          <t>Security control for RemindersNotificationModule successfully blocks unauthorized access or malicious input.</t>
        </is>
      </c>
      <c r="F323" s="12" t="inlineStr">
        <is>
          <t>Not Executed</t>
        </is>
      </c>
      <c r="G323" s="13" t="inlineStr">
        <is>
          <t>Not Executed</t>
        </is>
      </c>
      <c r="H323" s="11" t="inlineStr">
        <is>
          <t>Medium</t>
        </is>
      </c>
    </row>
    <row r="324" ht="42" customHeight="1">
      <c r="A324" s="11" t="inlineStr">
        <is>
          <t>TC_323</t>
        </is>
      </c>
      <c r="B324" s="12" t="inlineStr">
        <is>
          <t>RemindersNotificationModule</t>
        </is>
      </c>
      <c r="C324" s="12" t="inlineStr">
        <is>
          <t>Verify session JWT token expiration and invalidation handling on RemindersNotificationModule</t>
        </is>
      </c>
      <c r="D324" s="12" t="inlineStr">
        <is>
          <t>Present expired JWT token to RemindersNotificationModule API endpoint.
Inspect response.
Verify session invalidated and redirected to login.</t>
        </is>
      </c>
      <c r="E324" s="12" t="inlineStr">
        <is>
          <t>Input validation on RemindersNotificationModule correctly enforces rules and displays error hints.</t>
        </is>
      </c>
      <c r="F324" s="12" t="inlineStr">
        <is>
          <t>Not Executed</t>
        </is>
      </c>
      <c r="G324" s="13" t="inlineStr">
        <is>
          <t>Not Executed</t>
        </is>
      </c>
      <c r="H324" s="11" t="inlineStr">
        <is>
          <t>Medium</t>
        </is>
      </c>
    </row>
    <row r="325" ht="42" customHeight="1">
      <c r="A325" s="11" t="inlineStr">
        <is>
          <t>TC_324</t>
        </is>
      </c>
      <c r="B325" s="12" t="inlineStr">
        <is>
          <t>RemindersNotificationModule</t>
        </is>
      </c>
      <c r="C325" s="12" t="inlineStr">
        <is>
          <t>Verify input sanitization and SQL injection defense on RemindersNotificationModule</t>
        </is>
      </c>
      <c r="D325" s="12" t="inlineStr">
        <is>
          <t>Submit safe SQLi test string `' OR '1'='1` into input fields on RemindersNotificationModule.
Inspect database query log.
Verify query parameterized without syntax error.</t>
        </is>
      </c>
      <c r="E325" s="12" t="inlineStr">
        <is>
          <t>Input validation on RemindersNotificationModule correctly enforces rules and displays error hints.</t>
        </is>
      </c>
      <c r="F325" s="12" t="inlineStr">
        <is>
          <t>Not Executed</t>
        </is>
      </c>
      <c r="G325" s="13" t="inlineStr">
        <is>
          <t>Not Executed</t>
        </is>
      </c>
      <c r="H325" s="11" t="inlineStr">
        <is>
          <t>High</t>
        </is>
      </c>
    </row>
    <row r="326" ht="42" customHeight="1">
      <c r="A326" s="11" t="inlineStr">
        <is>
          <t>TC_325</t>
        </is>
      </c>
      <c r="B326" s="12" t="inlineStr">
        <is>
          <t>RemindersNotificationModule</t>
        </is>
      </c>
      <c r="C326" s="12" t="inlineStr">
        <is>
          <t>Verify Cross-Site Scripting (XSS) DOM escaping and sanitization on RemindersNotificationModule</t>
        </is>
      </c>
      <c r="D326" s="12" t="inlineStr">
        <is>
          <t>Submit safe script tag `&lt;script&gt;alert(1)&lt;/script&gt;` into RemindersNotificationModule input fields.
Inspect rendered DOM node.
Verify string rendered as literal text without execution.</t>
        </is>
      </c>
      <c r="E326" s="12" t="inlineStr">
        <is>
          <t>Endpoint for RemindersNotificationModule handles load within SLA response time limits with 0.0% errors.</t>
        </is>
      </c>
      <c r="F326" s="12" t="inlineStr">
        <is>
          <t>Not Executed</t>
        </is>
      </c>
      <c r="G326" s="13" t="inlineStr">
        <is>
          <t>Not Executed</t>
        </is>
      </c>
      <c r="H326" s="11" t="inlineStr">
        <is>
          <t>Low</t>
        </is>
      </c>
    </row>
    <row r="327" ht="42" customHeight="1">
      <c r="A327" s="11" t="inlineStr">
        <is>
          <t>TC_326</t>
        </is>
      </c>
      <c r="B327" s="12" t="inlineStr">
        <is>
          <t>RemindersNotificationModule</t>
        </is>
      </c>
      <c r="C327" s="12" t="inlineStr">
        <is>
          <t>Verify TLS 1.3 transport layer encryption enforcement on RemindersNotificationModule</t>
        </is>
      </c>
      <c r="D327" s="12" t="inlineStr">
        <is>
          <t>Inspect network connection parameters for RemindersNotificationModule using security audit proxy.
Verify TLS 1.3/1.2 cipher suite.
Confirm insecure HTTP blocked.</t>
        </is>
      </c>
      <c r="E327" s="12" t="inlineStr">
        <is>
          <t>Verify expected behavior for RemindersNotificationModule under Safe Vulnerability &amp; Security Checks scenario #6.</t>
        </is>
      </c>
      <c r="F327" s="12" t="inlineStr">
        <is>
          <t>Not Executed</t>
        </is>
      </c>
      <c r="G327" s="13" t="inlineStr">
        <is>
          <t>Not Executed</t>
        </is>
      </c>
      <c r="H327" s="11" t="inlineStr">
        <is>
          <t>Medium</t>
        </is>
      </c>
    </row>
    <row r="328" ht="42" customHeight="1">
      <c r="A328" s="11" t="inlineStr">
        <is>
          <t>TC_327</t>
        </is>
      </c>
      <c r="B328" s="12" t="inlineStr">
        <is>
          <t>RemindersNotificationModule</t>
        </is>
      </c>
      <c r="C328" s="12" t="inlineStr">
        <is>
          <t>Verify API rate limiting 429 Too Many Requests response on RemindersNotificationModule</t>
        </is>
      </c>
      <c r="D328" s="12" t="inlineStr">
        <is>
          <t>Send 100 rapid requests within 5 seconds to RemindersNotificationModule public API endpoint.
Inspect response status.
Verify HTTP 429 rate limit error returned.</t>
        </is>
      </c>
      <c r="E328" s="12" t="inlineStr">
        <is>
          <t>Endpoint for RemindersNotificationModule handles load within SLA response time limits with 0.0% errors.</t>
        </is>
      </c>
      <c r="F328" s="12" t="inlineStr">
        <is>
          <t>Not Executed</t>
        </is>
      </c>
      <c r="G328" s="13" t="inlineStr">
        <is>
          <t>Not Executed</t>
        </is>
      </c>
      <c r="H328" s="11" t="inlineStr">
        <is>
          <t>High</t>
        </is>
      </c>
    </row>
    <row r="329" ht="42" customHeight="1">
      <c r="A329" s="11" t="inlineStr">
        <is>
          <t>TC_328</t>
        </is>
      </c>
      <c r="B329" s="12" t="inlineStr">
        <is>
          <t>RemindersNotificationModule</t>
        </is>
      </c>
      <c r="C329" s="12" t="inlineStr">
        <is>
          <t>Verify Supabase Row Level Security (RLS) policy enforcement on RemindersNotificationModule</t>
        </is>
      </c>
      <c r="D329" s="12" t="inlineStr">
        <is>
          <t>Execute direct database query on RemindersNotificationModule table without authorization header.
Inspect PostgreSQL response.
Verify RLS policy blocks unauthorized row access.</t>
        </is>
      </c>
      <c r="E329" s="12" t="inlineStr">
        <is>
          <t>Security control for RemindersNotificationModule successfully blocks unauthorized access or malicious input.</t>
        </is>
      </c>
      <c r="F329" s="12" t="inlineStr">
        <is>
          <t>Not Executed</t>
        </is>
      </c>
      <c r="G329" s="13" t="inlineStr">
        <is>
          <t>Not Executed</t>
        </is>
      </c>
      <c r="H329" s="11" t="inlineStr">
        <is>
          <t>Medium</t>
        </is>
      </c>
    </row>
    <row r="330" ht="42" customHeight="1">
      <c r="A330" s="11" t="inlineStr">
        <is>
          <t>TC_329</t>
        </is>
      </c>
      <c r="B330" s="12" t="inlineStr">
        <is>
          <t>RemindersNotificationModule</t>
        </is>
      </c>
      <c r="C330" s="12" t="inlineStr">
        <is>
          <t>Verify privileged route guard interception on unauthenticated access to RemindersNotificationModule</t>
        </is>
      </c>
      <c r="D330" s="12" t="inlineStr">
        <is>
          <t>Attempt deep linking directly to protected route for RemindersNotificationModule without auth token.
Inspect router behavior.
Verify request intercepted and redirected.</t>
        </is>
      </c>
      <c r="E330" s="12" t="inlineStr">
        <is>
          <t>Security control for RemindersNotificationModule successfully blocks unauthorized access or malicious input.</t>
        </is>
      </c>
      <c r="F330" s="12" t="inlineStr">
        <is>
          <t>Not Executed</t>
        </is>
      </c>
      <c r="G330" s="13" t="inlineStr">
        <is>
          <t>Not Executed</t>
        </is>
      </c>
      <c r="H330" s="11" t="inlineStr">
        <is>
          <t>Medium</t>
        </is>
      </c>
    </row>
    <row r="331" ht="42" customHeight="1">
      <c r="A331" s="11" t="inlineStr">
        <is>
          <t>TC_330</t>
        </is>
      </c>
      <c r="B331" s="12" t="inlineStr">
        <is>
          <t>RemindersNotificationModule</t>
        </is>
      </c>
      <c r="C331" s="12" t="inlineStr">
        <is>
          <t>Verify sensitive data masking and log exposure prevention for RemindersNotificationModule</t>
        </is>
      </c>
      <c r="D331" s="12" t="inlineStr">
        <is>
          <t>Inspect application log output during operations on RemindersNotificationModule.
Check password, token, and PII fields.
Verify sensitive fields masked or omitted.</t>
        </is>
      </c>
      <c r="E331" s="12" t="inlineStr">
        <is>
          <t>Verify expected behavior for RemindersNotificationModule under Safe Vulnerability &amp; Security Checks scenario #10.</t>
        </is>
      </c>
      <c r="F331" s="12" t="inlineStr">
        <is>
          <t>Not Executed</t>
        </is>
      </c>
      <c r="G331" s="13" t="inlineStr">
        <is>
          <t>Not Executed</t>
        </is>
      </c>
      <c r="H331" s="11" t="inlineStr">
        <is>
          <t>High</t>
        </is>
      </c>
    </row>
    <row r="332" ht="42" customHeight="1">
      <c r="A332" s="11" t="inlineStr">
        <is>
          <t>TC_331</t>
        </is>
      </c>
      <c r="B332" s="12" t="inlineStr">
        <is>
          <t>SettingsLocalizationModule</t>
        </is>
      </c>
      <c r="C332" s="12" t="inlineStr">
        <is>
          <t>Verify brute-force defense and authentication lockout rules on SettingsLocalizationModule</t>
        </is>
      </c>
      <c r="D332" s="12" t="inlineStr">
        <is>
          <t>Submit 10 rapid invalid login/auth attempts on SettingsLocalizationModule.
Inspect response headers.
Verify account locks after 5 attempts with 429 status.</t>
        </is>
      </c>
      <c r="E332" s="12" t="inlineStr">
        <is>
          <t>Security control for SettingsLocalizationModule successfully blocks unauthorized access or malicious input.</t>
        </is>
      </c>
      <c r="F332" s="12" t="inlineStr">
        <is>
          <t>Not Executed</t>
        </is>
      </c>
      <c r="G332" s="13" t="inlineStr">
        <is>
          <t>Not Executed</t>
        </is>
      </c>
      <c r="H332" s="11" t="inlineStr">
        <is>
          <t>Medium</t>
        </is>
      </c>
    </row>
    <row r="333" ht="42" customHeight="1">
      <c r="A333" s="11" t="inlineStr">
        <is>
          <t>TC_332</t>
        </is>
      </c>
      <c r="B333" s="12" t="inlineStr">
        <is>
          <t>SettingsLocalizationModule</t>
        </is>
      </c>
      <c r="C333" s="12" t="inlineStr">
        <is>
          <t>Verify role-based access control (RBAC) and IDOR vulnerability defense on SettingsLocalizationModule</t>
        </is>
      </c>
      <c r="D333" s="12" t="inlineStr">
        <is>
          <t>Attempt accessing secondary user private resource on SettingsLocalizationModule using non-owner JWT.
Inspect server response.
Verify access denied with 403 Forbidden.</t>
        </is>
      </c>
      <c r="E333" s="12" t="inlineStr">
        <is>
          <t>Security control for SettingsLocalizationModule successfully blocks unauthorized access or malicious input.</t>
        </is>
      </c>
      <c r="F333" s="12" t="inlineStr">
        <is>
          <t>Not Executed</t>
        </is>
      </c>
      <c r="G333" s="13" t="inlineStr">
        <is>
          <t>Not Executed</t>
        </is>
      </c>
      <c r="H333" s="11" t="inlineStr">
        <is>
          <t>Medium</t>
        </is>
      </c>
    </row>
    <row r="334" ht="42" customHeight="1">
      <c r="A334" s="11" t="inlineStr">
        <is>
          <t>TC_333</t>
        </is>
      </c>
      <c r="B334" s="12" t="inlineStr">
        <is>
          <t>SettingsLocalizationModule</t>
        </is>
      </c>
      <c r="C334" s="12" t="inlineStr">
        <is>
          <t>Verify session JWT token expiration and invalidation handling on SettingsLocalizationModule</t>
        </is>
      </c>
      <c r="D334" s="12" t="inlineStr">
        <is>
          <t>Present expired JWT token to SettingsLocalizationModule API endpoint.
Inspect response.
Verify session invalidated and redirected to login.</t>
        </is>
      </c>
      <c r="E334" s="12" t="inlineStr">
        <is>
          <t>Input validation on SettingsLocalizationModule correctly enforces rules and displays error hints.</t>
        </is>
      </c>
      <c r="F334" s="12" t="inlineStr">
        <is>
          <t>Not Executed</t>
        </is>
      </c>
      <c r="G334" s="13" t="inlineStr">
        <is>
          <t>Not Executed</t>
        </is>
      </c>
      <c r="H334" s="11" t="inlineStr">
        <is>
          <t>High</t>
        </is>
      </c>
    </row>
    <row r="335" ht="42" customHeight="1">
      <c r="A335" s="11" t="inlineStr">
        <is>
          <t>TC_334</t>
        </is>
      </c>
      <c r="B335" s="12" t="inlineStr">
        <is>
          <t>SettingsLocalizationModule</t>
        </is>
      </c>
      <c r="C335" s="12" t="inlineStr">
        <is>
          <t>Verify input sanitization and SQL injection defense on SettingsLocalizationModule</t>
        </is>
      </c>
      <c r="D335" s="12" t="inlineStr">
        <is>
          <t>Submit safe SQLi test string `' OR '1'='1` into input fields on SettingsLocalizationModule.
Inspect database query log.
Verify query parameterized without syntax error.</t>
        </is>
      </c>
      <c r="E335" s="12" t="inlineStr">
        <is>
          <t>Input validation on SettingsLocalizationModule correctly enforces rules and displays error hints.</t>
        </is>
      </c>
      <c r="F335" s="12" t="inlineStr">
        <is>
          <t>Not Executed</t>
        </is>
      </c>
      <c r="G335" s="13" t="inlineStr">
        <is>
          <t>Not Executed</t>
        </is>
      </c>
      <c r="H335" s="11" t="inlineStr">
        <is>
          <t>Medium</t>
        </is>
      </c>
    </row>
    <row r="336" ht="42" customHeight="1">
      <c r="A336" s="11" t="inlineStr">
        <is>
          <t>TC_335</t>
        </is>
      </c>
      <c r="B336" s="12" t="inlineStr">
        <is>
          <t>SettingsLocalizationModule</t>
        </is>
      </c>
      <c r="C336" s="12" t="inlineStr">
        <is>
          <t>Verify Cross-Site Scripting (XSS) DOM escaping and sanitization on SettingsLocalizationModule</t>
        </is>
      </c>
      <c r="D336" s="12" t="inlineStr">
        <is>
          <t>Submit safe script tag `&lt;script&gt;alert(1)&lt;/script&gt;` into SettingsLocalizationModule input fields.
Inspect rendered DOM node.
Verify string rendered as literal text without execution.</t>
        </is>
      </c>
      <c r="E336" s="12" t="inlineStr">
        <is>
          <t>Endpoint for SettingsLocalizationModule handles load within SLA response time limits with 0.0% errors.</t>
        </is>
      </c>
      <c r="F336" s="12" t="inlineStr">
        <is>
          <t>Not Executed</t>
        </is>
      </c>
      <c r="G336" s="13" t="inlineStr">
        <is>
          <t>Not Executed</t>
        </is>
      </c>
      <c r="H336" s="11" t="inlineStr">
        <is>
          <t>Low</t>
        </is>
      </c>
    </row>
    <row r="337" ht="42" customHeight="1">
      <c r="A337" s="11" t="inlineStr">
        <is>
          <t>TC_336</t>
        </is>
      </c>
      <c r="B337" s="12" t="inlineStr">
        <is>
          <t>SettingsLocalizationModule</t>
        </is>
      </c>
      <c r="C337" s="12" t="inlineStr">
        <is>
          <t>Verify TLS 1.3 transport layer encryption enforcement on SettingsLocalizationModule</t>
        </is>
      </c>
      <c r="D337" s="12" t="inlineStr">
        <is>
          <t>Inspect network connection parameters for SettingsLocalizationModule using security audit proxy.
Verify TLS 1.3/1.2 cipher suite.
Confirm insecure HTTP blocked.</t>
        </is>
      </c>
      <c r="E337" s="12" t="inlineStr">
        <is>
          <t>Verify expected behavior for SettingsLocalizationModule under Safe Vulnerability &amp; Security Checks scenario #6.</t>
        </is>
      </c>
      <c r="F337" s="12" t="inlineStr">
        <is>
          <t>Not Executed</t>
        </is>
      </c>
      <c r="G337" s="13" t="inlineStr">
        <is>
          <t>Not Executed</t>
        </is>
      </c>
      <c r="H337" s="11" t="inlineStr">
        <is>
          <t>High</t>
        </is>
      </c>
    </row>
    <row r="338" ht="42" customHeight="1">
      <c r="A338" s="11" t="inlineStr">
        <is>
          <t>TC_337</t>
        </is>
      </c>
      <c r="B338" s="12" t="inlineStr">
        <is>
          <t>SettingsLocalizationModule</t>
        </is>
      </c>
      <c r="C338" s="12" t="inlineStr">
        <is>
          <t>Verify API rate limiting 429 Too Many Requests response on SettingsLocalizationModule</t>
        </is>
      </c>
      <c r="D338" s="12" t="inlineStr">
        <is>
          <t>Send 100 rapid requests within 5 seconds to SettingsLocalizationModule public API endpoint.
Inspect response status.
Verify HTTP 429 rate limit error returned.</t>
        </is>
      </c>
      <c r="E338" s="12" t="inlineStr">
        <is>
          <t>Endpoint for SettingsLocalizationModule handles load within SLA response time limits with 0.0% errors.</t>
        </is>
      </c>
      <c r="F338" s="12" t="inlineStr">
        <is>
          <t>Not Executed</t>
        </is>
      </c>
      <c r="G338" s="13" t="inlineStr">
        <is>
          <t>Not Executed</t>
        </is>
      </c>
      <c r="H338" s="11" t="inlineStr">
        <is>
          <t>Medium</t>
        </is>
      </c>
    </row>
    <row r="339" ht="42" customHeight="1">
      <c r="A339" s="11" t="inlineStr">
        <is>
          <t>TC_338</t>
        </is>
      </c>
      <c r="B339" s="12" t="inlineStr">
        <is>
          <t>SettingsLocalizationModule</t>
        </is>
      </c>
      <c r="C339" s="12" t="inlineStr">
        <is>
          <t>Verify Supabase Row Level Security (RLS) policy enforcement on SettingsLocalizationModule</t>
        </is>
      </c>
      <c r="D339" s="12" t="inlineStr">
        <is>
          <t>Execute direct database query on SettingsLocalizationModule table without authorization header.
Inspect PostgreSQL response.
Verify RLS policy blocks unauthorized row access.</t>
        </is>
      </c>
      <c r="E339" s="12" t="inlineStr">
        <is>
          <t>Security control for SettingsLocalizationModule successfully blocks unauthorized access or malicious input.</t>
        </is>
      </c>
      <c r="F339" s="12" t="inlineStr">
        <is>
          <t>Not Executed</t>
        </is>
      </c>
      <c r="G339" s="13" t="inlineStr">
        <is>
          <t>Not Executed</t>
        </is>
      </c>
      <c r="H339" s="11" t="inlineStr">
        <is>
          <t>Medium</t>
        </is>
      </c>
    </row>
    <row r="340" ht="42" customHeight="1">
      <c r="A340" s="11" t="inlineStr">
        <is>
          <t>TC_339</t>
        </is>
      </c>
      <c r="B340" s="12" t="inlineStr">
        <is>
          <t>SettingsLocalizationModule</t>
        </is>
      </c>
      <c r="C340" s="12" t="inlineStr">
        <is>
          <t>Verify privileged route guard interception on unauthenticated access to SettingsLocalizationModule</t>
        </is>
      </c>
      <c r="D340" s="12" t="inlineStr">
        <is>
          <t>Attempt deep linking directly to protected route for SettingsLocalizationModule without auth token.
Inspect router behavior.
Verify request intercepted and redirected.</t>
        </is>
      </c>
      <c r="E340" s="12" t="inlineStr">
        <is>
          <t>Security control for SettingsLocalizationModule successfully blocks unauthorized access or malicious input.</t>
        </is>
      </c>
      <c r="F340" s="12" t="inlineStr">
        <is>
          <t>Not Executed</t>
        </is>
      </c>
      <c r="G340" s="13" t="inlineStr">
        <is>
          <t>Not Executed</t>
        </is>
      </c>
      <c r="H340" s="11" t="inlineStr">
        <is>
          <t>High</t>
        </is>
      </c>
    </row>
    <row r="341" ht="42" customHeight="1">
      <c r="A341" s="11" t="inlineStr">
        <is>
          <t>TC_340</t>
        </is>
      </c>
      <c r="B341" s="12" t="inlineStr">
        <is>
          <t>SettingsLocalizationModule</t>
        </is>
      </c>
      <c r="C341" s="12" t="inlineStr">
        <is>
          <t>Verify sensitive data masking and log exposure prevention for SettingsLocalizationModule</t>
        </is>
      </c>
      <c r="D341" s="12" t="inlineStr">
        <is>
          <t>Inspect application log output during operations on SettingsLocalizationModule.
Check password, token, and PII fields.
Verify sensitive fields masked or omitted.</t>
        </is>
      </c>
      <c r="E341" s="12" t="inlineStr">
        <is>
          <t>Verify expected behavior for SettingsLocalizationModule under Safe Vulnerability &amp; Security Checks scenario #10.</t>
        </is>
      </c>
      <c r="F341" s="12" t="inlineStr">
        <is>
          <t>Not Executed</t>
        </is>
      </c>
      <c r="G341" s="13" t="inlineStr">
        <is>
          <t>Not Executed</t>
        </is>
      </c>
      <c r="H341" s="11" t="inlineStr">
        <is>
          <t>Low</t>
        </is>
      </c>
    </row>
    <row r="342" ht="42" customHeight="1">
      <c r="A342" s="11" t="inlineStr">
        <is>
          <t>TC_341</t>
        </is>
      </c>
      <c r="B342" s="12" t="inlineStr">
        <is>
          <t>SupabaseIntegrationModule</t>
        </is>
      </c>
      <c r="C342" s="12" t="inlineStr">
        <is>
          <t>Verify brute-force defense and authentication lockout rules on SupabaseIntegrationModule</t>
        </is>
      </c>
      <c r="D342" s="12" t="inlineStr">
        <is>
          <t>Submit 10 rapid invalid login/auth attempts on SupabaseIntegrationModule.
Inspect response headers.
Verify account locks after 5 attempts with 429 status.</t>
        </is>
      </c>
      <c r="E342" s="12" t="inlineStr">
        <is>
          <t>Security control for SupabaseIntegrationModule successfully blocks unauthorized access or malicious input.</t>
        </is>
      </c>
      <c r="F342" s="12" t="inlineStr">
        <is>
          <t>Not Executed</t>
        </is>
      </c>
      <c r="G342" s="13" t="inlineStr">
        <is>
          <t>Not Executed</t>
        </is>
      </c>
      <c r="H342" s="11" t="inlineStr">
        <is>
          <t>Medium</t>
        </is>
      </c>
    </row>
    <row r="343" ht="42" customHeight="1">
      <c r="A343" s="11" t="inlineStr">
        <is>
          <t>TC_342</t>
        </is>
      </c>
      <c r="B343" s="12" t="inlineStr">
        <is>
          <t>SupabaseIntegrationModule</t>
        </is>
      </c>
      <c r="C343" s="12" t="inlineStr">
        <is>
          <t>Verify role-based access control (RBAC) and IDOR vulnerability defense on SupabaseIntegrationModule</t>
        </is>
      </c>
      <c r="D343" s="12" t="inlineStr">
        <is>
          <t>Attempt accessing secondary user private resource on SupabaseIntegrationModule using non-owner JWT.
Inspect server response.
Verify access denied with 403 Forbidden.</t>
        </is>
      </c>
      <c r="E343" s="12" t="inlineStr">
        <is>
          <t>Security control for SupabaseIntegrationModule successfully blocks unauthorized access or malicious input.</t>
        </is>
      </c>
      <c r="F343" s="12" t="inlineStr">
        <is>
          <t>Not Executed</t>
        </is>
      </c>
      <c r="G343" s="13" t="inlineStr">
        <is>
          <t>Not Executed</t>
        </is>
      </c>
      <c r="H343" s="11" t="inlineStr">
        <is>
          <t>High</t>
        </is>
      </c>
    </row>
    <row r="344" ht="42" customHeight="1">
      <c r="A344" s="11" t="inlineStr">
        <is>
          <t>TC_343</t>
        </is>
      </c>
      <c r="B344" s="12" t="inlineStr">
        <is>
          <t>SupabaseIntegrationModule</t>
        </is>
      </c>
      <c r="C344" s="12" t="inlineStr">
        <is>
          <t>Verify session JWT token expiration and invalidation handling on SupabaseIntegrationModule</t>
        </is>
      </c>
      <c r="D344" s="12" t="inlineStr">
        <is>
          <t>Present expired JWT token to SupabaseIntegrationModule API endpoint.
Inspect response.
Verify session invalidated and redirected to login.</t>
        </is>
      </c>
      <c r="E344" s="12" t="inlineStr">
        <is>
          <t>Input validation on SupabaseIntegrationModule correctly enforces rules and displays error hints.</t>
        </is>
      </c>
      <c r="F344" s="12" t="inlineStr">
        <is>
          <t>Not Executed</t>
        </is>
      </c>
      <c r="G344" s="13" t="inlineStr">
        <is>
          <t>Not Executed</t>
        </is>
      </c>
      <c r="H344" s="11" t="inlineStr">
        <is>
          <t>Medium</t>
        </is>
      </c>
    </row>
    <row r="345" ht="42" customHeight="1">
      <c r="A345" s="11" t="inlineStr">
        <is>
          <t>TC_344</t>
        </is>
      </c>
      <c r="B345" s="12" t="inlineStr">
        <is>
          <t>SupabaseIntegrationModule</t>
        </is>
      </c>
      <c r="C345" s="12" t="inlineStr">
        <is>
          <t>Verify input sanitization and SQL injection defense on SupabaseIntegrationModule</t>
        </is>
      </c>
      <c r="D345" s="12" t="inlineStr">
        <is>
          <t>Submit safe SQLi test string `' OR '1'='1` into input fields on SupabaseIntegrationModule.
Inspect database query log.
Verify query parameterized without syntax error.</t>
        </is>
      </c>
      <c r="E345" s="12" t="inlineStr">
        <is>
          <t>Input validation on SupabaseIntegrationModule correctly enforces rules and displays error hints.</t>
        </is>
      </c>
      <c r="F345" s="12" t="inlineStr">
        <is>
          <t>Not Executed</t>
        </is>
      </c>
      <c r="G345" s="13" t="inlineStr">
        <is>
          <t>Not Executed</t>
        </is>
      </c>
      <c r="H345" s="11" t="inlineStr">
        <is>
          <t>Medium</t>
        </is>
      </c>
    </row>
    <row r="346" ht="42" customHeight="1">
      <c r="A346" s="11" t="inlineStr">
        <is>
          <t>TC_345</t>
        </is>
      </c>
      <c r="B346" s="12" t="inlineStr">
        <is>
          <t>SupabaseIntegrationModule</t>
        </is>
      </c>
      <c r="C346" s="12" t="inlineStr">
        <is>
          <t>Verify Cross-Site Scripting (XSS) DOM escaping and sanitization on SupabaseIntegrationModule</t>
        </is>
      </c>
      <c r="D346" s="12" t="inlineStr">
        <is>
          <t>Submit safe script tag `&lt;script&gt;alert(1)&lt;/script&gt;` into SupabaseIntegrationModule input fields.
Inspect rendered DOM node.
Verify string rendered as literal text without execution.</t>
        </is>
      </c>
      <c r="E346" s="12" t="inlineStr">
        <is>
          <t>Endpoint for SupabaseIntegrationModule handles load within SLA response time limits with 0.0% errors.</t>
        </is>
      </c>
      <c r="F346" s="12" t="inlineStr">
        <is>
          <t>Not Executed</t>
        </is>
      </c>
      <c r="G346" s="13" t="inlineStr">
        <is>
          <t>Not Executed</t>
        </is>
      </c>
      <c r="H346" s="11" t="inlineStr">
        <is>
          <t>High</t>
        </is>
      </c>
    </row>
    <row r="347" ht="42" customHeight="1">
      <c r="A347" s="11" t="inlineStr">
        <is>
          <t>TC_346</t>
        </is>
      </c>
      <c r="B347" s="12" t="inlineStr">
        <is>
          <t>SupabaseIntegrationModule</t>
        </is>
      </c>
      <c r="C347" s="12" t="inlineStr">
        <is>
          <t>Verify TLS 1.3 transport layer encryption enforcement on SupabaseIntegrationModule</t>
        </is>
      </c>
      <c r="D347" s="12" t="inlineStr">
        <is>
          <t>Inspect network connection parameters for SupabaseIntegrationModule using security audit proxy.
Verify TLS 1.3/1.2 cipher suite.
Confirm insecure HTTP blocked.</t>
        </is>
      </c>
      <c r="E347" s="12" t="inlineStr">
        <is>
          <t>Verify expected behavior for SupabaseIntegrationModule under Safe Vulnerability &amp; Security Checks scenario #6.</t>
        </is>
      </c>
      <c r="F347" s="12" t="inlineStr">
        <is>
          <t>Not Executed</t>
        </is>
      </c>
      <c r="G347" s="13" t="inlineStr">
        <is>
          <t>Not Executed</t>
        </is>
      </c>
      <c r="H347" s="11" t="inlineStr">
        <is>
          <t>Medium</t>
        </is>
      </c>
    </row>
    <row r="348" ht="42" customHeight="1">
      <c r="A348" s="11" t="inlineStr">
        <is>
          <t>TC_347</t>
        </is>
      </c>
      <c r="B348" s="12" t="inlineStr">
        <is>
          <t>SupabaseIntegrationModule</t>
        </is>
      </c>
      <c r="C348" s="12" t="inlineStr">
        <is>
          <t>Verify API rate limiting 429 Too Many Requests response on SupabaseIntegrationModule</t>
        </is>
      </c>
      <c r="D348" s="12" t="inlineStr">
        <is>
          <t>Send 100 rapid requests within 5 seconds to SupabaseIntegrationModule public API endpoint.
Inspect response status.
Verify HTTP 429 rate limit error returned.</t>
        </is>
      </c>
      <c r="E348" s="12" t="inlineStr">
        <is>
          <t>Endpoint for SupabaseIntegrationModule handles load within SLA response time limits with 0.0% errors.</t>
        </is>
      </c>
      <c r="F348" s="12" t="inlineStr">
        <is>
          <t>Not Executed</t>
        </is>
      </c>
      <c r="G348" s="13" t="inlineStr">
        <is>
          <t>Not Executed</t>
        </is>
      </c>
      <c r="H348" s="11" t="inlineStr">
        <is>
          <t>Medium</t>
        </is>
      </c>
    </row>
    <row r="349" ht="42" customHeight="1">
      <c r="A349" s="11" t="inlineStr">
        <is>
          <t>TC_348</t>
        </is>
      </c>
      <c r="B349" s="12" t="inlineStr">
        <is>
          <t>SupabaseIntegrationModule</t>
        </is>
      </c>
      <c r="C349" s="12" t="inlineStr">
        <is>
          <t>Verify Supabase Row Level Security (RLS) policy enforcement on SupabaseIntegrationModule</t>
        </is>
      </c>
      <c r="D349" s="12" t="inlineStr">
        <is>
          <t>Execute direct database query on SupabaseIntegrationModule table without authorization header.
Inspect PostgreSQL response.
Verify RLS policy blocks unauthorized row access.</t>
        </is>
      </c>
      <c r="E349" s="12" t="inlineStr">
        <is>
          <t>Security control for SupabaseIntegrationModule successfully blocks unauthorized access or malicious input.</t>
        </is>
      </c>
      <c r="F349" s="12" t="inlineStr">
        <is>
          <t>Not Executed</t>
        </is>
      </c>
      <c r="G349" s="13" t="inlineStr">
        <is>
          <t>Not Executed</t>
        </is>
      </c>
      <c r="H349" s="11" t="inlineStr">
        <is>
          <t>High</t>
        </is>
      </c>
    </row>
    <row r="350" ht="42" customHeight="1">
      <c r="A350" s="11" t="inlineStr">
        <is>
          <t>TC_349</t>
        </is>
      </c>
      <c r="B350" s="12" t="inlineStr">
        <is>
          <t>SupabaseIntegrationModule</t>
        </is>
      </c>
      <c r="C350" s="12" t="inlineStr">
        <is>
          <t>Verify privileged route guard interception on unauthenticated access to SupabaseIntegrationModule</t>
        </is>
      </c>
      <c r="D350" s="12" t="inlineStr">
        <is>
          <t>Attempt deep linking directly to protected route for SupabaseIntegrationModule without auth token.
Inspect router behavior.
Verify request intercepted and redirected.</t>
        </is>
      </c>
      <c r="E350" s="12" t="inlineStr">
        <is>
          <t>Security control for SupabaseIntegrationModule successfully blocks unauthorized access or malicious input.</t>
        </is>
      </c>
      <c r="F350" s="12" t="inlineStr">
        <is>
          <t>Not Executed</t>
        </is>
      </c>
      <c r="G350" s="13" t="inlineStr">
        <is>
          <t>Not Executed</t>
        </is>
      </c>
      <c r="H350" s="11" t="inlineStr">
        <is>
          <t>Medium</t>
        </is>
      </c>
    </row>
    <row r="351" ht="42" customHeight="1">
      <c r="A351" s="11" t="inlineStr">
        <is>
          <t>TC_350</t>
        </is>
      </c>
      <c r="B351" s="12" t="inlineStr">
        <is>
          <t>SupabaseIntegrationModule</t>
        </is>
      </c>
      <c r="C351" s="12" t="inlineStr">
        <is>
          <t>Verify sensitive data masking and log exposure prevention for SupabaseIntegrationModule</t>
        </is>
      </c>
      <c r="D351" s="12" t="inlineStr">
        <is>
          <t>Inspect application log output during operations on SupabaseIntegrationModule.
Check password, token, and PII fields.
Verify sensitive fields masked or omitted.</t>
        </is>
      </c>
      <c r="E351" s="12" t="inlineStr">
        <is>
          <t>Verify expected behavior for SupabaseIntegrationModule under Safe Vulnerability &amp; Security Checks scenario #10.</t>
        </is>
      </c>
      <c r="F351" s="12" t="inlineStr">
        <is>
          <t>Not Executed</t>
        </is>
      </c>
      <c r="G351" s="13" t="inlineStr">
        <is>
          <t>Not Executed</t>
        </is>
      </c>
      <c r="H351" s="11" t="inlineStr">
        <is>
          <t>Low</t>
        </is>
      </c>
    </row>
  </sheetData>
  <autoFilter ref="A1:H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Status</t>
        </is>
      </c>
      <c r="E1" s="6" t="inlineStr">
        <is>
          <t>Evidence Path</t>
        </is>
      </c>
      <c r="F1" s="6" t="inlineStr">
        <is>
          <t>Timestamp</t>
        </is>
      </c>
      <c r="G1" s="6" t="inlineStr">
        <is>
          <t>Verification Notes</t>
        </is>
      </c>
    </row>
    <row r="2">
      <c r="A2" s="12" t="inlineStr">
        <is>
          <t>TC_001</t>
        </is>
      </c>
      <c r="B2" s="12" t="inlineStr">
        <is>
          <t>SplashScreen</t>
        </is>
      </c>
      <c r="C2" s="12" t="inlineStr">
        <is>
          <t>Verify brute-force defense and authentication lockout rules on SplashScreen</t>
        </is>
      </c>
      <c r="D2" s="12" t="inlineStr">
        <is>
          <t>Not Executed</t>
        </is>
      </c>
      <c r="E2" s="12" t="inlineStr">
        <is>
          <t>testing-reports/evidence/tc_001_proof.png</t>
        </is>
      </c>
      <c r="F2" s="12" t="inlineStr">
        <is>
          <t>2026-07-22 00:00:00 UTC</t>
        </is>
      </c>
      <c r="G2" s="12" t="inlineStr">
        <is>
          <t>Baseline execution artifact initialized</t>
        </is>
      </c>
    </row>
    <row r="3">
      <c r="A3" s="12" t="inlineStr">
        <is>
          <t>TC_002</t>
        </is>
      </c>
      <c r="B3" s="12" t="inlineStr">
        <is>
          <t>SplashScreen</t>
        </is>
      </c>
      <c r="C3" s="12" t="inlineStr">
        <is>
          <t>Verify role-based access control (RBAC) and IDOR vulnerability defense on SplashScreen</t>
        </is>
      </c>
      <c r="D3" s="12" t="inlineStr">
        <is>
          <t>Not Executed</t>
        </is>
      </c>
      <c r="E3" s="12" t="inlineStr">
        <is>
          <t>testing-reports/evidence/tc_002_proof.png</t>
        </is>
      </c>
      <c r="F3" s="12" t="inlineStr">
        <is>
          <t>2026-07-22 00:00:00 UTC</t>
        </is>
      </c>
      <c r="G3" s="12" t="inlineStr">
        <is>
          <t>Baseline execution artifact initialized</t>
        </is>
      </c>
    </row>
    <row r="4">
      <c r="A4" s="12" t="inlineStr">
        <is>
          <t>TC_003</t>
        </is>
      </c>
      <c r="B4" s="12" t="inlineStr">
        <is>
          <t>SplashScreen</t>
        </is>
      </c>
      <c r="C4" s="12" t="inlineStr">
        <is>
          <t>Verify session JWT token expiration and invalidation handling on SplashScreen</t>
        </is>
      </c>
      <c r="D4" s="12" t="inlineStr">
        <is>
          <t>Not Executed</t>
        </is>
      </c>
      <c r="E4" s="12" t="inlineStr">
        <is>
          <t>testing-reports/evidence/tc_003_proof.png</t>
        </is>
      </c>
      <c r="F4" s="12" t="inlineStr">
        <is>
          <t>2026-07-22 00:00:00 UTC</t>
        </is>
      </c>
      <c r="G4" s="12" t="inlineStr">
        <is>
          <t>Baseline execution artifact initialized</t>
        </is>
      </c>
    </row>
    <row r="5">
      <c r="A5" s="12" t="inlineStr">
        <is>
          <t>TC_004</t>
        </is>
      </c>
      <c r="B5" s="12" t="inlineStr">
        <is>
          <t>SplashScreen</t>
        </is>
      </c>
      <c r="C5" s="12" t="inlineStr">
        <is>
          <t>Verify input sanitization and SQL injection defense on SplashScreen</t>
        </is>
      </c>
      <c r="D5" s="12" t="inlineStr">
        <is>
          <t>Not Executed</t>
        </is>
      </c>
      <c r="E5" s="12" t="inlineStr">
        <is>
          <t>testing-reports/evidence/tc_004_proof.png</t>
        </is>
      </c>
      <c r="F5" s="12" t="inlineStr">
        <is>
          <t>2026-07-22 00:00:00 UTC</t>
        </is>
      </c>
      <c r="G5" s="12" t="inlineStr">
        <is>
          <t>Baseline execution artifact initialized</t>
        </is>
      </c>
    </row>
    <row r="6">
      <c r="A6" s="12" t="inlineStr">
        <is>
          <t>TC_005</t>
        </is>
      </c>
      <c r="B6" s="12" t="inlineStr">
        <is>
          <t>SplashScreen</t>
        </is>
      </c>
      <c r="C6" s="12" t="inlineStr">
        <is>
          <t>Verify Cross-Site Scripting (XSS) DOM escaping and sanitization on SplashScreen</t>
        </is>
      </c>
      <c r="D6" s="12" t="inlineStr">
        <is>
          <t>Not Executed</t>
        </is>
      </c>
      <c r="E6" s="12" t="inlineStr">
        <is>
          <t>testing-reports/evidence/tc_005_proof.png</t>
        </is>
      </c>
      <c r="F6" s="12" t="inlineStr">
        <is>
          <t>2026-07-22 00:00:00 UTC</t>
        </is>
      </c>
      <c r="G6" s="12" t="inlineStr">
        <is>
          <t>Baseline execution artifact initialized</t>
        </is>
      </c>
    </row>
    <row r="7">
      <c r="A7" s="12" t="inlineStr">
        <is>
          <t>TC_006</t>
        </is>
      </c>
      <c r="B7" s="12" t="inlineStr">
        <is>
          <t>SplashScreen</t>
        </is>
      </c>
      <c r="C7" s="12" t="inlineStr">
        <is>
          <t>Verify TLS 1.3 transport layer encryption enforcement on SplashScreen</t>
        </is>
      </c>
      <c r="D7" s="12" t="inlineStr">
        <is>
          <t>Not Executed</t>
        </is>
      </c>
      <c r="E7" s="12" t="inlineStr">
        <is>
          <t>testing-reports/evidence/tc_006_proof.png</t>
        </is>
      </c>
      <c r="F7" s="12" t="inlineStr">
        <is>
          <t>2026-07-22 00:00:00 UTC</t>
        </is>
      </c>
      <c r="G7" s="12" t="inlineStr">
        <is>
          <t>Baseline execution artifact initialized</t>
        </is>
      </c>
    </row>
    <row r="8">
      <c r="A8" s="12" t="inlineStr">
        <is>
          <t>TC_007</t>
        </is>
      </c>
      <c r="B8" s="12" t="inlineStr">
        <is>
          <t>SplashScreen</t>
        </is>
      </c>
      <c r="C8" s="12" t="inlineStr">
        <is>
          <t>Verify API rate limiting 429 Too Many Requests response on SplashScreen</t>
        </is>
      </c>
      <c r="D8" s="12" t="inlineStr">
        <is>
          <t>Not Executed</t>
        </is>
      </c>
      <c r="E8" s="12" t="inlineStr">
        <is>
          <t>testing-reports/evidence/tc_007_proof.png</t>
        </is>
      </c>
      <c r="F8" s="12" t="inlineStr">
        <is>
          <t>2026-07-22 00:00:00 UTC</t>
        </is>
      </c>
      <c r="G8" s="12" t="inlineStr">
        <is>
          <t>Baseline execution artifact initialized</t>
        </is>
      </c>
    </row>
    <row r="9">
      <c r="A9" s="12" t="inlineStr">
        <is>
          <t>TC_008</t>
        </is>
      </c>
      <c r="B9" s="12" t="inlineStr">
        <is>
          <t>SplashScreen</t>
        </is>
      </c>
      <c r="C9" s="12" t="inlineStr">
        <is>
          <t>Verify Supabase Row Level Security (RLS) policy enforcement on SplashScreen</t>
        </is>
      </c>
      <c r="D9" s="12" t="inlineStr">
        <is>
          <t>Not Executed</t>
        </is>
      </c>
      <c r="E9" s="12" t="inlineStr">
        <is>
          <t>testing-reports/evidence/tc_008_proof.png</t>
        </is>
      </c>
      <c r="F9" s="12" t="inlineStr">
        <is>
          <t>2026-07-22 00:00:00 UTC</t>
        </is>
      </c>
      <c r="G9" s="12" t="inlineStr">
        <is>
          <t>Baseline execution artifact initialized</t>
        </is>
      </c>
    </row>
    <row r="10">
      <c r="A10" s="12" t="inlineStr">
        <is>
          <t>TC_009</t>
        </is>
      </c>
      <c r="B10" s="12" t="inlineStr">
        <is>
          <t>SplashScreen</t>
        </is>
      </c>
      <c r="C10" s="12" t="inlineStr">
        <is>
          <t>Verify privileged route guard interception on unauthenticated access to SplashScreen</t>
        </is>
      </c>
      <c r="D10" s="12" t="inlineStr">
        <is>
          <t>Not Executed</t>
        </is>
      </c>
      <c r="E10" s="12" t="inlineStr">
        <is>
          <t>testing-reports/evidence/tc_009_proof.png</t>
        </is>
      </c>
      <c r="F10" s="12" t="inlineStr">
        <is>
          <t>2026-07-22 00:00:00 UTC</t>
        </is>
      </c>
      <c r="G10" s="12" t="inlineStr">
        <is>
          <t>Baseline execution artifact initialized</t>
        </is>
      </c>
    </row>
    <row r="11">
      <c r="A11" s="12" t="inlineStr">
        <is>
          <t>TC_010</t>
        </is>
      </c>
      <c r="B11" s="12" t="inlineStr">
        <is>
          <t>SplashScreen</t>
        </is>
      </c>
      <c r="C11" s="12" t="inlineStr">
        <is>
          <t>Verify sensitive data masking and log exposure prevention for SplashScreen</t>
        </is>
      </c>
      <c r="D11" s="12" t="inlineStr">
        <is>
          <t>Not Executed</t>
        </is>
      </c>
      <c r="E11" s="12" t="inlineStr">
        <is>
          <t>testing-reports/evidence/tc_010_proof.png</t>
        </is>
      </c>
      <c r="F11" s="12" t="inlineStr">
        <is>
          <t>2026-07-22 00:00:00 UTC</t>
        </is>
      </c>
      <c r="G11" s="12" t="inlineStr">
        <is>
          <t>Baseline execution artifact initialized</t>
        </is>
      </c>
    </row>
    <row r="12">
      <c r="A12" s="12" t="inlineStr">
        <is>
          <t>TC_011</t>
        </is>
      </c>
      <c r="B12" s="12" t="inlineStr">
        <is>
          <t>LoginScreen</t>
        </is>
      </c>
      <c r="C12" s="12" t="inlineStr">
        <is>
          <t>Verify brute-force defense and authentication lockout rules on LoginScreen</t>
        </is>
      </c>
      <c r="D12" s="12" t="inlineStr">
        <is>
          <t>Not Executed</t>
        </is>
      </c>
      <c r="E12" s="12" t="inlineStr">
        <is>
          <t>testing-reports/evidence/tc_011_proof.png</t>
        </is>
      </c>
      <c r="F12" s="12" t="inlineStr">
        <is>
          <t>2026-07-22 00:00:00 UTC</t>
        </is>
      </c>
      <c r="G12" s="12" t="inlineStr">
        <is>
          <t>Baseline execution artifact initialized</t>
        </is>
      </c>
    </row>
    <row r="13">
      <c r="A13" s="12" t="inlineStr">
        <is>
          <t>TC_012</t>
        </is>
      </c>
      <c r="B13" s="12" t="inlineStr">
        <is>
          <t>LoginScreen</t>
        </is>
      </c>
      <c r="C13" s="12" t="inlineStr">
        <is>
          <t>Verify role-based access control (RBAC) and IDOR vulnerability defense on LoginScreen</t>
        </is>
      </c>
      <c r="D13" s="12" t="inlineStr">
        <is>
          <t>Not Executed</t>
        </is>
      </c>
      <c r="E13" s="12" t="inlineStr">
        <is>
          <t>testing-reports/evidence/tc_012_proof.png</t>
        </is>
      </c>
      <c r="F13" s="12" t="inlineStr">
        <is>
          <t>2026-07-22 00:00:00 UTC</t>
        </is>
      </c>
      <c r="G13" s="12" t="inlineStr">
        <is>
          <t>Baseline execution artifact initialized</t>
        </is>
      </c>
    </row>
    <row r="14">
      <c r="A14" s="12" t="inlineStr">
        <is>
          <t>TC_013</t>
        </is>
      </c>
      <c r="B14" s="12" t="inlineStr">
        <is>
          <t>LoginScreen</t>
        </is>
      </c>
      <c r="C14" s="12" t="inlineStr">
        <is>
          <t>Verify session JWT token expiration and invalidation handling on LoginScreen</t>
        </is>
      </c>
      <c r="D14" s="12" t="inlineStr">
        <is>
          <t>Not Executed</t>
        </is>
      </c>
      <c r="E14" s="12" t="inlineStr">
        <is>
          <t>testing-reports/evidence/tc_013_proof.png</t>
        </is>
      </c>
      <c r="F14" s="12" t="inlineStr">
        <is>
          <t>2026-07-22 00:00:00 UTC</t>
        </is>
      </c>
      <c r="G14" s="12" t="inlineStr">
        <is>
          <t>Baseline execution artifact initialized</t>
        </is>
      </c>
    </row>
    <row r="15">
      <c r="A15" s="12" t="inlineStr">
        <is>
          <t>TC_014</t>
        </is>
      </c>
      <c r="B15" s="12" t="inlineStr">
        <is>
          <t>LoginScreen</t>
        </is>
      </c>
      <c r="C15" s="12" t="inlineStr">
        <is>
          <t>Verify input sanitization and SQL injection defense on LoginScreen</t>
        </is>
      </c>
      <c r="D15" s="12" t="inlineStr">
        <is>
          <t>Not Executed</t>
        </is>
      </c>
      <c r="E15" s="12" t="inlineStr">
        <is>
          <t>testing-reports/evidence/tc_014_proof.png</t>
        </is>
      </c>
      <c r="F15" s="12" t="inlineStr">
        <is>
          <t>2026-07-22 00:00:00 UTC</t>
        </is>
      </c>
      <c r="G15" s="12" t="inlineStr">
        <is>
          <t>Baseline execution artifact initialized</t>
        </is>
      </c>
    </row>
    <row r="16">
      <c r="A16" s="12" t="inlineStr">
        <is>
          <t>TC_015</t>
        </is>
      </c>
      <c r="B16" s="12" t="inlineStr">
        <is>
          <t>LoginScreen</t>
        </is>
      </c>
      <c r="C16" s="12" t="inlineStr">
        <is>
          <t>Verify Cross-Site Scripting (XSS) DOM escaping and sanitization on LoginScreen</t>
        </is>
      </c>
      <c r="D16" s="12" t="inlineStr">
        <is>
          <t>Not Executed</t>
        </is>
      </c>
      <c r="E16" s="12" t="inlineStr">
        <is>
          <t>testing-reports/evidence/tc_015_proof.png</t>
        </is>
      </c>
      <c r="F16" s="12" t="inlineStr">
        <is>
          <t>2026-07-22 00:00:00 UTC</t>
        </is>
      </c>
      <c r="G16" s="12" t="inlineStr">
        <is>
          <t>Baseline execution artifact initialized</t>
        </is>
      </c>
    </row>
    <row r="17">
      <c r="A17" s="12" t="inlineStr">
        <is>
          <t>TC_016</t>
        </is>
      </c>
      <c r="B17" s="12" t="inlineStr">
        <is>
          <t>LoginScreen</t>
        </is>
      </c>
      <c r="C17" s="12" t="inlineStr">
        <is>
          <t>Verify TLS 1.3 transport layer encryption enforcement on LoginScreen</t>
        </is>
      </c>
      <c r="D17" s="12" t="inlineStr">
        <is>
          <t>Not Executed</t>
        </is>
      </c>
      <c r="E17" s="12" t="inlineStr">
        <is>
          <t>testing-reports/evidence/tc_016_proof.png</t>
        </is>
      </c>
      <c r="F17" s="12" t="inlineStr">
        <is>
          <t>2026-07-22 00:00:00 UTC</t>
        </is>
      </c>
      <c r="G17" s="12" t="inlineStr">
        <is>
          <t>Baseline execution artifact initialized</t>
        </is>
      </c>
    </row>
    <row r="18">
      <c r="A18" s="12" t="inlineStr">
        <is>
          <t>TC_017</t>
        </is>
      </c>
      <c r="B18" s="12" t="inlineStr">
        <is>
          <t>LoginScreen</t>
        </is>
      </c>
      <c r="C18" s="12" t="inlineStr">
        <is>
          <t>Verify API rate limiting 429 Too Many Requests response on LoginScreen</t>
        </is>
      </c>
      <c r="D18" s="12" t="inlineStr">
        <is>
          <t>Not Executed</t>
        </is>
      </c>
      <c r="E18" s="12" t="inlineStr">
        <is>
          <t>testing-reports/evidence/tc_017_proof.png</t>
        </is>
      </c>
      <c r="F18" s="12" t="inlineStr">
        <is>
          <t>2026-07-22 00:00:00 UTC</t>
        </is>
      </c>
      <c r="G18" s="12" t="inlineStr">
        <is>
          <t>Baseline execution artifact initialized</t>
        </is>
      </c>
    </row>
    <row r="19">
      <c r="A19" s="12" t="inlineStr">
        <is>
          <t>TC_018</t>
        </is>
      </c>
      <c r="B19" s="12" t="inlineStr">
        <is>
          <t>LoginScreen</t>
        </is>
      </c>
      <c r="C19" s="12" t="inlineStr">
        <is>
          <t>Verify Supabase Row Level Security (RLS) policy enforcement on LoginScreen</t>
        </is>
      </c>
      <c r="D19" s="12" t="inlineStr">
        <is>
          <t>Not Executed</t>
        </is>
      </c>
      <c r="E19" s="12" t="inlineStr">
        <is>
          <t>testing-reports/evidence/tc_018_proof.png</t>
        </is>
      </c>
      <c r="F19" s="12" t="inlineStr">
        <is>
          <t>2026-07-22 00:00:00 UTC</t>
        </is>
      </c>
      <c r="G19" s="12" t="inlineStr">
        <is>
          <t>Baseline execution artifact initialized</t>
        </is>
      </c>
    </row>
    <row r="20">
      <c r="A20" s="12" t="inlineStr">
        <is>
          <t>TC_019</t>
        </is>
      </c>
      <c r="B20" s="12" t="inlineStr">
        <is>
          <t>LoginScreen</t>
        </is>
      </c>
      <c r="C20" s="12" t="inlineStr">
        <is>
          <t>Verify privileged route guard interception on unauthenticated access to LoginScreen</t>
        </is>
      </c>
      <c r="D20" s="12" t="inlineStr">
        <is>
          <t>Not Executed</t>
        </is>
      </c>
      <c r="E20" s="12" t="inlineStr">
        <is>
          <t>testing-reports/evidence/tc_019_proof.png</t>
        </is>
      </c>
      <c r="F20" s="12" t="inlineStr">
        <is>
          <t>2026-07-22 00:00:00 UTC</t>
        </is>
      </c>
      <c r="G20" s="12" t="inlineStr">
        <is>
          <t>Baseline execution artifact initialized</t>
        </is>
      </c>
    </row>
    <row r="21">
      <c r="A21" s="12" t="inlineStr">
        <is>
          <t>TC_020</t>
        </is>
      </c>
      <c r="B21" s="12" t="inlineStr">
        <is>
          <t>LoginScreen</t>
        </is>
      </c>
      <c r="C21" s="12" t="inlineStr">
        <is>
          <t>Verify sensitive data masking and log exposure prevention for LoginScreen</t>
        </is>
      </c>
      <c r="D21" s="12" t="inlineStr">
        <is>
          <t>Not Executed</t>
        </is>
      </c>
      <c r="E21" s="12" t="inlineStr">
        <is>
          <t>testing-reports/evidence/tc_020_proof.png</t>
        </is>
      </c>
      <c r="F21" s="12" t="inlineStr">
        <is>
          <t>2026-07-22 00:00:00 UTC</t>
        </is>
      </c>
      <c r="G21" s="12" t="inlineStr">
        <is>
          <t>Baseline execution artifact initialized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2026-07-22T06:04:00Z</dcterms:created>
  <dcterms:modified xsi:type="dcterms:W3CDTF">2026-07-22T06:04:00Z</dcterms:modified>
</cp:coreProperties>
</file>